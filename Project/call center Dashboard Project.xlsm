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/>
  <workbookPr hidePivotFieldList="1"/>
  <mc:AlternateContent xmlns:mc="http://schemas.openxmlformats.org/markup-compatibility/2006">
    <mc:Choice Requires="x15">
      <x15ac:absPath xmlns:x15ac="http://schemas.microsoft.com/office/spreadsheetml/2010/11/ac" url="C:\Users\shehzad\Desktop\Data Analyst\Excel Techolas\GitHub\Project\"/>
    </mc:Choice>
  </mc:AlternateContent>
  <bookViews>
    <workbookView xWindow="-120" yWindow="-120" windowWidth="20730" windowHeight="11160" activeTab="2"/>
  </bookViews>
  <sheets>
    <sheet name="CCData" sheetId="1" r:id="rId1"/>
    <sheet name="Calculation" sheetId="2" r:id="rId2"/>
    <sheet name="Dashboard" sheetId="3" r:id="rId3"/>
  </sheets>
  <definedNames>
    <definedName name="_xleta.INDEX" hidden="1" xlm="1">#NAME?</definedName>
    <definedName name="_xleta.N" hidden="1" xlm="1">#NAME?</definedName>
    <definedName name="_xleta.SUMPRODUCT" hidden="1" xlm="1">#NAME?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2" l="1"/>
  <c r="E3" i="2" l="1"/>
  <c r="B62" i="2" l="1" a="1"/>
  <c r="B62" i="2" s="1"/>
  <c r="C62" i="2" a="1"/>
  <c r="C62" i="2" s="1"/>
  <c r="B61" i="2" a="1"/>
  <c r="B61" i="2" s="1"/>
  <c r="C61" i="2" a="1"/>
  <c r="C61" i="2" s="1"/>
  <c r="J1485" i="1"/>
  <c r="H68" i="2" a="1"/>
  <c r="H68" i="2" s="1"/>
  <c r="D68" i="2" a="1"/>
  <c r="D68" i="2" s="1"/>
  <c r="F67" i="2" a="1"/>
  <c r="F67" i="2" s="1"/>
  <c r="H66" i="2" a="1"/>
  <c r="H66" i="2" s="1"/>
  <c r="D66" i="2" a="1"/>
  <c r="D66" i="2" s="1"/>
  <c r="F65" i="2" a="1"/>
  <c r="F65" i="2" s="1"/>
  <c r="H64" i="2" a="1"/>
  <c r="H64" i="2" s="1"/>
  <c r="D64" i="2" a="1"/>
  <c r="D64" i="2" s="1"/>
  <c r="F63" i="2" a="1"/>
  <c r="F63" i="2" s="1"/>
  <c r="H62" i="2" a="1"/>
  <c r="H62" i="2" s="1"/>
  <c r="D62" i="2" a="1"/>
  <c r="D62" i="2" s="1"/>
  <c r="F61" i="2" a="1"/>
  <c r="F61" i="2" s="1"/>
  <c r="B66" i="2" a="1"/>
  <c r="B66" i="2" s="1"/>
  <c r="E66" i="2" a="1"/>
  <c r="E66" i="2" s="1"/>
  <c r="E64" i="2" a="1"/>
  <c r="E64" i="2" s="1"/>
  <c r="E62" i="2" a="1"/>
  <c r="E62" i="2" s="1"/>
  <c r="G68" i="2" a="1"/>
  <c r="G68" i="2" s="1"/>
  <c r="C68" i="2" a="1"/>
  <c r="C68" i="2" s="1"/>
  <c r="E67" i="2" a="1"/>
  <c r="E67" i="2" s="1"/>
  <c r="G66" i="2" a="1"/>
  <c r="G66" i="2" s="1"/>
  <c r="C66" i="2" a="1"/>
  <c r="C66" i="2" s="1"/>
  <c r="E65" i="2" a="1"/>
  <c r="E65" i="2" s="1"/>
  <c r="G64" i="2" a="1"/>
  <c r="G64" i="2" s="1"/>
  <c r="C64" i="2" a="1"/>
  <c r="C64" i="2" s="1"/>
  <c r="E63" i="2" a="1"/>
  <c r="E63" i="2" s="1"/>
  <c r="G62" i="2" a="1"/>
  <c r="G62" i="2" s="1"/>
  <c r="E61" i="2" a="1"/>
  <c r="E61" i="2" s="1"/>
  <c r="B63" i="2" a="1"/>
  <c r="B63" i="2" s="1"/>
  <c r="B67" i="2" a="1"/>
  <c r="B67" i="2" s="1"/>
  <c r="G67" i="2" a="1"/>
  <c r="G67" i="2" s="1"/>
  <c r="G65" i="2" a="1"/>
  <c r="G65" i="2" s="1"/>
  <c r="G63" i="2" a="1"/>
  <c r="G63" i="2" s="1"/>
  <c r="G61" i="2" a="1"/>
  <c r="G61" i="2" s="1"/>
  <c r="F68" i="2" a="1"/>
  <c r="F68" i="2" s="1"/>
  <c r="H67" i="2" a="1"/>
  <c r="H67" i="2" s="1"/>
  <c r="D67" i="2" a="1"/>
  <c r="D67" i="2" s="1"/>
  <c r="F66" i="2" a="1"/>
  <c r="F66" i="2" s="1"/>
  <c r="H65" i="2" a="1"/>
  <c r="H65" i="2" s="1"/>
  <c r="D65" i="2" a="1"/>
  <c r="D65" i="2" s="1"/>
  <c r="F64" i="2" a="1"/>
  <c r="F64" i="2" s="1"/>
  <c r="H63" i="2" a="1"/>
  <c r="H63" i="2" s="1"/>
  <c r="D63" i="2" a="1"/>
  <c r="D63" i="2" s="1"/>
  <c r="F62" i="2" a="1"/>
  <c r="F62" i="2" s="1"/>
  <c r="H61" i="2" a="1"/>
  <c r="H61" i="2" s="1"/>
  <c r="D61" i="2" a="1"/>
  <c r="D61" i="2" s="1"/>
  <c r="B64" i="2" a="1"/>
  <c r="B64" i="2" s="1"/>
  <c r="B68" i="2" a="1"/>
  <c r="B68" i="2" s="1"/>
  <c r="E68" i="2" a="1"/>
  <c r="E68" i="2" s="1"/>
  <c r="C67" i="2" a="1"/>
  <c r="C67" i="2" s="1"/>
  <c r="C65" i="2" a="1"/>
  <c r="C65" i="2" s="1"/>
  <c r="C63" i="2" a="1"/>
  <c r="C63" i="2" s="1"/>
  <c r="B65" i="2" a="1"/>
  <c r="B65" i="2" s="1"/>
  <c r="J4994" i="1"/>
  <c r="J4982" i="1"/>
  <c r="J4970" i="1"/>
  <c r="J4958" i="1"/>
  <c r="J4946" i="1"/>
  <c r="J4938" i="1"/>
  <c r="J4926" i="1"/>
  <c r="J4914" i="1"/>
  <c r="J4902" i="1"/>
  <c r="J4890" i="1"/>
  <c r="J4878" i="1"/>
  <c r="J4866" i="1"/>
  <c r="J4850" i="1"/>
  <c r="J4842" i="1"/>
  <c r="J4830" i="1"/>
  <c r="J4818" i="1"/>
  <c r="J4810" i="1"/>
  <c r="J4798" i="1"/>
  <c r="J4786" i="1"/>
  <c r="J4774" i="1"/>
  <c r="J4762" i="1"/>
  <c r="J4750" i="1"/>
  <c r="J4738" i="1"/>
  <c r="J4726" i="1"/>
  <c r="J4714" i="1"/>
  <c r="J4702" i="1"/>
  <c r="J4686" i="1"/>
  <c r="J4682" i="1"/>
  <c r="J4670" i="1"/>
  <c r="J4654" i="1"/>
  <c r="J4642" i="1"/>
  <c r="J4630" i="1"/>
  <c r="J4618" i="1"/>
  <c r="J4606" i="1"/>
  <c r="J4598" i="1"/>
  <c r="J4586" i="1"/>
  <c r="J4574" i="1"/>
  <c r="J4566" i="1"/>
  <c r="J4550" i="1"/>
  <c r="J4542" i="1"/>
  <c r="J4530" i="1"/>
  <c r="J4518" i="1"/>
  <c r="J4506" i="1"/>
  <c r="J4494" i="1"/>
  <c r="J4482" i="1"/>
  <c r="J4466" i="1"/>
  <c r="J4454" i="1"/>
  <c r="J4434" i="1"/>
  <c r="J4410" i="1"/>
  <c r="J4377" i="1"/>
  <c r="J4329" i="1"/>
  <c r="J4281" i="1"/>
  <c r="J4249" i="1"/>
  <c r="J4201" i="1"/>
  <c r="J4169" i="1"/>
  <c r="J4121" i="1"/>
  <c r="J4089" i="1"/>
  <c r="J4057" i="1"/>
  <c r="J4025" i="1"/>
  <c r="J3993" i="1"/>
  <c r="J3961" i="1"/>
  <c r="J3945" i="1"/>
  <c r="J3913" i="1"/>
  <c r="J3881" i="1"/>
  <c r="J3849" i="1"/>
  <c r="J3817" i="1"/>
  <c r="J3785" i="1"/>
  <c r="J3753" i="1"/>
  <c r="J3721" i="1"/>
  <c r="J3673" i="1"/>
  <c r="J3641" i="1"/>
  <c r="J3609" i="1"/>
  <c r="J3577" i="1"/>
  <c r="J3529" i="1"/>
  <c r="J3497" i="1"/>
  <c r="J3465" i="1"/>
  <c r="J3433" i="1"/>
  <c r="J3401" i="1"/>
  <c r="J3357" i="1"/>
  <c r="J3233" i="1"/>
  <c r="J3105" i="1"/>
  <c r="J2977" i="1"/>
  <c r="J2913" i="1"/>
  <c r="J2785" i="1"/>
  <c r="J2657" i="1"/>
  <c r="J2529" i="1"/>
  <c r="J2401" i="1"/>
  <c r="J2192" i="1"/>
  <c r="J1994" i="1"/>
  <c r="J5001" i="1"/>
  <c r="J4997" i="1"/>
  <c r="J4993" i="1"/>
  <c r="J4989" i="1"/>
  <c r="J4985" i="1"/>
  <c r="J4981" i="1"/>
  <c r="J4977" i="1"/>
  <c r="J4973" i="1"/>
  <c r="J4969" i="1"/>
  <c r="J4965" i="1"/>
  <c r="J4961" i="1"/>
  <c r="J4957" i="1"/>
  <c r="J4953" i="1"/>
  <c r="J4949" i="1"/>
  <c r="J4945" i="1"/>
  <c r="J4941" i="1"/>
  <c r="J4937" i="1"/>
  <c r="J4933" i="1"/>
  <c r="J4929" i="1"/>
  <c r="J4925" i="1"/>
  <c r="J4921" i="1"/>
  <c r="J4917" i="1"/>
  <c r="J4913" i="1"/>
  <c r="J4909" i="1"/>
  <c r="J4905" i="1"/>
  <c r="J4901" i="1"/>
  <c r="J4897" i="1"/>
  <c r="J4893" i="1"/>
  <c r="J4889" i="1"/>
  <c r="J4885" i="1"/>
  <c r="J4881" i="1"/>
  <c r="J4877" i="1"/>
  <c r="J4873" i="1"/>
  <c r="J4869" i="1"/>
  <c r="J4865" i="1"/>
  <c r="J4861" i="1"/>
  <c r="J4857" i="1"/>
  <c r="J4853" i="1"/>
  <c r="J4849" i="1"/>
  <c r="J4845" i="1"/>
  <c r="J4841" i="1"/>
  <c r="J4837" i="1"/>
  <c r="J4833" i="1"/>
  <c r="J4829" i="1"/>
  <c r="J4825" i="1"/>
  <c r="J4821" i="1"/>
  <c r="J4817" i="1"/>
  <c r="J4813" i="1"/>
  <c r="J4809" i="1"/>
  <c r="J4805" i="1"/>
  <c r="J4801" i="1"/>
  <c r="J4797" i="1"/>
  <c r="J4793" i="1"/>
  <c r="J4789" i="1"/>
  <c r="J4785" i="1"/>
  <c r="J4781" i="1"/>
  <c r="J4777" i="1"/>
  <c r="J4773" i="1"/>
  <c r="J4769" i="1"/>
  <c r="J4765" i="1"/>
  <c r="J4761" i="1"/>
  <c r="J4757" i="1"/>
  <c r="J4753" i="1"/>
  <c r="J4749" i="1"/>
  <c r="J4745" i="1"/>
  <c r="J4741" i="1"/>
  <c r="J4737" i="1"/>
  <c r="J4733" i="1"/>
  <c r="J4729" i="1"/>
  <c r="J4725" i="1"/>
  <c r="J4721" i="1"/>
  <c r="J4717" i="1"/>
  <c r="J4713" i="1"/>
  <c r="J4709" i="1"/>
  <c r="J4705" i="1"/>
  <c r="J4701" i="1"/>
  <c r="J4697" i="1"/>
  <c r="J4693" i="1"/>
  <c r="J4689" i="1"/>
  <c r="J4685" i="1"/>
  <c r="J4681" i="1"/>
  <c r="J4677" i="1"/>
  <c r="J4673" i="1"/>
  <c r="J4669" i="1"/>
  <c r="J4665" i="1"/>
  <c r="J4661" i="1"/>
  <c r="J4657" i="1"/>
  <c r="J4653" i="1"/>
  <c r="J4649" i="1"/>
  <c r="J4645" i="1"/>
  <c r="J4641" i="1"/>
  <c r="J4637" i="1"/>
  <c r="J4633" i="1"/>
  <c r="J4629" i="1"/>
  <c r="J4625" i="1"/>
  <c r="J4621" i="1"/>
  <c r="J4617" i="1"/>
  <c r="J4613" i="1"/>
  <c r="J4609" i="1"/>
  <c r="J4605" i="1"/>
  <c r="J4601" i="1"/>
  <c r="J4597" i="1"/>
  <c r="J4593" i="1"/>
  <c r="J4589" i="1"/>
  <c r="J4585" i="1"/>
  <c r="J4581" i="1"/>
  <c r="J4577" i="1"/>
  <c r="J4573" i="1"/>
  <c r="J4569" i="1"/>
  <c r="J4565" i="1"/>
  <c r="J4561" i="1"/>
  <c r="J4557" i="1"/>
  <c r="J4553" i="1"/>
  <c r="J4549" i="1"/>
  <c r="J4545" i="1"/>
  <c r="J4541" i="1"/>
  <c r="J4537" i="1"/>
  <c r="J4533" i="1"/>
  <c r="J4529" i="1"/>
  <c r="J4525" i="1"/>
  <c r="J4521" i="1"/>
  <c r="J4517" i="1"/>
  <c r="J4513" i="1"/>
  <c r="J4509" i="1"/>
  <c r="J4505" i="1"/>
  <c r="J4501" i="1"/>
  <c r="J4497" i="1"/>
  <c r="J4493" i="1"/>
  <c r="J4489" i="1"/>
  <c r="J4485" i="1"/>
  <c r="J4481" i="1"/>
  <c r="J4477" i="1"/>
  <c r="J4473" i="1"/>
  <c r="J4469" i="1"/>
  <c r="J4465" i="1"/>
  <c r="J4461" i="1"/>
  <c r="J4457" i="1"/>
  <c r="J4453" i="1"/>
  <c r="J4449" i="1"/>
  <c r="J4441" i="1"/>
  <c r="J4433" i="1"/>
  <c r="J4425" i="1"/>
  <c r="J4417" i="1"/>
  <c r="J4409" i="1"/>
  <c r="J4401" i="1"/>
  <c r="J4389" i="1"/>
  <c r="J4373" i="1"/>
  <c r="J4357" i="1"/>
  <c r="J4341" i="1"/>
  <c r="J4325" i="1"/>
  <c r="J4309" i="1"/>
  <c r="J4293" i="1"/>
  <c r="J4277" i="1"/>
  <c r="J4261" i="1"/>
  <c r="J4245" i="1"/>
  <c r="J4229" i="1"/>
  <c r="J4213" i="1"/>
  <c r="J4197" i="1"/>
  <c r="J4181" i="1"/>
  <c r="J4165" i="1"/>
  <c r="J4149" i="1"/>
  <c r="J4133" i="1"/>
  <c r="J4117" i="1"/>
  <c r="J4101" i="1"/>
  <c r="J4085" i="1"/>
  <c r="J4069" i="1"/>
  <c r="J4053" i="1"/>
  <c r="J4037" i="1"/>
  <c r="J4021" i="1"/>
  <c r="J4005" i="1"/>
  <c r="J3989" i="1"/>
  <c r="J3973" i="1"/>
  <c r="J3957" i="1"/>
  <c r="J3941" i="1"/>
  <c r="J3925" i="1"/>
  <c r="J3909" i="1"/>
  <c r="J3893" i="1"/>
  <c r="J3877" i="1"/>
  <c r="J3861" i="1"/>
  <c r="J3845" i="1"/>
  <c r="J3829" i="1"/>
  <c r="J3813" i="1"/>
  <c r="J3797" i="1"/>
  <c r="J3781" i="1"/>
  <c r="J3765" i="1"/>
  <c r="J3749" i="1"/>
  <c r="J3733" i="1"/>
  <c r="J3717" i="1"/>
  <c r="J3701" i="1"/>
  <c r="J3685" i="1"/>
  <c r="J3669" i="1"/>
  <c r="J3653" i="1"/>
  <c r="J3637" i="1"/>
  <c r="J3621" i="1"/>
  <c r="J3605" i="1"/>
  <c r="J3589" i="1"/>
  <c r="J3573" i="1"/>
  <c r="J3557" i="1"/>
  <c r="J3541" i="1"/>
  <c r="J3525" i="1"/>
  <c r="J3509" i="1"/>
  <c r="J3493" i="1"/>
  <c r="J3477" i="1"/>
  <c r="J3461" i="1"/>
  <c r="J3445" i="1"/>
  <c r="J3429" i="1"/>
  <c r="J3413" i="1"/>
  <c r="J3397" i="1"/>
  <c r="J3381" i="1"/>
  <c r="J3345" i="1"/>
  <c r="J3281" i="1"/>
  <c r="J3217" i="1"/>
  <c r="J3153" i="1"/>
  <c r="J3089" i="1"/>
  <c r="J3025" i="1"/>
  <c r="J2961" i="1"/>
  <c r="J2897" i="1"/>
  <c r="J2833" i="1"/>
  <c r="J2769" i="1"/>
  <c r="J2705" i="1"/>
  <c r="J2641" i="1"/>
  <c r="J2577" i="1"/>
  <c r="J2513" i="1"/>
  <c r="J2449" i="1"/>
  <c r="J2385" i="1"/>
  <c r="J2321" i="1"/>
  <c r="J2256" i="1"/>
  <c r="J2171" i="1"/>
  <c r="J1930" i="1"/>
  <c r="J1674" i="1"/>
  <c r="J4998" i="1"/>
  <c r="J4986" i="1"/>
  <c r="J4974" i="1"/>
  <c r="J4962" i="1"/>
  <c r="J4954" i="1"/>
  <c r="J4942" i="1"/>
  <c r="J4930" i="1"/>
  <c r="J4918" i="1"/>
  <c r="J4906" i="1"/>
  <c r="J4894" i="1"/>
  <c r="J4886" i="1"/>
  <c r="J4874" i="1"/>
  <c r="J4862" i="1"/>
  <c r="J4854" i="1"/>
  <c r="J4838" i="1"/>
  <c r="J4826" i="1"/>
  <c r="J4814" i="1"/>
  <c r="J4802" i="1"/>
  <c r="J4794" i="1"/>
  <c r="J4782" i="1"/>
  <c r="J4770" i="1"/>
  <c r="J4758" i="1"/>
  <c r="J4746" i="1"/>
  <c r="J4734" i="1"/>
  <c r="J4722" i="1"/>
  <c r="J4710" i="1"/>
  <c r="J4698" i="1"/>
  <c r="J4690" i="1"/>
  <c r="J4678" i="1"/>
  <c r="J4666" i="1"/>
  <c r="J4658" i="1"/>
  <c r="J4646" i="1"/>
  <c r="J4634" i="1"/>
  <c r="J4622" i="1"/>
  <c r="J4610" i="1"/>
  <c r="J4594" i="1"/>
  <c r="J4582" i="1"/>
  <c r="J4570" i="1"/>
  <c r="J4562" i="1"/>
  <c r="J4554" i="1"/>
  <c r="J4538" i="1"/>
  <c r="J4526" i="1"/>
  <c r="J4514" i="1"/>
  <c r="J4502" i="1"/>
  <c r="J4490" i="1"/>
  <c r="J4478" i="1"/>
  <c r="J4470" i="1"/>
  <c r="J4458" i="1"/>
  <c r="J4442" i="1"/>
  <c r="J4418" i="1"/>
  <c r="J4393" i="1"/>
  <c r="J4345" i="1"/>
  <c r="J4297" i="1"/>
  <c r="J4265" i="1"/>
  <c r="J4217" i="1"/>
  <c r="J4185" i="1"/>
  <c r="J4153" i="1"/>
  <c r="J4105" i="1"/>
  <c r="J4073" i="1"/>
  <c r="J4041" i="1"/>
  <c r="J4009" i="1"/>
  <c r="J3977" i="1"/>
  <c r="J3929" i="1"/>
  <c r="J3897" i="1"/>
  <c r="J3865" i="1"/>
  <c r="J3833" i="1"/>
  <c r="J3801" i="1"/>
  <c r="J3769" i="1"/>
  <c r="J3737" i="1"/>
  <c r="J3705" i="1"/>
  <c r="J3657" i="1"/>
  <c r="J3625" i="1"/>
  <c r="J3593" i="1"/>
  <c r="J3561" i="1"/>
  <c r="J3545" i="1"/>
  <c r="J3513" i="1"/>
  <c r="J3481" i="1"/>
  <c r="J3449" i="1"/>
  <c r="J3417" i="1"/>
  <c r="J3385" i="1"/>
  <c r="J3297" i="1"/>
  <c r="J3169" i="1"/>
  <c r="J3041" i="1"/>
  <c r="J2849" i="1"/>
  <c r="J2721" i="1"/>
  <c r="J2593" i="1"/>
  <c r="J2465" i="1"/>
  <c r="J2337" i="1"/>
  <c r="J2273" i="1"/>
  <c r="J1738" i="1"/>
  <c r="J5000" i="1"/>
  <c r="J4996" i="1"/>
  <c r="J4992" i="1"/>
  <c r="J4988" i="1"/>
  <c r="J4984" i="1"/>
  <c r="J4980" i="1"/>
  <c r="J4976" i="1"/>
  <c r="J4972" i="1"/>
  <c r="J4968" i="1"/>
  <c r="J4964" i="1"/>
  <c r="J4960" i="1"/>
  <c r="J4956" i="1"/>
  <c r="J4952" i="1"/>
  <c r="J4948" i="1"/>
  <c r="J4944" i="1"/>
  <c r="J4940" i="1"/>
  <c r="J4936" i="1"/>
  <c r="J4932" i="1"/>
  <c r="J4928" i="1"/>
  <c r="J4924" i="1"/>
  <c r="J4920" i="1"/>
  <c r="J4916" i="1"/>
  <c r="J4912" i="1"/>
  <c r="J4908" i="1"/>
  <c r="J4904" i="1"/>
  <c r="J4900" i="1"/>
  <c r="J4896" i="1"/>
  <c r="J4892" i="1"/>
  <c r="J4888" i="1"/>
  <c r="J4884" i="1"/>
  <c r="J4880" i="1"/>
  <c r="J4876" i="1"/>
  <c r="J4872" i="1"/>
  <c r="J4868" i="1"/>
  <c r="J4864" i="1"/>
  <c r="J4860" i="1"/>
  <c r="J4856" i="1"/>
  <c r="J4852" i="1"/>
  <c r="J4848" i="1"/>
  <c r="J4844" i="1"/>
  <c r="J4840" i="1"/>
  <c r="J4836" i="1"/>
  <c r="J4832" i="1"/>
  <c r="J4828" i="1"/>
  <c r="J4824" i="1"/>
  <c r="J4820" i="1"/>
  <c r="J4816" i="1"/>
  <c r="J4812" i="1"/>
  <c r="J4808" i="1"/>
  <c r="J4804" i="1"/>
  <c r="J4800" i="1"/>
  <c r="J4796" i="1"/>
  <c r="J4792" i="1"/>
  <c r="J4788" i="1"/>
  <c r="J4784" i="1"/>
  <c r="J4780" i="1"/>
  <c r="J4776" i="1"/>
  <c r="J4772" i="1"/>
  <c r="J4768" i="1"/>
  <c r="J4764" i="1"/>
  <c r="J4760" i="1"/>
  <c r="J4756" i="1"/>
  <c r="J4752" i="1"/>
  <c r="J4748" i="1"/>
  <c r="J4744" i="1"/>
  <c r="J4740" i="1"/>
  <c r="J4736" i="1"/>
  <c r="J4732" i="1"/>
  <c r="J4728" i="1"/>
  <c r="J4724" i="1"/>
  <c r="J4720" i="1"/>
  <c r="J4716" i="1"/>
  <c r="J4712" i="1"/>
  <c r="J4708" i="1"/>
  <c r="J4704" i="1"/>
  <c r="J4700" i="1"/>
  <c r="J4696" i="1"/>
  <c r="J4692" i="1"/>
  <c r="J4688" i="1"/>
  <c r="J4684" i="1"/>
  <c r="J4680" i="1"/>
  <c r="J4676" i="1"/>
  <c r="J4672" i="1"/>
  <c r="J4668" i="1"/>
  <c r="J4664" i="1"/>
  <c r="J4660" i="1"/>
  <c r="J4656" i="1"/>
  <c r="J4652" i="1"/>
  <c r="J4648" i="1"/>
  <c r="J4644" i="1"/>
  <c r="J4640" i="1"/>
  <c r="J4636" i="1"/>
  <c r="J4632" i="1"/>
  <c r="J4628" i="1"/>
  <c r="J4624" i="1"/>
  <c r="J4620" i="1"/>
  <c r="J4616" i="1"/>
  <c r="J4612" i="1"/>
  <c r="J4608" i="1"/>
  <c r="J4604" i="1"/>
  <c r="J4600" i="1"/>
  <c r="J4596" i="1"/>
  <c r="J4592" i="1"/>
  <c r="J4588" i="1"/>
  <c r="J4584" i="1"/>
  <c r="J4580" i="1"/>
  <c r="J4576" i="1"/>
  <c r="J4572" i="1"/>
  <c r="J4568" i="1"/>
  <c r="J4564" i="1"/>
  <c r="J4560" i="1"/>
  <c r="J4556" i="1"/>
  <c r="J4552" i="1"/>
  <c r="J4548" i="1"/>
  <c r="J4544" i="1"/>
  <c r="J4540" i="1"/>
  <c r="J4536" i="1"/>
  <c r="J4532" i="1"/>
  <c r="J4528" i="1"/>
  <c r="J4524" i="1"/>
  <c r="J4520" i="1"/>
  <c r="J4516" i="1"/>
  <c r="J4512" i="1"/>
  <c r="J4508" i="1"/>
  <c r="J4504" i="1"/>
  <c r="J4500" i="1"/>
  <c r="J4496" i="1"/>
  <c r="J4492" i="1"/>
  <c r="J4488" i="1"/>
  <c r="J4484" i="1"/>
  <c r="J4480" i="1"/>
  <c r="J4476" i="1"/>
  <c r="J4472" i="1"/>
  <c r="J4468" i="1"/>
  <c r="J4464" i="1"/>
  <c r="J4460" i="1"/>
  <c r="J4456" i="1"/>
  <c r="J4452" i="1"/>
  <c r="J4446" i="1"/>
  <c r="J4438" i="1"/>
  <c r="J4430" i="1"/>
  <c r="J4422" i="1"/>
  <c r="J4414" i="1"/>
  <c r="J4406" i="1"/>
  <c r="J4398" i="1"/>
  <c r="J4385" i="1"/>
  <c r="J4369" i="1"/>
  <c r="J4353" i="1"/>
  <c r="J4337" i="1"/>
  <c r="J4321" i="1"/>
  <c r="J4305" i="1"/>
  <c r="J4289" i="1"/>
  <c r="J4273" i="1"/>
  <c r="J4257" i="1"/>
  <c r="J4241" i="1"/>
  <c r="J4225" i="1"/>
  <c r="J4209" i="1"/>
  <c r="J4193" i="1"/>
  <c r="J4177" i="1"/>
  <c r="J4161" i="1"/>
  <c r="J4145" i="1"/>
  <c r="J4129" i="1"/>
  <c r="J4113" i="1"/>
  <c r="J4097" i="1"/>
  <c r="J4081" i="1"/>
  <c r="J4065" i="1"/>
  <c r="J4049" i="1"/>
  <c r="J4033" i="1"/>
  <c r="J4017" i="1"/>
  <c r="J4001" i="1"/>
  <c r="J3985" i="1"/>
  <c r="J3969" i="1"/>
  <c r="J3953" i="1"/>
  <c r="J3937" i="1"/>
  <c r="J3921" i="1"/>
  <c r="J3905" i="1"/>
  <c r="J3889" i="1"/>
  <c r="J3873" i="1"/>
  <c r="J3857" i="1"/>
  <c r="J3841" i="1"/>
  <c r="J3825" i="1"/>
  <c r="J3809" i="1"/>
  <c r="J3793" i="1"/>
  <c r="J3777" i="1"/>
  <c r="J3761" i="1"/>
  <c r="J3745" i="1"/>
  <c r="J3729" i="1"/>
  <c r="J3713" i="1"/>
  <c r="J3697" i="1"/>
  <c r="J3681" i="1"/>
  <c r="J3665" i="1"/>
  <c r="J3649" i="1"/>
  <c r="J3633" i="1"/>
  <c r="J3617" i="1"/>
  <c r="J3601" i="1"/>
  <c r="J3585" i="1"/>
  <c r="J3569" i="1"/>
  <c r="J3553" i="1"/>
  <c r="J3537" i="1"/>
  <c r="J3521" i="1"/>
  <c r="J3505" i="1"/>
  <c r="J3489" i="1"/>
  <c r="J3473" i="1"/>
  <c r="J3457" i="1"/>
  <c r="J3441" i="1"/>
  <c r="J3425" i="1"/>
  <c r="J3409" i="1"/>
  <c r="J3393" i="1"/>
  <c r="J3373" i="1"/>
  <c r="J3329" i="1"/>
  <c r="J3265" i="1"/>
  <c r="J3201" i="1"/>
  <c r="J3137" i="1"/>
  <c r="J3073" i="1"/>
  <c r="J3009" i="1"/>
  <c r="J2945" i="1"/>
  <c r="J2881" i="1"/>
  <c r="J2817" i="1"/>
  <c r="J2753" i="1"/>
  <c r="J2689" i="1"/>
  <c r="J2625" i="1"/>
  <c r="J2561" i="1"/>
  <c r="J2497" i="1"/>
  <c r="J2433" i="1"/>
  <c r="J2369" i="1"/>
  <c r="J2305" i="1"/>
  <c r="J2235" i="1"/>
  <c r="J2122" i="1"/>
  <c r="J1866" i="1"/>
  <c r="J2" i="1"/>
  <c r="J6" i="1"/>
  <c r="J10" i="1"/>
  <c r="J14" i="1"/>
  <c r="J18" i="1"/>
  <c r="J22" i="1"/>
  <c r="J26" i="1"/>
  <c r="J30" i="1"/>
  <c r="J34" i="1"/>
  <c r="J38" i="1"/>
  <c r="J42" i="1"/>
  <c r="J46" i="1"/>
  <c r="J50" i="1"/>
  <c r="J54" i="1"/>
  <c r="J58" i="1"/>
  <c r="J62" i="1"/>
  <c r="J66" i="1"/>
  <c r="J70" i="1"/>
  <c r="J74" i="1"/>
  <c r="J78" i="1"/>
  <c r="J82" i="1"/>
  <c r="J86" i="1"/>
  <c r="J90" i="1"/>
  <c r="J94" i="1"/>
  <c r="J98" i="1"/>
  <c r="J102" i="1"/>
  <c r="J106" i="1"/>
  <c r="J110" i="1"/>
  <c r="J114" i="1"/>
  <c r="J118" i="1"/>
  <c r="J122" i="1"/>
  <c r="J126" i="1"/>
  <c r="J130" i="1"/>
  <c r="J134" i="1"/>
  <c r="J138" i="1"/>
  <c r="J142" i="1"/>
  <c r="J146" i="1"/>
  <c r="J150" i="1"/>
  <c r="J154" i="1"/>
  <c r="J158" i="1"/>
  <c r="J162" i="1"/>
  <c r="J166" i="1"/>
  <c r="J170" i="1"/>
  <c r="J174" i="1"/>
  <c r="J178" i="1"/>
  <c r="J182" i="1"/>
  <c r="J186" i="1"/>
  <c r="J190" i="1"/>
  <c r="J194" i="1"/>
  <c r="J198" i="1"/>
  <c r="J202" i="1"/>
  <c r="J206" i="1"/>
  <c r="J210" i="1"/>
  <c r="J214" i="1"/>
  <c r="J218" i="1"/>
  <c r="J222" i="1"/>
  <c r="J226" i="1"/>
  <c r="J230" i="1"/>
  <c r="J234" i="1"/>
  <c r="J238" i="1"/>
  <c r="J242" i="1"/>
  <c r="J246" i="1"/>
  <c r="J250" i="1"/>
  <c r="J254" i="1"/>
  <c r="J258" i="1"/>
  <c r="J262" i="1"/>
  <c r="J266" i="1"/>
  <c r="J270" i="1"/>
  <c r="J274" i="1"/>
  <c r="J278" i="1"/>
  <c r="J282" i="1"/>
  <c r="J286" i="1"/>
  <c r="J290" i="1"/>
  <c r="J294" i="1"/>
  <c r="J298" i="1"/>
  <c r="J302" i="1"/>
  <c r="J306" i="1"/>
  <c r="J310" i="1"/>
  <c r="J314" i="1"/>
  <c r="J318" i="1"/>
  <c r="J322" i="1"/>
  <c r="J326" i="1"/>
  <c r="J330" i="1"/>
  <c r="J334" i="1"/>
  <c r="J338" i="1"/>
  <c r="J3" i="1"/>
  <c r="J4" i="1"/>
  <c r="J8" i="1"/>
  <c r="J12" i="1"/>
  <c r="J16" i="1"/>
  <c r="J20" i="1"/>
  <c r="J24" i="1"/>
  <c r="J28" i="1"/>
  <c r="J32" i="1"/>
  <c r="J36" i="1"/>
  <c r="J40" i="1"/>
  <c r="J44" i="1"/>
  <c r="J48" i="1"/>
  <c r="J52" i="1"/>
  <c r="J56" i="1"/>
  <c r="J60" i="1"/>
  <c r="J64" i="1"/>
  <c r="J68" i="1"/>
  <c r="J72" i="1"/>
  <c r="J76" i="1"/>
  <c r="J80" i="1"/>
  <c r="J84" i="1"/>
  <c r="J88" i="1"/>
  <c r="J92" i="1"/>
  <c r="J96" i="1"/>
  <c r="J100" i="1"/>
  <c r="J104" i="1"/>
  <c r="J108" i="1"/>
  <c r="J112" i="1"/>
  <c r="J116" i="1"/>
  <c r="J120" i="1"/>
  <c r="J124" i="1"/>
  <c r="J128" i="1"/>
  <c r="J132" i="1"/>
  <c r="J136" i="1"/>
  <c r="J140" i="1"/>
  <c r="J144" i="1"/>
  <c r="J148" i="1"/>
  <c r="J152" i="1"/>
  <c r="J156" i="1"/>
  <c r="J160" i="1"/>
  <c r="J164" i="1"/>
  <c r="J168" i="1"/>
  <c r="J172" i="1"/>
  <c r="J176" i="1"/>
  <c r="J180" i="1"/>
  <c r="J184" i="1"/>
  <c r="J188" i="1"/>
  <c r="J192" i="1"/>
  <c r="J196" i="1"/>
  <c r="J200" i="1"/>
  <c r="J204" i="1"/>
  <c r="J208" i="1"/>
  <c r="J212" i="1"/>
  <c r="J216" i="1"/>
  <c r="J220" i="1"/>
  <c r="J224" i="1"/>
  <c r="J228" i="1"/>
  <c r="J232" i="1"/>
  <c r="J236" i="1"/>
  <c r="J240" i="1"/>
  <c r="J244" i="1"/>
  <c r="J248" i="1"/>
  <c r="J252" i="1"/>
  <c r="J256" i="1"/>
  <c r="J260" i="1"/>
  <c r="J264" i="1"/>
  <c r="J268" i="1"/>
  <c r="J272" i="1"/>
  <c r="J276" i="1"/>
  <c r="J280" i="1"/>
  <c r="J284" i="1"/>
  <c r="J288" i="1"/>
  <c r="J292" i="1"/>
  <c r="J296" i="1"/>
  <c r="J300" i="1"/>
  <c r="J304" i="1"/>
  <c r="J308" i="1"/>
  <c r="J312" i="1"/>
  <c r="J316" i="1"/>
  <c r="J320" i="1"/>
  <c r="J324" i="1"/>
  <c r="J328" i="1"/>
  <c r="J332" i="1"/>
  <c r="J336" i="1"/>
  <c r="J340" i="1"/>
  <c r="J5" i="1"/>
  <c r="J9" i="1"/>
  <c r="J13" i="1"/>
  <c r="J17" i="1"/>
  <c r="J21" i="1"/>
  <c r="J25" i="1"/>
  <c r="J29" i="1"/>
  <c r="J33" i="1"/>
  <c r="J37" i="1"/>
  <c r="J41" i="1"/>
  <c r="J45" i="1"/>
  <c r="J49" i="1"/>
  <c r="J53" i="1"/>
  <c r="J57" i="1"/>
  <c r="J61" i="1"/>
  <c r="J65" i="1"/>
  <c r="J69" i="1"/>
  <c r="J73" i="1"/>
  <c r="J77" i="1"/>
  <c r="J81" i="1"/>
  <c r="J85" i="1"/>
  <c r="J89" i="1"/>
  <c r="J93" i="1"/>
  <c r="J97" i="1"/>
  <c r="J101" i="1"/>
  <c r="J105" i="1"/>
  <c r="J109" i="1"/>
  <c r="J113" i="1"/>
  <c r="J117" i="1"/>
  <c r="J121" i="1"/>
  <c r="J125" i="1"/>
  <c r="J129" i="1"/>
  <c r="J133" i="1"/>
  <c r="J137" i="1"/>
  <c r="J141" i="1"/>
  <c r="J145" i="1"/>
  <c r="J149" i="1"/>
  <c r="J153" i="1"/>
  <c r="J157" i="1"/>
  <c r="J161" i="1"/>
  <c r="J165" i="1"/>
  <c r="J169" i="1"/>
  <c r="J173" i="1"/>
  <c r="J177" i="1"/>
  <c r="J181" i="1"/>
  <c r="J185" i="1"/>
  <c r="J189" i="1"/>
  <c r="J193" i="1"/>
  <c r="J197" i="1"/>
  <c r="J201" i="1"/>
  <c r="J205" i="1"/>
  <c r="J209" i="1"/>
  <c r="J213" i="1"/>
  <c r="J217" i="1"/>
  <c r="J221" i="1"/>
  <c r="J225" i="1"/>
  <c r="J229" i="1"/>
  <c r="J233" i="1"/>
  <c r="J237" i="1"/>
  <c r="J241" i="1"/>
  <c r="J245" i="1"/>
  <c r="J249" i="1"/>
  <c r="J253" i="1"/>
  <c r="J257" i="1"/>
  <c r="J261" i="1"/>
  <c r="J265" i="1"/>
  <c r="J269" i="1"/>
  <c r="J273" i="1"/>
  <c r="J277" i="1"/>
  <c r="J281" i="1"/>
  <c r="J285" i="1"/>
  <c r="J289" i="1"/>
  <c r="J293" i="1"/>
  <c r="J297" i="1"/>
  <c r="J301" i="1"/>
  <c r="J305" i="1"/>
  <c r="J309" i="1"/>
  <c r="J313" i="1"/>
  <c r="J317" i="1"/>
  <c r="J321" i="1"/>
  <c r="J325" i="1"/>
  <c r="J329" i="1"/>
  <c r="J333" i="1"/>
  <c r="J337" i="1"/>
  <c r="J7" i="1"/>
  <c r="J23" i="1"/>
  <c r="J39" i="1"/>
  <c r="J55" i="1"/>
  <c r="J71" i="1"/>
  <c r="J87" i="1"/>
  <c r="J103" i="1"/>
  <c r="J119" i="1"/>
  <c r="J135" i="1"/>
  <c r="J151" i="1"/>
  <c r="J167" i="1"/>
  <c r="J183" i="1"/>
  <c r="J199" i="1"/>
  <c r="J215" i="1"/>
  <c r="J231" i="1"/>
  <c r="J247" i="1"/>
  <c r="J263" i="1"/>
  <c r="J279" i="1"/>
  <c r="J295" i="1"/>
  <c r="J311" i="1"/>
  <c r="J327" i="1"/>
  <c r="J341" i="1"/>
  <c r="J345" i="1"/>
  <c r="J349" i="1"/>
  <c r="J353" i="1"/>
  <c r="J357" i="1"/>
  <c r="J361" i="1"/>
  <c r="J365" i="1"/>
  <c r="J369" i="1"/>
  <c r="J373" i="1"/>
  <c r="J377" i="1"/>
  <c r="J381" i="1"/>
  <c r="J385" i="1"/>
  <c r="J389" i="1"/>
  <c r="J393" i="1"/>
  <c r="J397" i="1"/>
  <c r="J401" i="1"/>
  <c r="J405" i="1"/>
  <c r="J409" i="1"/>
  <c r="J413" i="1"/>
  <c r="J417" i="1"/>
  <c r="J421" i="1"/>
  <c r="J425" i="1"/>
  <c r="J429" i="1"/>
  <c r="J433" i="1"/>
  <c r="J437" i="1"/>
  <c r="J441" i="1"/>
  <c r="J445" i="1"/>
  <c r="J449" i="1"/>
  <c r="J453" i="1"/>
  <c r="J457" i="1"/>
  <c r="J461" i="1"/>
  <c r="J465" i="1"/>
  <c r="J469" i="1"/>
  <c r="J473" i="1"/>
  <c r="J477" i="1"/>
  <c r="J481" i="1"/>
  <c r="J485" i="1"/>
  <c r="J489" i="1"/>
  <c r="J493" i="1"/>
  <c r="J497" i="1"/>
  <c r="J501" i="1"/>
  <c r="J505" i="1"/>
  <c r="J509" i="1"/>
  <c r="J513" i="1"/>
  <c r="J517" i="1"/>
  <c r="J521" i="1"/>
  <c r="J525" i="1"/>
  <c r="J529" i="1"/>
  <c r="J533" i="1"/>
  <c r="J537" i="1"/>
  <c r="J541" i="1"/>
  <c r="J545" i="1"/>
  <c r="J549" i="1"/>
  <c r="J553" i="1"/>
  <c r="J557" i="1"/>
  <c r="J561" i="1"/>
  <c r="J565" i="1"/>
  <c r="J569" i="1"/>
  <c r="J573" i="1"/>
  <c r="J577" i="1"/>
  <c r="J581" i="1"/>
  <c r="J585" i="1"/>
  <c r="J589" i="1"/>
  <c r="J11" i="1"/>
  <c r="J27" i="1"/>
  <c r="J43" i="1"/>
  <c r="J59" i="1"/>
  <c r="J75" i="1"/>
  <c r="J91" i="1"/>
  <c r="J107" i="1"/>
  <c r="J123" i="1"/>
  <c r="J139" i="1"/>
  <c r="J155" i="1"/>
  <c r="J171" i="1"/>
  <c r="J187" i="1"/>
  <c r="J203" i="1"/>
  <c r="J219" i="1"/>
  <c r="J235" i="1"/>
  <c r="J251" i="1"/>
  <c r="J267" i="1"/>
  <c r="J283" i="1"/>
  <c r="J299" i="1"/>
  <c r="J315" i="1"/>
  <c r="J331" i="1"/>
  <c r="J342" i="1"/>
  <c r="J346" i="1"/>
  <c r="J350" i="1"/>
  <c r="J354" i="1"/>
  <c r="J358" i="1"/>
  <c r="J362" i="1"/>
  <c r="J366" i="1"/>
  <c r="J370" i="1"/>
  <c r="J374" i="1"/>
  <c r="J378" i="1"/>
  <c r="J382" i="1"/>
  <c r="J386" i="1"/>
  <c r="J390" i="1"/>
  <c r="J394" i="1"/>
  <c r="J398" i="1"/>
  <c r="J402" i="1"/>
  <c r="J406" i="1"/>
  <c r="J410" i="1"/>
  <c r="J414" i="1"/>
  <c r="J418" i="1"/>
  <c r="J422" i="1"/>
  <c r="J426" i="1"/>
  <c r="J430" i="1"/>
  <c r="J434" i="1"/>
  <c r="J438" i="1"/>
  <c r="J442" i="1"/>
  <c r="J446" i="1"/>
  <c r="J450" i="1"/>
  <c r="J454" i="1"/>
  <c r="J458" i="1"/>
  <c r="J462" i="1"/>
  <c r="J466" i="1"/>
  <c r="J470" i="1"/>
  <c r="J474" i="1"/>
  <c r="J478" i="1"/>
  <c r="J482" i="1"/>
  <c r="J486" i="1"/>
  <c r="J490" i="1"/>
  <c r="J494" i="1"/>
  <c r="J498" i="1"/>
  <c r="J502" i="1"/>
  <c r="J506" i="1"/>
  <c r="J510" i="1"/>
  <c r="J514" i="1"/>
  <c r="J518" i="1"/>
  <c r="J522" i="1"/>
  <c r="J526" i="1"/>
  <c r="J530" i="1"/>
  <c r="J534" i="1"/>
  <c r="J538" i="1"/>
  <c r="J542" i="1"/>
  <c r="J546" i="1"/>
  <c r="J550" i="1"/>
  <c r="J554" i="1"/>
  <c r="J558" i="1"/>
  <c r="J562" i="1"/>
  <c r="J566" i="1"/>
  <c r="J570" i="1"/>
  <c r="J574" i="1"/>
  <c r="J578" i="1"/>
  <c r="J582" i="1"/>
  <c r="J586" i="1"/>
  <c r="J590" i="1"/>
  <c r="J594" i="1"/>
  <c r="J15" i="1"/>
  <c r="J31" i="1"/>
  <c r="J47" i="1"/>
  <c r="J63" i="1"/>
  <c r="J79" i="1"/>
  <c r="J95" i="1"/>
  <c r="J111" i="1"/>
  <c r="J127" i="1"/>
  <c r="J143" i="1"/>
  <c r="J159" i="1"/>
  <c r="J175" i="1"/>
  <c r="J191" i="1"/>
  <c r="J207" i="1"/>
  <c r="J223" i="1"/>
  <c r="J239" i="1"/>
  <c r="J255" i="1"/>
  <c r="J271" i="1"/>
  <c r="J287" i="1"/>
  <c r="J303" i="1"/>
  <c r="J319" i="1"/>
  <c r="J335" i="1"/>
  <c r="J343" i="1"/>
  <c r="J347" i="1"/>
  <c r="J351" i="1"/>
  <c r="J355" i="1"/>
  <c r="J359" i="1"/>
  <c r="J363" i="1"/>
  <c r="J367" i="1"/>
  <c r="J371" i="1"/>
  <c r="J375" i="1"/>
  <c r="J379" i="1"/>
  <c r="J383" i="1"/>
  <c r="J387" i="1"/>
  <c r="J391" i="1"/>
  <c r="J395" i="1"/>
  <c r="J399" i="1"/>
  <c r="J403" i="1"/>
  <c r="J407" i="1"/>
  <c r="J411" i="1"/>
  <c r="J415" i="1"/>
  <c r="J419" i="1"/>
  <c r="J423" i="1"/>
  <c r="J427" i="1"/>
  <c r="J431" i="1"/>
  <c r="J435" i="1"/>
  <c r="J439" i="1"/>
  <c r="J443" i="1"/>
  <c r="J447" i="1"/>
  <c r="J451" i="1"/>
  <c r="J455" i="1"/>
  <c r="J459" i="1"/>
  <c r="J463" i="1"/>
  <c r="J467" i="1"/>
  <c r="J471" i="1"/>
  <c r="J475" i="1"/>
  <c r="J479" i="1"/>
  <c r="J483" i="1"/>
  <c r="J487" i="1"/>
  <c r="J491" i="1"/>
  <c r="J495" i="1"/>
  <c r="J499" i="1"/>
  <c r="J503" i="1"/>
  <c r="J507" i="1"/>
  <c r="J511" i="1"/>
  <c r="J515" i="1"/>
  <c r="J519" i="1"/>
  <c r="J523" i="1"/>
  <c r="J527" i="1"/>
  <c r="J531" i="1"/>
  <c r="J535" i="1"/>
  <c r="J539" i="1"/>
  <c r="J543" i="1"/>
  <c r="J547" i="1"/>
  <c r="J551" i="1"/>
  <c r="J555" i="1"/>
  <c r="J559" i="1"/>
  <c r="J563" i="1"/>
  <c r="J567" i="1"/>
  <c r="J571" i="1"/>
  <c r="J575" i="1"/>
  <c r="J579" i="1"/>
  <c r="J583" i="1"/>
  <c r="J587" i="1"/>
  <c r="J591" i="1"/>
  <c r="J595" i="1"/>
  <c r="J19" i="1"/>
  <c r="J83" i="1"/>
  <c r="J147" i="1"/>
  <c r="J211" i="1"/>
  <c r="J275" i="1"/>
  <c r="J339" i="1"/>
  <c r="J356" i="1"/>
  <c r="J372" i="1"/>
  <c r="J388" i="1"/>
  <c r="J404" i="1"/>
  <c r="J420" i="1"/>
  <c r="J436" i="1"/>
  <c r="J452" i="1"/>
  <c r="J468" i="1"/>
  <c r="J484" i="1"/>
  <c r="J500" i="1"/>
  <c r="J516" i="1"/>
  <c r="J532" i="1"/>
  <c r="J548" i="1"/>
  <c r="J564" i="1"/>
  <c r="J580" i="1"/>
  <c r="J593" i="1"/>
  <c r="J599" i="1"/>
  <c r="J603" i="1"/>
  <c r="J607" i="1"/>
  <c r="J611" i="1"/>
  <c r="J615" i="1"/>
  <c r="J619" i="1"/>
  <c r="J623" i="1"/>
  <c r="J627" i="1"/>
  <c r="J631" i="1"/>
  <c r="J635" i="1"/>
  <c r="J639" i="1"/>
  <c r="J643" i="1"/>
  <c r="J647" i="1"/>
  <c r="J651" i="1"/>
  <c r="J655" i="1"/>
  <c r="J659" i="1"/>
  <c r="J663" i="1"/>
  <c r="J667" i="1"/>
  <c r="J671" i="1"/>
  <c r="J675" i="1"/>
  <c r="J679" i="1"/>
  <c r="J683" i="1"/>
  <c r="J687" i="1"/>
  <c r="J691" i="1"/>
  <c r="J695" i="1"/>
  <c r="J699" i="1"/>
  <c r="J703" i="1"/>
  <c r="J707" i="1"/>
  <c r="J711" i="1"/>
  <c r="J715" i="1"/>
  <c r="J719" i="1"/>
  <c r="J723" i="1"/>
  <c r="J727" i="1"/>
  <c r="J731" i="1"/>
  <c r="J735" i="1"/>
  <c r="J739" i="1"/>
  <c r="J743" i="1"/>
  <c r="J747" i="1"/>
  <c r="J751" i="1"/>
  <c r="J755" i="1"/>
  <c r="J759" i="1"/>
  <c r="J763" i="1"/>
  <c r="J767" i="1"/>
  <c r="J771" i="1"/>
  <c r="J775" i="1"/>
  <c r="J779" i="1"/>
  <c r="J783" i="1"/>
  <c r="J787" i="1"/>
  <c r="J791" i="1"/>
  <c r="J795" i="1"/>
  <c r="J799" i="1"/>
  <c r="J803" i="1"/>
  <c r="J807" i="1"/>
  <c r="J811" i="1"/>
  <c r="J815" i="1"/>
  <c r="J819" i="1"/>
  <c r="J823" i="1"/>
  <c r="J827" i="1"/>
  <c r="J831" i="1"/>
  <c r="J835" i="1"/>
  <c r="J839" i="1"/>
  <c r="J843" i="1"/>
  <c r="J847" i="1"/>
  <c r="J851" i="1"/>
  <c r="J855" i="1"/>
  <c r="J859" i="1"/>
  <c r="J863" i="1"/>
  <c r="J867" i="1"/>
  <c r="J871" i="1"/>
  <c r="J875" i="1"/>
  <c r="J879" i="1"/>
  <c r="J883" i="1"/>
  <c r="J887" i="1"/>
  <c r="J891" i="1"/>
  <c r="J895" i="1"/>
  <c r="J899" i="1"/>
  <c r="J903" i="1"/>
  <c r="J907" i="1"/>
  <c r="J911" i="1"/>
  <c r="J915" i="1"/>
  <c r="J919" i="1"/>
  <c r="J923" i="1"/>
  <c r="J927" i="1"/>
  <c r="J931" i="1"/>
  <c r="J935" i="1"/>
  <c r="J939" i="1"/>
  <c r="J943" i="1"/>
  <c r="J947" i="1"/>
  <c r="J951" i="1"/>
  <c r="J955" i="1"/>
  <c r="J959" i="1"/>
  <c r="J963" i="1"/>
  <c r="J967" i="1"/>
  <c r="J971" i="1"/>
  <c r="J975" i="1"/>
  <c r="J979" i="1"/>
  <c r="J983" i="1"/>
  <c r="J987" i="1"/>
  <c r="J991" i="1"/>
  <c r="J995" i="1"/>
  <c r="J999" i="1"/>
  <c r="J1003" i="1"/>
  <c r="J1007" i="1"/>
  <c r="J1011" i="1"/>
  <c r="J1015" i="1"/>
  <c r="J1019" i="1"/>
  <c r="J1023" i="1"/>
  <c r="J1027" i="1"/>
  <c r="J1031" i="1"/>
  <c r="J1035" i="1"/>
  <c r="J1039" i="1"/>
  <c r="J1043" i="1"/>
  <c r="J1047" i="1"/>
  <c r="J1051" i="1"/>
  <c r="J1055" i="1"/>
  <c r="J1059" i="1"/>
  <c r="J1063" i="1"/>
  <c r="J1067" i="1"/>
  <c r="J1071" i="1"/>
  <c r="J1075" i="1"/>
  <c r="J1079" i="1"/>
  <c r="J1083" i="1"/>
  <c r="J1087" i="1"/>
  <c r="J1091" i="1"/>
  <c r="J35" i="1"/>
  <c r="J99" i="1"/>
  <c r="J163" i="1"/>
  <c r="J227" i="1"/>
  <c r="J291" i="1"/>
  <c r="J344" i="1"/>
  <c r="J360" i="1"/>
  <c r="J376" i="1"/>
  <c r="J392" i="1"/>
  <c r="J408" i="1"/>
  <c r="J424" i="1"/>
  <c r="J440" i="1"/>
  <c r="J456" i="1"/>
  <c r="J472" i="1"/>
  <c r="J488" i="1"/>
  <c r="J504" i="1"/>
  <c r="J520" i="1"/>
  <c r="J536" i="1"/>
  <c r="J552" i="1"/>
  <c r="J568" i="1"/>
  <c r="J584" i="1"/>
  <c r="J596" i="1"/>
  <c r="J600" i="1"/>
  <c r="J604" i="1"/>
  <c r="J608" i="1"/>
  <c r="J612" i="1"/>
  <c r="J616" i="1"/>
  <c r="J620" i="1"/>
  <c r="J624" i="1"/>
  <c r="J628" i="1"/>
  <c r="J632" i="1"/>
  <c r="J636" i="1"/>
  <c r="J640" i="1"/>
  <c r="J644" i="1"/>
  <c r="J648" i="1"/>
  <c r="J652" i="1"/>
  <c r="J656" i="1"/>
  <c r="J660" i="1"/>
  <c r="J664" i="1"/>
  <c r="J668" i="1"/>
  <c r="J672" i="1"/>
  <c r="J676" i="1"/>
  <c r="J680" i="1"/>
  <c r="J684" i="1"/>
  <c r="J688" i="1"/>
  <c r="J692" i="1"/>
  <c r="J696" i="1"/>
  <c r="J700" i="1"/>
  <c r="J704" i="1"/>
  <c r="J708" i="1"/>
  <c r="J712" i="1"/>
  <c r="J716" i="1"/>
  <c r="J720" i="1"/>
  <c r="J724" i="1"/>
  <c r="J728" i="1"/>
  <c r="J732" i="1"/>
  <c r="J736" i="1"/>
  <c r="J740" i="1"/>
  <c r="J744" i="1"/>
  <c r="J748" i="1"/>
  <c r="J752" i="1"/>
  <c r="J756" i="1"/>
  <c r="J760" i="1"/>
  <c r="J764" i="1"/>
  <c r="J768" i="1"/>
  <c r="J772" i="1"/>
  <c r="J776" i="1"/>
  <c r="J780" i="1"/>
  <c r="J784" i="1"/>
  <c r="J788" i="1"/>
  <c r="J792" i="1"/>
  <c r="J796" i="1"/>
  <c r="J800" i="1"/>
  <c r="J804" i="1"/>
  <c r="J808" i="1"/>
  <c r="J812" i="1"/>
  <c r="J816" i="1"/>
  <c r="J820" i="1"/>
  <c r="J824" i="1"/>
  <c r="J828" i="1"/>
  <c r="J832" i="1"/>
  <c r="J836" i="1"/>
  <c r="J840" i="1"/>
  <c r="J844" i="1"/>
  <c r="J848" i="1"/>
  <c r="J852" i="1"/>
  <c r="J856" i="1"/>
  <c r="J860" i="1"/>
  <c r="J864" i="1"/>
  <c r="J868" i="1"/>
  <c r="J872" i="1"/>
  <c r="J876" i="1"/>
  <c r="J880" i="1"/>
  <c r="J884" i="1"/>
  <c r="J888" i="1"/>
  <c r="J892" i="1"/>
  <c r="J896" i="1"/>
  <c r="J900" i="1"/>
  <c r="J904" i="1"/>
  <c r="J908" i="1"/>
  <c r="J912" i="1"/>
  <c r="J916" i="1"/>
  <c r="J920" i="1"/>
  <c r="J924" i="1"/>
  <c r="J928" i="1"/>
  <c r="J932" i="1"/>
  <c r="J936" i="1"/>
  <c r="J940" i="1"/>
  <c r="J944" i="1"/>
  <c r="J948" i="1"/>
  <c r="J952" i="1"/>
  <c r="J956" i="1"/>
  <c r="J960" i="1"/>
  <c r="J964" i="1"/>
  <c r="J968" i="1"/>
  <c r="J972" i="1"/>
  <c r="J976" i="1"/>
  <c r="J980" i="1"/>
  <c r="J984" i="1"/>
  <c r="J988" i="1"/>
  <c r="J992" i="1"/>
  <c r="J996" i="1"/>
  <c r="J1000" i="1"/>
  <c r="J1004" i="1"/>
  <c r="J1008" i="1"/>
  <c r="J1012" i="1"/>
  <c r="J1016" i="1"/>
  <c r="J1020" i="1"/>
  <c r="J1024" i="1"/>
  <c r="J1028" i="1"/>
  <c r="J1032" i="1"/>
  <c r="J1036" i="1"/>
  <c r="J1040" i="1"/>
  <c r="J1044" i="1"/>
  <c r="J1048" i="1"/>
  <c r="J1052" i="1"/>
  <c r="J1056" i="1"/>
  <c r="J1060" i="1"/>
  <c r="J1064" i="1"/>
  <c r="J1068" i="1"/>
  <c r="J1072" i="1"/>
  <c r="J1076" i="1"/>
  <c r="J1080" i="1"/>
  <c r="J1084" i="1"/>
  <c r="J1088" i="1"/>
  <c r="J1092" i="1"/>
  <c r="J1096" i="1"/>
  <c r="J51" i="1"/>
  <c r="J115" i="1"/>
  <c r="J179" i="1"/>
  <c r="J243" i="1"/>
  <c r="J307" i="1"/>
  <c r="J348" i="1"/>
  <c r="J364" i="1"/>
  <c r="J380" i="1"/>
  <c r="J396" i="1"/>
  <c r="J412" i="1"/>
  <c r="J428" i="1"/>
  <c r="J444" i="1"/>
  <c r="J460" i="1"/>
  <c r="J476" i="1"/>
  <c r="J492" i="1"/>
  <c r="J508" i="1"/>
  <c r="J524" i="1"/>
  <c r="J540" i="1"/>
  <c r="J556" i="1"/>
  <c r="J572" i="1"/>
  <c r="J588" i="1"/>
  <c r="J597" i="1"/>
  <c r="J601" i="1"/>
  <c r="J605" i="1"/>
  <c r="J609" i="1"/>
  <c r="J613" i="1"/>
  <c r="J617" i="1"/>
  <c r="J621" i="1"/>
  <c r="J625" i="1"/>
  <c r="J629" i="1"/>
  <c r="J633" i="1"/>
  <c r="J637" i="1"/>
  <c r="J641" i="1"/>
  <c r="J645" i="1"/>
  <c r="J649" i="1"/>
  <c r="J653" i="1"/>
  <c r="J657" i="1"/>
  <c r="J661" i="1"/>
  <c r="J665" i="1"/>
  <c r="J669" i="1"/>
  <c r="J673" i="1"/>
  <c r="J677" i="1"/>
  <c r="J681" i="1"/>
  <c r="J685" i="1"/>
  <c r="J689" i="1"/>
  <c r="J693" i="1"/>
  <c r="J697" i="1"/>
  <c r="J701" i="1"/>
  <c r="J705" i="1"/>
  <c r="J709" i="1"/>
  <c r="J713" i="1"/>
  <c r="J717" i="1"/>
  <c r="J721" i="1"/>
  <c r="J725" i="1"/>
  <c r="J729" i="1"/>
  <c r="J733" i="1"/>
  <c r="J737" i="1"/>
  <c r="J741" i="1"/>
  <c r="J745" i="1"/>
  <c r="J749" i="1"/>
  <c r="J753" i="1"/>
  <c r="J757" i="1"/>
  <c r="J761" i="1"/>
  <c r="J765" i="1"/>
  <c r="J769" i="1"/>
  <c r="J773" i="1"/>
  <c r="J777" i="1"/>
  <c r="J781" i="1"/>
  <c r="J785" i="1"/>
  <c r="J789" i="1"/>
  <c r="J793" i="1"/>
  <c r="J797" i="1"/>
  <c r="J801" i="1"/>
  <c r="J805" i="1"/>
  <c r="J809" i="1"/>
  <c r="J813" i="1"/>
  <c r="J817" i="1"/>
  <c r="J821" i="1"/>
  <c r="J825" i="1"/>
  <c r="J829" i="1"/>
  <c r="J833" i="1"/>
  <c r="J837" i="1"/>
  <c r="J841" i="1"/>
  <c r="J845" i="1"/>
  <c r="J849" i="1"/>
  <c r="J853" i="1"/>
  <c r="J857" i="1"/>
  <c r="J861" i="1"/>
  <c r="J865" i="1"/>
  <c r="J869" i="1"/>
  <c r="J873" i="1"/>
  <c r="J877" i="1"/>
  <c r="J881" i="1"/>
  <c r="J885" i="1"/>
  <c r="J889" i="1"/>
  <c r="J893" i="1"/>
  <c r="J897" i="1"/>
  <c r="J901" i="1"/>
  <c r="J905" i="1"/>
  <c r="J909" i="1"/>
  <c r="J913" i="1"/>
  <c r="J917" i="1"/>
  <c r="J921" i="1"/>
  <c r="J925" i="1"/>
  <c r="J929" i="1"/>
  <c r="J933" i="1"/>
  <c r="J937" i="1"/>
  <c r="J941" i="1"/>
  <c r="J945" i="1"/>
  <c r="J949" i="1"/>
  <c r="J953" i="1"/>
  <c r="J957" i="1"/>
  <c r="J961" i="1"/>
  <c r="J965" i="1"/>
  <c r="J969" i="1"/>
  <c r="J973" i="1"/>
  <c r="J977" i="1"/>
  <c r="J981" i="1"/>
  <c r="J985" i="1"/>
  <c r="J989" i="1"/>
  <c r="J993" i="1"/>
  <c r="J997" i="1"/>
  <c r="J1001" i="1"/>
  <c r="J1005" i="1"/>
  <c r="J1009" i="1"/>
  <c r="J1013" i="1"/>
  <c r="J1017" i="1"/>
  <c r="J1021" i="1"/>
  <c r="J1025" i="1"/>
  <c r="J1029" i="1"/>
  <c r="J1033" i="1"/>
  <c r="J1037" i="1"/>
  <c r="J1041" i="1"/>
  <c r="J1045" i="1"/>
  <c r="J1049" i="1"/>
  <c r="J1053" i="1"/>
  <c r="J1057" i="1"/>
  <c r="J1061" i="1"/>
  <c r="J1065" i="1"/>
  <c r="J1069" i="1"/>
  <c r="J1073" i="1"/>
  <c r="J1077" i="1"/>
  <c r="J1081" i="1"/>
  <c r="J1085" i="1"/>
  <c r="J1089" i="1"/>
  <c r="J1093" i="1"/>
  <c r="J1097" i="1"/>
  <c r="J1101" i="1"/>
  <c r="J1105" i="1"/>
  <c r="J1109" i="1"/>
  <c r="J1113" i="1"/>
  <c r="J1117" i="1"/>
  <c r="J1121" i="1"/>
  <c r="J1125" i="1"/>
  <c r="J1129" i="1"/>
  <c r="J1133" i="1"/>
  <c r="J1137" i="1"/>
  <c r="J1141" i="1"/>
  <c r="J1145" i="1"/>
  <c r="J1149" i="1"/>
  <c r="J1153" i="1"/>
  <c r="J1157" i="1"/>
  <c r="J1161" i="1"/>
  <c r="J1165" i="1"/>
  <c r="J1169" i="1"/>
  <c r="J1173" i="1"/>
  <c r="J1177" i="1"/>
  <c r="J1181" i="1"/>
  <c r="J1185" i="1"/>
  <c r="J1189" i="1"/>
  <c r="J67" i="1"/>
  <c r="J323" i="1"/>
  <c r="J400" i="1"/>
  <c r="J464" i="1"/>
  <c r="J528" i="1"/>
  <c r="J592" i="1"/>
  <c r="J610" i="1"/>
  <c r="J626" i="1"/>
  <c r="J642" i="1"/>
  <c r="J658" i="1"/>
  <c r="J674" i="1"/>
  <c r="J690" i="1"/>
  <c r="J706" i="1"/>
  <c r="J722" i="1"/>
  <c r="J738" i="1"/>
  <c r="J754" i="1"/>
  <c r="J770" i="1"/>
  <c r="J786" i="1"/>
  <c r="J802" i="1"/>
  <c r="J818" i="1"/>
  <c r="J834" i="1"/>
  <c r="J850" i="1"/>
  <c r="J866" i="1"/>
  <c r="J882" i="1"/>
  <c r="J898" i="1"/>
  <c r="J914" i="1"/>
  <c r="J930" i="1"/>
  <c r="J946" i="1"/>
  <c r="J962" i="1"/>
  <c r="J978" i="1"/>
  <c r="J994" i="1"/>
  <c r="J1010" i="1"/>
  <c r="J1026" i="1"/>
  <c r="J1042" i="1"/>
  <c r="J1058" i="1"/>
  <c r="J1074" i="1"/>
  <c r="J1090" i="1"/>
  <c r="J1099" i="1"/>
  <c r="J1104" i="1"/>
  <c r="J1110" i="1"/>
  <c r="J1115" i="1"/>
  <c r="J1120" i="1"/>
  <c r="J1126" i="1"/>
  <c r="J1131" i="1"/>
  <c r="J1136" i="1"/>
  <c r="J1142" i="1"/>
  <c r="J1147" i="1"/>
  <c r="J1152" i="1"/>
  <c r="J1158" i="1"/>
  <c r="J1163" i="1"/>
  <c r="J1168" i="1"/>
  <c r="J1174" i="1"/>
  <c r="J1179" i="1"/>
  <c r="J1184" i="1"/>
  <c r="J1190" i="1"/>
  <c r="J1194" i="1"/>
  <c r="J1198" i="1"/>
  <c r="J1202" i="1"/>
  <c r="J1206" i="1"/>
  <c r="J1210" i="1"/>
  <c r="J1214" i="1"/>
  <c r="J1218" i="1"/>
  <c r="J1222" i="1"/>
  <c r="J1226" i="1"/>
  <c r="J1230" i="1"/>
  <c r="J1234" i="1"/>
  <c r="J1238" i="1"/>
  <c r="J1242" i="1"/>
  <c r="J1246" i="1"/>
  <c r="J1250" i="1"/>
  <c r="J1254" i="1"/>
  <c r="J1258" i="1"/>
  <c r="J1262" i="1"/>
  <c r="J1266" i="1"/>
  <c r="J1270" i="1"/>
  <c r="J1274" i="1"/>
  <c r="J1278" i="1"/>
  <c r="J1282" i="1"/>
  <c r="J1286" i="1"/>
  <c r="J1290" i="1"/>
  <c r="J1294" i="1"/>
  <c r="J1298" i="1"/>
  <c r="J1302" i="1"/>
  <c r="J1306" i="1"/>
  <c r="J1310" i="1"/>
  <c r="J1314" i="1"/>
  <c r="J1318" i="1"/>
  <c r="J1322" i="1"/>
  <c r="J1326" i="1"/>
  <c r="J1330" i="1"/>
  <c r="J1334" i="1"/>
  <c r="J1338" i="1"/>
  <c r="J1342" i="1"/>
  <c r="J1346" i="1"/>
  <c r="J1350" i="1"/>
  <c r="J1354" i="1"/>
  <c r="J1358" i="1"/>
  <c r="J1362" i="1"/>
  <c r="J1366" i="1"/>
  <c r="J1370" i="1"/>
  <c r="J1374" i="1"/>
  <c r="J1378" i="1"/>
  <c r="J1382" i="1"/>
  <c r="J1386" i="1"/>
  <c r="J1390" i="1"/>
  <c r="J1394" i="1"/>
  <c r="J1398" i="1"/>
  <c r="J1402" i="1"/>
  <c r="J1406" i="1"/>
  <c r="J1410" i="1"/>
  <c r="J1414" i="1"/>
  <c r="J1418" i="1"/>
  <c r="J1422" i="1"/>
  <c r="J1426" i="1"/>
  <c r="J1430" i="1"/>
  <c r="J1434" i="1"/>
  <c r="J1438" i="1"/>
  <c r="J1442" i="1"/>
  <c r="J1446" i="1"/>
  <c r="J1450" i="1"/>
  <c r="J1454" i="1"/>
  <c r="J1458" i="1"/>
  <c r="J1462" i="1"/>
  <c r="J1466" i="1"/>
  <c r="J1470" i="1"/>
  <c r="J1474" i="1"/>
  <c r="J1478" i="1"/>
  <c r="J1482" i="1"/>
  <c r="J1486" i="1"/>
  <c r="J1490" i="1"/>
  <c r="J1494" i="1"/>
  <c r="J1498" i="1"/>
  <c r="J1502" i="1"/>
  <c r="J1506" i="1"/>
  <c r="J1510" i="1"/>
  <c r="J1514" i="1"/>
  <c r="J1518" i="1"/>
  <c r="J1522" i="1"/>
  <c r="J1526" i="1"/>
  <c r="J1530" i="1"/>
  <c r="J1534" i="1"/>
  <c r="J1538" i="1"/>
  <c r="J1542" i="1"/>
  <c r="J1546" i="1"/>
  <c r="J1550" i="1"/>
  <c r="J1554" i="1"/>
  <c r="J1558" i="1"/>
  <c r="J1562" i="1"/>
  <c r="J1566" i="1"/>
  <c r="J1570" i="1"/>
  <c r="J1574" i="1"/>
  <c r="J1578" i="1"/>
  <c r="J1582" i="1"/>
  <c r="J1586" i="1"/>
  <c r="J1590" i="1"/>
  <c r="J1594" i="1"/>
  <c r="J1598" i="1"/>
  <c r="J1602" i="1"/>
  <c r="J1606" i="1"/>
  <c r="J1610" i="1"/>
  <c r="J1614" i="1"/>
  <c r="J1618" i="1"/>
  <c r="J1622" i="1"/>
  <c r="J1626" i="1"/>
  <c r="J1630" i="1"/>
  <c r="J1634" i="1"/>
  <c r="J1638" i="1"/>
  <c r="J1642" i="1"/>
  <c r="J131" i="1"/>
  <c r="J352" i="1"/>
  <c r="J416" i="1"/>
  <c r="J480" i="1"/>
  <c r="J544" i="1"/>
  <c r="J598" i="1"/>
  <c r="J614" i="1"/>
  <c r="J630" i="1"/>
  <c r="J646" i="1"/>
  <c r="J662" i="1"/>
  <c r="J678" i="1"/>
  <c r="J694" i="1"/>
  <c r="J710" i="1"/>
  <c r="J726" i="1"/>
  <c r="J742" i="1"/>
  <c r="J758" i="1"/>
  <c r="J774" i="1"/>
  <c r="J790" i="1"/>
  <c r="J806" i="1"/>
  <c r="J822" i="1"/>
  <c r="J838" i="1"/>
  <c r="J854" i="1"/>
  <c r="J870" i="1"/>
  <c r="J886" i="1"/>
  <c r="J902" i="1"/>
  <c r="J918" i="1"/>
  <c r="J934" i="1"/>
  <c r="J950" i="1"/>
  <c r="J966" i="1"/>
  <c r="J982" i="1"/>
  <c r="J998" i="1"/>
  <c r="J1014" i="1"/>
  <c r="J1030" i="1"/>
  <c r="J1046" i="1"/>
  <c r="J1062" i="1"/>
  <c r="J1078" i="1"/>
  <c r="J1094" i="1"/>
  <c r="J1100" i="1"/>
  <c r="J1106" i="1"/>
  <c r="J1111" i="1"/>
  <c r="J1116" i="1"/>
  <c r="J1122" i="1"/>
  <c r="J1127" i="1"/>
  <c r="J1132" i="1"/>
  <c r="J1138" i="1"/>
  <c r="J1143" i="1"/>
  <c r="J1148" i="1"/>
  <c r="J1154" i="1"/>
  <c r="J1159" i="1"/>
  <c r="J1164" i="1"/>
  <c r="J1170" i="1"/>
  <c r="J1175" i="1"/>
  <c r="J1180" i="1"/>
  <c r="J1186" i="1"/>
  <c r="J1191" i="1"/>
  <c r="J1195" i="1"/>
  <c r="J1199" i="1"/>
  <c r="J1203" i="1"/>
  <c r="J1207" i="1"/>
  <c r="J1211" i="1"/>
  <c r="J1215" i="1"/>
  <c r="J1219" i="1"/>
  <c r="J1223" i="1"/>
  <c r="J1227" i="1"/>
  <c r="J1231" i="1"/>
  <c r="J1235" i="1"/>
  <c r="J1239" i="1"/>
  <c r="J1243" i="1"/>
  <c r="J1247" i="1"/>
  <c r="J1251" i="1"/>
  <c r="J1255" i="1"/>
  <c r="J1259" i="1"/>
  <c r="J1263" i="1"/>
  <c r="J1267" i="1"/>
  <c r="J1271" i="1"/>
  <c r="J1275" i="1"/>
  <c r="J1279" i="1"/>
  <c r="J1283" i="1"/>
  <c r="J1287" i="1"/>
  <c r="J1291" i="1"/>
  <c r="J1295" i="1"/>
  <c r="J1299" i="1"/>
  <c r="J1303" i="1"/>
  <c r="J1307" i="1"/>
  <c r="J1311" i="1"/>
  <c r="J1315" i="1"/>
  <c r="J1319" i="1"/>
  <c r="J1323" i="1"/>
  <c r="J1327" i="1"/>
  <c r="J1331" i="1"/>
  <c r="J1335" i="1"/>
  <c r="J1339" i="1"/>
  <c r="J1343" i="1"/>
  <c r="J1347" i="1"/>
  <c r="J1351" i="1"/>
  <c r="J1355" i="1"/>
  <c r="J1359" i="1"/>
  <c r="J1363" i="1"/>
  <c r="J1367" i="1"/>
  <c r="J1371" i="1"/>
  <c r="J1375" i="1"/>
  <c r="J1379" i="1"/>
  <c r="J1383" i="1"/>
  <c r="J1387" i="1"/>
  <c r="J1391" i="1"/>
  <c r="J1395" i="1"/>
  <c r="J1399" i="1"/>
  <c r="J1403" i="1"/>
  <c r="J1407" i="1"/>
  <c r="J1411" i="1"/>
  <c r="J1415" i="1"/>
  <c r="J1419" i="1"/>
  <c r="J1423" i="1"/>
  <c r="J1427" i="1"/>
  <c r="J1431" i="1"/>
  <c r="J1435" i="1"/>
  <c r="J1439" i="1"/>
  <c r="J1443" i="1"/>
  <c r="J1447" i="1"/>
  <c r="J1451" i="1"/>
  <c r="J1455" i="1"/>
  <c r="J1459" i="1"/>
  <c r="J1463" i="1"/>
  <c r="J1467" i="1"/>
  <c r="J1471" i="1"/>
  <c r="J1475" i="1"/>
  <c r="J1479" i="1"/>
  <c r="J1483" i="1"/>
  <c r="J1487" i="1"/>
  <c r="J1491" i="1"/>
  <c r="J1495" i="1"/>
  <c r="J1499" i="1"/>
  <c r="J1503" i="1"/>
  <c r="J1507" i="1"/>
  <c r="J1511" i="1"/>
  <c r="J1515" i="1"/>
  <c r="J1519" i="1"/>
  <c r="J1523" i="1"/>
  <c r="J1527" i="1"/>
  <c r="J1531" i="1"/>
  <c r="J1535" i="1"/>
  <c r="J1539" i="1"/>
  <c r="J1543" i="1"/>
  <c r="J1547" i="1"/>
  <c r="J1551" i="1"/>
  <c r="J1555" i="1"/>
  <c r="J1559" i="1"/>
  <c r="J1563" i="1"/>
  <c r="J1567" i="1"/>
  <c r="J1571" i="1"/>
  <c r="J1575" i="1"/>
  <c r="J1579" i="1"/>
  <c r="J1583" i="1"/>
  <c r="J1587" i="1"/>
  <c r="J1591" i="1"/>
  <c r="J1595" i="1"/>
  <c r="J1599" i="1"/>
  <c r="J1603" i="1"/>
  <c r="J1607" i="1"/>
  <c r="J1611" i="1"/>
  <c r="J1615" i="1"/>
  <c r="J1619" i="1"/>
  <c r="J1623" i="1"/>
  <c r="J1627" i="1"/>
  <c r="J1631" i="1"/>
  <c r="J1635" i="1"/>
  <c r="J1639" i="1"/>
  <c r="J1643" i="1"/>
  <c r="J1647" i="1"/>
  <c r="J1651" i="1"/>
  <c r="J195" i="1"/>
  <c r="J368" i="1"/>
  <c r="J432" i="1"/>
  <c r="J496" i="1"/>
  <c r="J560" i="1"/>
  <c r="J602" i="1"/>
  <c r="J618" i="1"/>
  <c r="J634" i="1"/>
  <c r="J650" i="1"/>
  <c r="J666" i="1"/>
  <c r="J682" i="1"/>
  <c r="J698" i="1"/>
  <c r="J714" i="1"/>
  <c r="J730" i="1"/>
  <c r="J746" i="1"/>
  <c r="J762" i="1"/>
  <c r="J778" i="1"/>
  <c r="J794" i="1"/>
  <c r="J810" i="1"/>
  <c r="J826" i="1"/>
  <c r="J842" i="1"/>
  <c r="J858" i="1"/>
  <c r="J874" i="1"/>
  <c r="J890" i="1"/>
  <c r="J906" i="1"/>
  <c r="J922" i="1"/>
  <c r="J938" i="1"/>
  <c r="J954" i="1"/>
  <c r="J970" i="1"/>
  <c r="J986" i="1"/>
  <c r="J1002" i="1"/>
  <c r="J1018" i="1"/>
  <c r="J1034" i="1"/>
  <c r="J1050" i="1"/>
  <c r="J1066" i="1"/>
  <c r="J1082" i="1"/>
  <c r="J1095" i="1"/>
  <c r="J1102" i="1"/>
  <c r="J1107" i="1"/>
  <c r="J1112" i="1"/>
  <c r="J1118" i="1"/>
  <c r="J1123" i="1"/>
  <c r="J1128" i="1"/>
  <c r="J1134" i="1"/>
  <c r="J1139" i="1"/>
  <c r="J1144" i="1"/>
  <c r="J1150" i="1"/>
  <c r="J1155" i="1"/>
  <c r="J1160" i="1"/>
  <c r="J1166" i="1"/>
  <c r="J1171" i="1"/>
  <c r="J1176" i="1"/>
  <c r="J1182" i="1"/>
  <c r="J1187" i="1"/>
  <c r="J1192" i="1"/>
  <c r="J1196" i="1"/>
  <c r="J1200" i="1"/>
  <c r="J1204" i="1"/>
  <c r="J1208" i="1"/>
  <c r="J1212" i="1"/>
  <c r="J1216" i="1"/>
  <c r="J1220" i="1"/>
  <c r="J1224" i="1"/>
  <c r="J1228" i="1"/>
  <c r="J1232" i="1"/>
  <c r="J1236" i="1"/>
  <c r="J1240" i="1"/>
  <c r="J1244" i="1"/>
  <c r="J1248" i="1"/>
  <c r="J1252" i="1"/>
  <c r="J1256" i="1"/>
  <c r="J1260" i="1"/>
  <c r="J1264" i="1"/>
  <c r="J1268" i="1"/>
  <c r="J1272" i="1"/>
  <c r="J1276" i="1"/>
  <c r="J1280" i="1"/>
  <c r="J1284" i="1"/>
  <c r="J1288" i="1"/>
  <c r="J1292" i="1"/>
  <c r="J1296" i="1"/>
  <c r="J1300" i="1"/>
  <c r="J1304" i="1"/>
  <c r="J1308" i="1"/>
  <c r="J1312" i="1"/>
  <c r="J1316" i="1"/>
  <c r="J1320" i="1"/>
  <c r="J1324" i="1"/>
  <c r="J1328" i="1"/>
  <c r="J1332" i="1"/>
  <c r="J1336" i="1"/>
  <c r="J1340" i="1"/>
  <c r="J1344" i="1"/>
  <c r="J1348" i="1"/>
  <c r="J1352" i="1"/>
  <c r="J1356" i="1"/>
  <c r="J1360" i="1"/>
  <c r="J1364" i="1"/>
  <c r="J1368" i="1"/>
  <c r="J1372" i="1"/>
  <c r="J1376" i="1"/>
  <c r="J1380" i="1"/>
  <c r="J1384" i="1"/>
  <c r="J1388" i="1"/>
  <c r="J1392" i="1"/>
  <c r="J1396" i="1"/>
  <c r="J1400" i="1"/>
  <c r="J1404" i="1"/>
  <c r="J1408" i="1"/>
  <c r="J1412" i="1"/>
  <c r="J1416" i="1"/>
  <c r="J1420" i="1"/>
  <c r="J1424" i="1"/>
  <c r="J1428" i="1"/>
  <c r="J1432" i="1"/>
  <c r="J1436" i="1"/>
  <c r="J1440" i="1"/>
  <c r="J1444" i="1"/>
  <c r="J1448" i="1"/>
  <c r="J1452" i="1"/>
  <c r="J1456" i="1"/>
  <c r="J1460" i="1"/>
  <c r="J1464" i="1"/>
  <c r="J1468" i="1"/>
  <c r="J1472" i="1"/>
  <c r="J1476" i="1"/>
  <c r="J1480" i="1"/>
  <c r="J1484" i="1"/>
  <c r="J1488" i="1"/>
  <c r="J1492" i="1"/>
  <c r="J1496" i="1"/>
  <c r="J1500" i="1"/>
  <c r="J1504" i="1"/>
  <c r="J1508" i="1"/>
  <c r="J1512" i="1"/>
  <c r="J1516" i="1"/>
  <c r="J1520" i="1"/>
  <c r="J1524" i="1"/>
  <c r="J1528" i="1"/>
  <c r="J1532" i="1"/>
  <c r="J1536" i="1"/>
  <c r="J1540" i="1"/>
  <c r="J1544" i="1"/>
  <c r="J1548" i="1"/>
  <c r="J1552" i="1"/>
  <c r="J1556" i="1"/>
  <c r="J1560" i="1"/>
  <c r="J1564" i="1"/>
  <c r="J1568" i="1"/>
  <c r="J1572" i="1"/>
  <c r="J1576" i="1"/>
  <c r="J1580" i="1"/>
  <c r="J1584" i="1"/>
  <c r="J1588" i="1"/>
  <c r="J1592" i="1"/>
  <c r="J1596" i="1"/>
  <c r="J1600" i="1"/>
  <c r="J1604" i="1"/>
  <c r="J1608" i="1"/>
  <c r="J1612" i="1"/>
  <c r="J1616" i="1"/>
  <c r="J1620" i="1"/>
  <c r="J1624" i="1"/>
  <c r="J1628" i="1"/>
  <c r="J1632" i="1"/>
  <c r="J1636" i="1"/>
  <c r="J1640" i="1"/>
  <c r="J1644" i="1"/>
  <c r="J1648" i="1"/>
  <c r="J1652" i="1"/>
  <c r="J1656" i="1"/>
  <c r="J259" i="1"/>
  <c r="J576" i="1"/>
  <c r="J654" i="1"/>
  <c r="J718" i="1"/>
  <c r="J782" i="1"/>
  <c r="J846" i="1"/>
  <c r="J910" i="1"/>
  <c r="J974" i="1"/>
  <c r="J1038" i="1"/>
  <c r="J1098" i="1"/>
  <c r="J1119" i="1"/>
  <c r="J1140" i="1"/>
  <c r="J1162" i="1"/>
  <c r="J1183" i="1"/>
  <c r="J1201" i="1"/>
  <c r="J1217" i="1"/>
  <c r="J1233" i="1"/>
  <c r="J1249" i="1"/>
  <c r="J1265" i="1"/>
  <c r="J1281" i="1"/>
  <c r="J1297" i="1"/>
  <c r="J1313" i="1"/>
  <c r="J1329" i="1"/>
  <c r="J1345" i="1"/>
  <c r="J1361" i="1"/>
  <c r="J1377" i="1"/>
  <c r="J1393" i="1"/>
  <c r="J1409" i="1"/>
  <c r="J1425" i="1"/>
  <c r="J1441" i="1"/>
  <c r="J1457" i="1"/>
  <c r="J1473" i="1"/>
  <c r="J1489" i="1"/>
  <c r="J1505" i="1"/>
  <c r="J1521" i="1"/>
  <c r="J1537" i="1"/>
  <c r="J1553" i="1"/>
  <c r="J1569" i="1"/>
  <c r="J1585" i="1"/>
  <c r="J1601" i="1"/>
  <c r="J1617" i="1"/>
  <c r="J1633" i="1"/>
  <c r="J1646" i="1"/>
  <c r="J1654" i="1"/>
  <c r="J1659" i="1"/>
  <c r="J1663" i="1"/>
  <c r="J1667" i="1"/>
  <c r="J1671" i="1"/>
  <c r="J1675" i="1"/>
  <c r="J1679" i="1"/>
  <c r="J1683" i="1"/>
  <c r="J1687" i="1"/>
  <c r="J1691" i="1"/>
  <c r="J1695" i="1"/>
  <c r="J1699" i="1"/>
  <c r="J1703" i="1"/>
  <c r="J1707" i="1"/>
  <c r="J1711" i="1"/>
  <c r="J1715" i="1"/>
  <c r="J1719" i="1"/>
  <c r="J1723" i="1"/>
  <c r="J1727" i="1"/>
  <c r="J1731" i="1"/>
  <c r="J1735" i="1"/>
  <c r="J1739" i="1"/>
  <c r="J1743" i="1"/>
  <c r="J1747" i="1"/>
  <c r="J1751" i="1"/>
  <c r="J1755" i="1"/>
  <c r="J1759" i="1"/>
  <c r="J1763" i="1"/>
  <c r="J1767" i="1"/>
  <c r="J1771" i="1"/>
  <c r="J1775" i="1"/>
  <c r="J1779" i="1"/>
  <c r="J1783" i="1"/>
  <c r="J1787" i="1"/>
  <c r="J1791" i="1"/>
  <c r="J1795" i="1"/>
  <c r="J1799" i="1"/>
  <c r="J1803" i="1"/>
  <c r="J1807" i="1"/>
  <c r="J1811" i="1"/>
  <c r="J1815" i="1"/>
  <c r="J1819" i="1"/>
  <c r="J1823" i="1"/>
  <c r="J1827" i="1"/>
  <c r="J1831" i="1"/>
  <c r="J1835" i="1"/>
  <c r="J1839" i="1"/>
  <c r="J1843" i="1"/>
  <c r="J1847" i="1"/>
  <c r="J1851" i="1"/>
  <c r="J1855" i="1"/>
  <c r="J1859" i="1"/>
  <c r="J1863" i="1"/>
  <c r="J1867" i="1"/>
  <c r="J1871" i="1"/>
  <c r="J1875" i="1"/>
  <c r="J1879" i="1"/>
  <c r="J1883" i="1"/>
  <c r="J1887" i="1"/>
  <c r="J1891" i="1"/>
  <c r="J1895" i="1"/>
  <c r="J1899" i="1"/>
  <c r="J1903" i="1"/>
  <c r="J1907" i="1"/>
  <c r="J1911" i="1"/>
  <c r="J1915" i="1"/>
  <c r="J1919" i="1"/>
  <c r="J1923" i="1"/>
  <c r="J1927" i="1"/>
  <c r="J1931" i="1"/>
  <c r="J1935" i="1"/>
  <c r="J1939" i="1"/>
  <c r="J1943" i="1"/>
  <c r="J1947" i="1"/>
  <c r="J1951" i="1"/>
  <c r="J1955" i="1"/>
  <c r="J1959" i="1"/>
  <c r="J1963" i="1"/>
  <c r="J1967" i="1"/>
  <c r="J1971" i="1"/>
  <c r="J1975" i="1"/>
  <c r="J1979" i="1"/>
  <c r="J1983" i="1"/>
  <c r="J1987" i="1"/>
  <c r="J1991" i="1"/>
  <c r="J1995" i="1"/>
  <c r="J1999" i="1"/>
  <c r="J2003" i="1"/>
  <c r="J2007" i="1"/>
  <c r="J2011" i="1"/>
  <c r="J2015" i="1"/>
  <c r="J2019" i="1"/>
  <c r="J2023" i="1"/>
  <c r="J2027" i="1"/>
  <c r="J2031" i="1"/>
  <c r="J2035" i="1"/>
  <c r="J2039" i="1"/>
  <c r="J2043" i="1"/>
  <c r="J2047" i="1"/>
  <c r="J2051" i="1"/>
  <c r="J2055" i="1"/>
  <c r="J2059" i="1"/>
  <c r="J2063" i="1"/>
  <c r="J2067" i="1"/>
  <c r="J2071" i="1"/>
  <c r="J2075" i="1"/>
  <c r="J2079" i="1"/>
  <c r="J2083" i="1"/>
  <c r="J2087" i="1"/>
  <c r="J2091" i="1"/>
  <c r="J2095" i="1"/>
  <c r="J2099" i="1"/>
  <c r="J2103" i="1"/>
  <c r="J2107" i="1"/>
  <c r="J2111" i="1"/>
  <c r="J2115" i="1"/>
  <c r="J2119" i="1"/>
  <c r="J2123" i="1"/>
  <c r="J2127" i="1"/>
  <c r="J2131" i="1"/>
  <c r="J2135" i="1"/>
  <c r="J2139" i="1"/>
  <c r="J2143" i="1"/>
  <c r="J2147" i="1"/>
  <c r="J2151" i="1"/>
  <c r="J2155" i="1"/>
  <c r="J2159" i="1"/>
  <c r="J384" i="1"/>
  <c r="J606" i="1"/>
  <c r="J670" i="1"/>
  <c r="J734" i="1"/>
  <c r="J798" i="1"/>
  <c r="J862" i="1"/>
  <c r="J926" i="1"/>
  <c r="J990" i="1"/>
  <c r="J1054" i="1"/>
  <c r="J1103" i="1"/>
  <c r="J1124" i="1"/>
  <c r="J1146" i="1"/>
  <c r="J1167" i="1"/>
  <c r="J1188" i="1"/>
  <c r="J1205" i="1"/>
  <c r="J1221" i="1"/>
  <c r="J1237" i="1"/>
  <c r="J1253" i="1"/>
  <c r="J1269" i="1"/>
  <c r="J1285" i="1"/>
  <c r="J1301" i="1"/>
  <c r="J1317" i="1"/>
  <c r="J1333" i="1"/>
  <c r="J1349" i="1"/>
  <c r="J1365" i="1"/>
  <c r="J1381" i="1"/>
  <c r="J1397" i="1"/>
  <c r="J1413" i="1"/>
  <c r="J1429" i="1"/>
  <c r="J1445" i="1"/>
  <c r="J1461" i="1"/>
  <c r="J1477" i="1"/>
  <c r="J1493" i="1"/>
  <c r="J1509" i="1"/>
  <c r="J1525" i="1"/>
  <c r="J1541" i="1"/>
  <c r="J1557" i="1"/>
  <c r="J1573" i="1"/>
  <c r="J1589" i="1"/>
  <c r="J1605" i="1"/>
  <c r="J1621" i="1"/>
  <c r="J1637" i="1"/>
  <c r="J1649" i="1"/>
  <c r="J1655" i="1"/>
  <c r="J1660" i="1"/>
  <c r="J1664" i="1"/>
  <c r="J1668" i="1"/>
  <c r="J1672" i="1"/>
  <c r="J1676" i="1"/>
  <c r="J1680" i="1"/>
  <c r="J1684" i="1"/>
  <c r="J1688" i="1"/>
  <c r="J1692" i="1"/>
  <c r="J1696" i="1"/>
  <c r="J1700" i="1"/>
  <c r="J1704" i="1"/>
  <c r="J1708" i="1"/>
  <c r="J1712" i="1"/>
  <c r="J1716" i="1"/>
  <c r="J1720" i="1"/>
  <c r="J1724" i="1"/>
  <c r="J1728" i="1"/>
  <c r="J1732" i="1"/>
  <c r="J1736" i="1"/>
  <c r="J1740" i="1"/>
  <c r="J1744" i="1"/>
  <c r="J1748" i="1"/>
  <c r="J1752" i="1"/>
  <c r="J1756" i="1"/>
  <c r="J1760" i="1"/>
  <c r="J1764" i="1"/>
  <c r="J1768" i="1"/>
  <c r="J1772" i="1"/>
  <c r="J1776" i="1"/>
  <c r="J1780" i="1"/>
  <c r="J1784" i="1"/>
  <c r="J1788" i="1"/>
  <c r="J1792" i="1"/>
  <c r="J1796" i="1"/>
  <c r="J1800" i="1"/>
  <c r="J1804" i="1"/>
  <c r="J1808" i="1"/>
  <c r="J1812" i="1"/>
  <c r="J1816" i="1"/>
  <c r="J1820" i="1"/>
  <c r="J1824" i="1"/>
  <c r="J1828" i="1"/>
  <c r="J1832" i="1"/>
  <c r="J1836" i="1"/>
  <c r="J1840" i="1"/>
  <c r="J1844" i="1"/>
  <c r="J1848" i="1"/>
  <c r="J1852" i="1"/>
  <c r="J1856" i="1"/>
  <c r="J1860" i="1"/>
  <c r="J1864" i="1"/>
  <c r="J1868" i="1"/>
  <c r="J1872" i="1"/>
  <c r="J1876" i="1"/>
  <c r="J1880" i="1"/>
  <c r="J1884" i="1"/>
  <c r="J1888" i="1"/>
  <c r="J1892" i="1"/>
  <c r="J1896" i="1"/>
  <c r="J1900" i="1"/>
  <c r="J1904" i="1"/>
  <c r="J1908" i="1"/>
  <c r="J1912" i="1"/>
  <c r="J1916" i="1"/>
  <c r="J1920" i="1"/>
  <c r="J1924" i="1"/>
  <c r="J1928" i="1"/>
  <c r="J1932" i="1"/>
  <c r="J1936" i="1"/>
  <c r="J1940" i="1"/>
  <c r="J1944" i="1"/>
  <c r="J1948" i="1"/>
  <c r="J1952" i="1"/>
  <c r="J1956" i="1"/>
  <c r="J1960" i="1"/>
  <c r="J1964" i="1"/>
  <c r="J1968" i="1"/>
  <c r="J1972" i="1"/>
  <c r="J1976" i="1"/>
  <c r="J1980" i="1"/>
  <c r="J1984" i="1"/>
  <c r="J1988" i="1"/>
  <c r="J1992" i="1"/>
  <c r="J1996" i="1"/>
  <c r="J2000" i="1"/>
  <c r="J2004" i="1"/>
  <c r="J2008" i="1"/>
  <c r="J2012" i="1"/>
  <c r="J2016" i="1"/>
  <c r="J2020" i="1"/>
  <c r="J2024" i="1"/>
  <c r="J2028" i="1"/>
  <c r="J2032" i="1"/>
  <c r="J2036" i="1"/>
  <c r="J2040" i="1"/>
  <c r="J2044" i="1"/>
  <c r="J2048" i="1"/>
  <c r="J2052" i="1"/>
  <c r="J2056" i="1"/>
  <c r="J2060" i="1"/>
  <c r="J2064" i="1"/>
  <c r="J2068" i="1"/>
  <c r="J2072" i="1"/>
  <c r="J2076" i="1"/>
  <c r="J2080" i="1"/>
  <c r="J2084" i="1"/>
  <c r="J2088" i="1"/>
  <c r="J2092" i="1"/>
  <c r="J2096" i="1"/>
  <c r="J2100" i="1"/>
  <c r="J2104" i="1"/>
  <c r="J2108" i="1"/>
  <c r="J2112" i="1"/>
  <c r="J2116" i="1"/>
  <c r="J2120" i="1"/>
  <c r="J2124" i="1"/>
  <c r="J2128" i="1"/>
  <c r="J2132" i="1"/>
  <c r="J2136" i="1"/>
  <c r="J2140" i="1"/>
  <c r="J2144" i="1"/>
  <c r="J2148" i="1"/>
  <c r="J2152" i="1"/>
  <c r="J2156" i="1"/>
  <c r="J2160" i="1"/>
  <c r="J2164" i="1"/>
  <c r="J448" i="1"/>
  <c r="J622" i="1"/>
  <c r="J686" i="1"/>
  <c r="J750" i="1"/>
  <c r="J814" i="1"/>
  <c r="J878" i="1"/>
  <c r="J942" i="1"/>
  <c r="J1006" i="1"/>
  <c r="J1070" i="1"/>
  <c r="J1108" i="1"/>
  <c r="J1130" i="1"/>
  <c r="J1151" i="1"/>
  <c r="J1172" i="1"/>
  <c r="J1193" i="1"/>
  <c r="J1209" i="1"/>
  <c r="J1225" i="1"/>
  <c r="J1241" i="1"/>
  <c r="J1257" i="1"/>
  <c r="J1273" i="1"/>
  <c r="J1289" i="1"/>
  <c r="J1305" i="1"/>
  <c r="J1321" i="1"/>
  <c r="J1337" i="1"/>
  <c r="J1353" i="1"/>
  <c r="J1369" i="1"/>
  <c r="J1385" i="1"/>
  <c r="J1401" i="1"/>
  <c r="J1417" i="1"/>
  <c r="J1433" i="1"/>
  <c r="J1449" i="1"/>
  <c r="J1465" i="1"/>
  <c r="J1481" i="1"/>
  <c r="J1497" i="1"/>
  <c r="J1513" i="1"/>
  <c r="J1529" i="1"/>
  <c r="J1545" i="1"/>
  <c r="J1561" i="1"/>
  <c r="J1577" i="1"/>
  <c r="J1593" i="1"/>
  <c r="J1609" i="1"/>
  <c r="J1625" i="1"/>
  <c r="J1641" i="1"/>
  <c r="J1650" i="1"/>
  <c r="J1657" i="1"/>
  <c r="J1661" i="1"/>
  <c r="J1665" i="1"/>
  <c r="J1669" i="1"/>
  <c r="J1673" i="1"/>
  <c r="J1677" i="1"/>
  <c r="J1681" i="1"/>
  <c r="J1685" i="1"/>
  <c r="J1689" i="1"/>
  <c r="J1693" i="1"/>
  <c r="J1697" i="1"/>
  <c r="J1701" i="1"/>
  <c r="J1705" i="1"/>
  <c r="J1709" i="1"/>
  <c r="J1713" i="1"/>
  <c r="J1717" i="1"/>
  <c r="J1721" i="1"/>
  <c r="J1725" i="1"/>
  <c r="J1729" i="1"/>
  <c r="J1733" i="1"/>
  <c r="J1737" i="1"/>
  <c r="J1741" i="1"/>
  <c r="J1745" i="1"/>
  <c r="J1749" i="1"/>
  <c r="J1753" i="1"/>
  <c r="J1757" i="1"/>
  <c r="J1761" i="1"/>
  <c r="J1765" i="1"/>
  <c r="J1769" i="1"/>
  <c r="J1773" i="1"/>
  <c r="J1777" i="1"/>
  <c r="J1781" i="1"/>
  <c r="J1785" i="1"/>
  <c r="J1789" i="1"/>
  <c r="J1793" i="1"/>
  <c r="J1797" i="1"/>
  <c r="J1801" i="1"/>
  <c r="J1805" i="1"/>
  <c r="J1809" i="1"/>
  <c r="J1813" i="1"/>
  <c r="J1817" i="1"/>
  <c r="J1821" i="1"/>
  <c r="J1825" i="1"/>
  <c r="J1829" i="1"/>
  <c r="J1833" i="1"/>
  <c r="J1837" i="1"/>
  <c r="J1841" i="1"/>
  <c r="J1845" i="1"/>
  <c r="J1849" i="1"/>
  <c r="J1853" i="1"/>
  <c r="J1857" i="1"/>
  <c r="J1861" i="1"/>
  <c r="J1865" i="1"/>
  <c r="J1869" i="1"/>
  <c r="J1873" i="1"/>
  <c r="J1877" i="1"/>
  <c r="J1881" i="1"/>
  <c r="J1885" i="1"/>
  <c r="J1889" i="1"/>
  <c r="J1893" i="1"/>
  <c r="J1897" i="1"/>
  <c r="J1901" i="1"/>
  <c r="J1905" i="1"/>
  <c r="J1909" i="1"/>
  <c r="J1913" i="1"/>
  <c r="J1917" i="1"/>
  <c r="J1921" i="1"/>
  <c r="J1925" i="1"/>
  <c r="J1929" i="1"/>
  <c r="J1933" i="1"/>
  <c r="J1937" i="1"/>
  <c r="J1941" i="1"/>
  <c r="J1945" i="1"/>
  <c r="J1949" i="1"/>
  <c r="J1953" i="1"/>
  <c r="J1957" i="1"/>
  <c r="J1961" i="1"/>
  <c r="J1965" i="1"/>
  <c r="J1969" i="1"/>
  <c r="J1973" i="1"/>
  <c r="J1977" i="1"/>
  <c r="J1981" i="1"/>
  <c r="J1985" i="1"/>
  <c r="J1989" i="1"/>
  <c r="J1993" i="1"/>
  <c r="J1997" i="1"/>
  <c r="J2001" i="1"/>
  <c r="J2005" i="1"/>
  <c r="J2009" i="1"/>
  <c r="J2013" i="1"/>
  <c r="J2017" i="1"/>
  <c r="J2021" i="1"/>
  <c r="J2025" i="1"/>
  <c r="J2029" i="1"/>
  <c r="J2033" i="1"/>
  <c r="J2037" i="1"/>
  <c r="J2041" i="1"/>
  <c r="J2045" i="1"/>
  <c r="J2049" i="1"/>
  <c r="J2053" i="1"/>
  <c r="J2057" i="1"/>
  <c r="J2061" i="1"/>
  <c r="J2065" i="1"/>
  <c r="J2069" i="1"/>
  <c r="J2073" i="1"/>
  <c r="J2077" i="1"/>
  <c r="J2081" i="1"/>
  <c r="J2085" i="1"/>
  <c r="J2089" i="1"/>
  <c r="J2093" i="1"/>
  <c r="J2097" i="1"/>
  <c r="J2101" i="1"/>
  <c r="J2105" i="1"/>
  <c r="J2109" i="1"/>
  <c r="J2113" i="1"/>
  <c r="J2117" i="1"/>
  <c r="J2121" i="1"/>
  <c r="J2125" i="1"/>
  <c r="J2129" i="1"/>
  <c r="J2133" i="1"/>
  <c r="J2137" i="1"/>
  <c r="J2141" i="1"/>
  <c r="J2145" i="1"/>
  <c r="J2149" i="1"/>
  <c r="J2153" i="1"/>
  <c r="J2157" i="1"/>
  <c r="J2161" i="1"/>
  <c r="J2165" i="1"/>
  <c r="J2169" i="1"/>
  <c r="J2173" i="1"/>
  <c r="J2177" i="1"/>
  <c r="J2181" i="1"/>
  <c r="J2185" i="1"/>
  <c r="J2189" i="1"/>
  <c r="J2193" i="1"/>
  <c r="J2197" i="1"/>
  <c r="J2201" i="1"/>
  <c r="J2205" i="1"/>
  <c r="J2209" i="1"/>
  <c r="J2213" i="1"/>
  <c r="J2217" i="1"/>
  <c r="J2221" i="1"/>
  <c r="J2225" i="1"/>
  <c r="J2229" i="1"/>
  <c r="J2233" i="1"/>
  <c r="J2237" i="1"/>
  <c r="J2241" i="1"/>
  <c r="J2245" i="1"/>
  <c r="J2249" i="1"/>
  <c r="J2253" i="1"/>
  <c r="J2257" i="1"/>
  <c r="J512" i="1"/>
  <c r="J830" i="1"/>
  <c r="J1086" i="1"/>
  <c r="J1178" i="1"/>
  <c r="J1245" i="1"/>
  <c r="J1309" i="1"/>
  <c r="J1373" i="1"/>
  <c r="J1437" i="1"/>
  <c r="J1501" i="1"/>
  <c r="J1565" i="1"/>
  <c r="J1629" i="1"/>
  <c r="J1662" i="1"/>
  <c r="J1678" i="1"/>
  <c r="J1694" i="1"/>
  <c r="J1710" i="1"/>
  <c r="J1726" i="1"/>
  <c r="J1742" i="1"/>
  <c r="J1758" i="1"/>
  <c r="J1774" i="1"/>
  <c r="J1790" i="1"/>
  <c r="J1806" i="1"/>
  <c r="J1822" i="1"/>
  <c r="J1838" i="1"/>
  <c r="J1854" i="1"/>
  <c r="J1870" i="1"/>
  <c r="J1886" i="1"/>
  <c r="J1902" i="1"/>
  <c r="J1918" i="1"/>
  <c r="J1934" i="1"/>
  <c r="J1950" i="1"/>
  <c r="J1966" i="1"/>
  <c r="J1982" i="1"/>
  <c r="J1998" i="1"/>
  <c r="J2014" i="1"/>
  <c r="J2030" i="1"/>
  <c r="J2046" i="1"/>
  <c r="J2062" i="1"/>
  <c r="J2078" i="1"/>
  <c r="J2094" i="1"/>
  <c r="J2110" i="1"/>
  <c r="J2126" i="1"/>
  <c r="J2142" i="1"/>
  <c r="J2158" i="1"/>
  <c r="J2167" i="1"/>
  <c r="J2172" i="1"/>
  <c r="J2178" i="1"/>
  <c r="J2183" i="1"/>
  <c r="J2188" i="1"/>
  <c r="J2194" i="1"/>
  <c r="J2199" i="1"/>
  <c r="J2204" i="1"/>
  <c r="J2210" i="1"/>
  <c r="J2215" i="1"/>
  <c r="J2220" i="1"/>
  <c r="J2226" i="1"/>
  <c r="J2231" i="1"/>
  <c r="J2236" i="1"/>
  <c r="J2242" i="1"/>
  <c r="J2247" i="1"/>
  <c r="J2252" i="1"/>
  <c r="J2258" i="1"/>
  <c r="J2262" i="1"/>
  <c r="J2266" i="1"/>
  <c r="J2270" i="1"/>
  <c r="J2274" i="1"/>
  <c r="J2278" i="1"/>
  <c r="J2282" i="1"/>
  <c r="J2286" i="1"/>
  <c r="J2290" i="1"/>
  <c r="J2294" i="1"/>
  <c r="J2298" i="1"/>
  <c r="J2302" i="1"/>
  <c r="J2306" i="1"/>
  <c r="J2310" i="1"/>
  <c r="J2314" i="1"/>
  <c r="J2318" i="1"/>
  <c r="J2322" i="1"/>
  <c r="J2326" i="1"/>
  <c r="J2330" i="1"/>
  <c r="J2334" i="1"/>
  <c r="J2338" i="1"/>
  <c r="J2342" i="1"/>
  <c r="J2346" i="1"/>
  <c r="J2350" i="1"/>
  <c r="J2354" i="1"/>
  <c r="J2358" i="1"/>
  <c r="J2362" i="1"/>
  <c r="J2366" i="1"/>
  <c r="J2370" i="1"/>
  <c r="J2374" i="1"/>
  <c r="J2378" i="1"/>
  <c r="J2382" i="1"/>
  <c r="J2386" i="1"/>
  <c r="J2390" i="1"/>
  <c r="J2394" i="1"/>
  <c r="J2398" i="1"/>
  <c r="J2402" i="1"/>
  <c r="J2406" i="1"/>
  <c r="J2410" i="1"/>
  <c r="J2414" i="1"/>
  <c r="J2418" i="1"/>
  <c r="J2422" i="1"/>
  <c r="J2426" i="1"/>
  <c r="J2430" i="1"/>
  <c r="J2434" i="1"/>
  <c r="J2438" i="1"/>
  <c r="J2442" i="1"/>
  <c r="J2446" i="1"/>
  <c r="J2450" i="1"/>
  <c r="J2454" i="1"/>
  <c r="J2458" i="1"/>
  <c r="J2462" i="1"/>
  <c r="J2466" i="1"/>
  <c r="J2470" i="1"/>
  <c r="J2474" i="1"/>
  <c r="J2478" i="1"/>
  <c r="J2482" i="1"/>
  <c r="J2486" i="1"/>
  <c r="J2490" i="1"/>
  <c r="J2494" i="1"/>
  <c r="J2498" i="1"/>
  <c r="J2502" i="1"/>
  <c r="J2506" i="1"/>
  <c r="J2510" i="1"/>
  <c r="J2514" i="1"/>
  <c r="J2518" i="1"/>
  <c r="J2522" i="1"/>
  <c r="J2526" i="1"/>
  <c r="J2530" i="1"/>
  <c r="J2534" i="1"/>
  <c r="J2538" i="1"/>
  <c r="J2542" i="1"/>
  <c r="J2546" i="1"/>
  <c r="J2550" i="1"/>
  <c r="J2554" i="1"/>
  <c r="J2558" i="1"/>
  <c r="J2562" i="1"/>
  <c r="J2566" i="1"/>
  <c r="J2570" i="1"/>
  <c r="J2574" i="1"/>
  <c r="J2578" i="1"/>
  <c r="J2582" i="1"/>
  <c r="J2586" i="1"/>
  <c r="J2590" i="1"/>
  <c r="J2594" i="1"/>
  <c r="J2598" i="1"/>
  <c r="J2602" i="1"/>
  <c r="J2606" i="1"/>
  <c r="J2610" i="1"/>
  <c r="J2614" i="1"/>
  <c r="J2618" i="1"/>
  <c r="J2622" i="1"/>
  <c r="J2626" i="1"/>
  <c r="J2630" i="1"/>
  <c r="J2634" i="1"/>
  <c r="J2638" i="1"/>
  <c r="J2642" i="1"/>
  <c r="J2646" i="1"/>
  <c r="J2650" i="1"/>
  <c r="J2654" i="1"/>
  <c r="J2658" i="1"/>
  <c r="J2662" i="1"/>
  <c r="J2666" i="1"/>
  <c r="J2670" i="1"/>
  <c r="J2674" i="1"/>
  <c r="J2678" i="1"/>
  <c r="J2682" i="1"/>
  <c r="J2686" i="1"/>
  <c r="J2690" i="1"/>
  <c r="J2694" i="1"/>
  <c r="J2698" i="1"/>
  <c r="J2702" i="1"/>
  <c r="J2706" i="1"/>
  <c r="J2710" i="1"/>
  <c r="J2714" i="1"/>
  <c r="J2718" i="1"/>
  <c r="J2722" i="1"/>
  <c r="J2726" i="1"/>
  <c r="J2730" i="1"/>
  <c r="J2734" i="1"/>
  <c r="J2738" i="1"/>
  <c r="J2742" i="1"/>
  <c r="J2746" i="1"/>
  <c r="J2750" i="1"/>
  <c r="J2754" i="1"/>
  <c r="J2758" i="1"/>
  <c r="J2762" i="1"/>
  <c r="J2766" i="1"/>
  <c r="J2770" i="1"/>
  <c r="J2774" i="1"/>
  <c r="J2778" i="1"/>
  <c r="J2782" i="1"/>
  <c r="J2786" i="1"/>
  <c r="J2790" i="1"/>
  <c r="J2794" i="1"/>
  <c r="J2798" i="1"/>
  <c r="J2802" i="1"/>
  <c r="J2806" i="1"/>
  <c r="J2810" i="1"/>
  <c r="J2814" i="1"/>
  <c r="J2818" i="1"/>
  <c r="J2822" i="1"/>
  <c r="J2826" i="1"/>
  <c r="J2830" i="1"/>
  <c r="J2834" i="1"/>
  <c r="J2838" i="1"/>
  <c r="J2842" i="1"/>
  <c r="J2846" i="1"/>
  <c r="J2850" i="1"/>
  <c r="J2854" i="1"/>
  <c r="J2858" i="1"/>
  <c r="J2862" i="1"/>
  <c r="J2866" i="1"/>
  <c r="J2870" i="1"/>
  <c r="J2874" i="1"/>
  <c r="J2878" i="1"/>
  <c r="J2882" i="1"/>
  <c r="J2886" i="1"/>
  <c r="J2890" i="1"/>
  <c r="J2894" i="1"/>
  <c r="J2898" i="1"/>
  <c r="J2902" i="1"/>
  <c r="J2906" i="1"/>
  <c r="J2910" i="1"/>
  <c r="J2914" i="1"/>
  <c r="J2918" i="1"/>
  <c r="J2922" i="1"/>
  <c r="J2926" i="1"/>
  <c r="J2930" i="1"/>
  <c r="J2934" i="1"/>
  <c r="J2938" i="1"/>
  <c r="J2942" i="1"/>
  <c r="J2946" i="1"/>
  <c r="J2950" i="1"/>
  <c r="J2954" i="1"/>
  <c r="J2958" i="1"/>
  <c r="J2962" i="1"/>
  <c r="J2966" i="1"/>
  <c r="J2970" i="1"/>
  <c r="J2974" i="1"/>
  <c r="J2978" i="1"/>
  <c r="J2982" i="1"/>
  <c r="J2986" i="1"/>
  <c r="J2990" i="1"/>
  <c r="J2994" i="1"/>
  <c r="J2998" i="1"/>
  <c r="J3002" i="1"/>
  <c r="J3006" i="1"/>
  <c r="J3010" i="1"/>
  <c r="J3014" i="1"/>
  <c r="J3018" i="1"/>
  <c r="J3022" i="1"/>
  <c r="J3026" i="1"/>
  <c r="J3030" i="1"/>
  <c r="J3034" i="1"/>
  <c r="J3038" i="1"/>
  <c r="J3042" i="1"/>
  <c r="J3046" i="1"/>
  <c r="J3050" i="1"/>
  <c r="J3054" i="1"/>
  <c r="J3058" i="1"/>
  <c r="J3062" i="1"/>
  <c r="J3066" i="1"/>
  <c r="J3070" i="1"/>
  <c r="J3074" i="1"/>
  <c r="J3078" i="1"/>
  <c r="J3082" i="1"/>
  <c r="J3086" i="1"/>
  <c r="J3090" i="1"/>
  <c r="J3094" i="1"/>
  <c r="J3098" i="1"/>
  <c r="J3102" i="1"/>
  <c r="J3106" i="1"/>
  <c r="J3110" i="1"/>
  <c r="J3114" i="1"/>
  <c r="J3118" i="1"/>
  <c r="J3122" i="1"/>
  <c r="J3126" i="1"/>
  <c r="J3130" i="1"/>
  <c r="J3134" i="1"/>
  <c r="J3138" i="1"/>
  <c r="J3142" i="1"/>
  <c r="J3146" i="1"/>
  <c r="J3150" i="1"/>
  <c r="J3154" i="1"/>
  <c r="J3158" i="1"/>
  <c r="J3162" i="1"/>
  <c r="J3166" i="1"/>
  <c r="J3170" i="1"/>
  <c r="J3174" i="1"/>
  <c r="J3178" i="1"/>
  <c r="J3182" i="1"/>
  <c r="J3186" i="1"/>
  <c r="J3190" i="1"/>
  <c r="J3194" i="1"/>
  <c r="J3198" i="1"/>
  <c r="J3202" i="1"/>
  <c r="J3206" i="1"/>
  <c r="J3210" i="1"/>
  <c r="J3214" i="1"/>
  <c r="J3218" i="1"/>
  <c r="J3222" i="1"/>
  <c r="J3226" i="1"/>
  <c r="J3230" i="1"/>
  <c r="J3234" i="1"/>
  <c r="J3238" i="1"/>
  <c r="J3242" i="1"/>
  <c r="J3246" i="1"/>
  <c r="J3250" i="1"/>
  <c r="J3254" i="1"/>
  <c r="J3258" i="1"/>
  <c r="J3262" i="1"/>
  <c r="J3266" i="1"/>
  <c r="J3270" i="1"/>
  <c r="J3274" i="1"/>
  <c r="J3278" i="1"/>
  <c r="J3282" i="1"/>
  <c r="J3286" i="1"/>
  <c r="J3290" i="1"/>
  <c r="J3294" i="1"/>
  <c r="J3298" i="1"/>
  <c r="J3302" i="1"/>
  <c r="J3306" i="1"/>
  <c r="J3310" i="1"/>
  <c r="J3314" i="1"/>
  <c r="J3318" i="1"/>
  <c r="J3322" i="1"/>
  <c r="J3326" i="1"/>
  <c r="J3330" i="1"/>
  <c r="J3334" i="1"/>
  <c r="J3338" i="1"/>
  <c r="J3342" i="1"/>
  <c r="J3346" i="1"/>
  <c r="J3350" i="1"/>
  <c r="J638" i="1"/>
  <c r="J894" i="1"/>
  <c r="J1114" i="1"/>
  <c r="J1197" i="1"/>
  <c r="J1261" i="1"/>
  <c r="J1325" i="1"/>
  <c r="J1389" i="1"/>
  <c r="J1453" i="1"/>
  <c r="J1517" i="1"/>
  <c r="J1581" i="1"/>
  <c r="J1645" i="1"/>
  <c r="J1666" i="1"/>
  <c r="J1682" i="1"/>
  <c r="J1698" i="1"/>
  <c r="J1714" i="1"/>
  <c r="J1730" i="1"/>
  <c r="J1746" i="1"/>
  <c r="J1762" i="1"/>
  <c r="J1778" i="1"/>
  <c r="J1794" i="1"/>
  <c r="J1810" i="1"/>
  <c r="J1826" i="1"/>
  <c r="J1842" i="1"/>
  <c r="J1858" i="1"/>
  <c r="J1874" i="1"/>
  <c r="J1890" i="1"/>
  <c r="J1906" i="1"/>
  <c r="J1922" i="1"/>
  <c r="J1938" i="1"/>
  <c r="J1954" i="1"/>
  <c r="J1970" i="1"/>
  <c r="J1986" i="1"/>
  <c r="J2002" i="1"/>
  <c r="J2018" i="1"/>
  <c r="J2034" i="1"/>
  <c r="J2050" i="1"/>
  <c r="J2066" i="1"/>
  <c r="J2082" i="1"/>
  <c r="J2098" i="1"/>
  <c r="J2114" i="1"/>
  <c r="J2130" i="1"/>
  <c r="J2146" i="1"/>
  <c r="J2162" i="1"/>
  <c r="J2168" i="1"/>
  <c r="J2174" i="1"/>
  <c r="J2179" i="1"/>
  <c r="J2184" i="1"/>
  <c r="J2190" i="1"/>
  <c r="J2195" i="1"/>
  <c r="J2200" i="1"/>
  <c r="J2206" i="1"/>
  <c r="J2211" i="1"/>
  <c r="J2216" i="1"/>
  <c r="J2222" i="1"/>
  <c r="J2227" i="1"/>
  <c r="J2232" i="1"/>
  <c r="J2238" i="1"/>
  <c r="J2243" i="1"/>
  <c r="J2248" i="1"/>
  <c r="J2254" i="1"/>
  <c r="J2259" i="1"/>
  <c r="J2263" i="1"/>
  <c r="J2267" i="1"/>
  <c r="J2271" i="1"/>
  <c r="J2275" i="1"/>
  <c r="J2279" i="1"/>
  <c r="J2283" i="1"/>
  <c r="J2287" i="1"/>
  <c r="J2291" i="1"/>
  <c r="J2295" i="1"/>
  <c r="J2299" i="1"/>
  <c r="J2303" i="1"/>
  <c r="J2307" i="1"/>
  <c r="J2311" i="1"/>
  <c r="J2315" i="1"/>
  <c r="J2319" i="1"/>
  <c r="J2323" i="1"/>
  <c r="J2327" i="1"/>
  <c r="J2331" i="1"/>
  <c r="J2335" i="1"/>
  <c r="J2339" i="1"/>
  <c r="J2343" i="1"/>
  <c r="J2347" i="1"/>
  <c r="J2351" i="1"/>
  <c r="J2355" i="1"/>
  <c r="J2359" i="1"/>
  <c r="J2363" i="1"/>
  <c r="J2367" i="1"/>
  <c r="J2371" i="1"/>
  <c r="J2375" i="1"/>
  <c r="J2379" i="1"/>
  <c r="J2383" i="1"/>
  <c r="J2387" i="1"/>
  <c r="J2391" i="1"/>
  <c r="J2395" i="1"/>
  <c r="J2399" i="1"/>
  <c r="J2403" i="1"/>
  <c r="J2407" i="1"/>
  <c r="J2411" i="1"/>
  <c r="J2415" i="1"/>
  <c r="J2419" i="1"/>
  <c r="J2423" i="1"/>
  <c r="J2427" i="1"/>
  <c r="J2431" i="1"/>
  <c r="J2435" i="1"/>
  <c r="J2439" i="1"/>
  <c r="J2443" i="1"/>
  <c r="J2447" i="1"/>
  <c r="J2451" i="1"/>
  <c r="J2455" i="1"/>
  <c r="J2459" i="1"/>
  <c r="J2463" i="1"/>
  <c r="J2467" i="1"/>
  <c r="J2471" i="1"/>
  <c r="J2475" i="1"/>
  <c r="J2479" i="1"/>
  <c r="J2483" i="1"/>
  <c r="J2487" i="1"/>
  <c r="J2491" i="1"/>
  <c r="J2495" i="1"/>
  <c r="J2499" i="1"/>
  <c r="J2503" i="1"/>
  <c r="J2507" i="1"/>
  <c r="J2511" i="1"/>
  <c r="J2515" i="1"/>
  <c r="J2519" i="1"/>
  <c r="J2523" i="1"/>
  <c r="J2527" i="1"/>
  <c r="J2531" i="1"/>
  <c r="J2535" i="1"/>
  <c r="J2539" i="1"/>
  <c r="J2543" i="1"/>
  <c r="J2547" i="1"/>
  <c r="J2551" i="1"/>
  <c r="J2555" i="1"/>
  <c r="J2559" i="1"/>
  <c r="J2563" i="1"/>
  <c r="J2567" i="1"/>
  <c r="J2571" i="1"/>
  <c r="J2575" i="1"/>
  <c r="J2579" i="1"/>
  <c r="J2583" i="1"/>
  <c r="J2587" i="1"/>
  <c r="J2591" i="1"/>
  <c r="J2595" i="1"/>
  <c r="J2599" i="1"/>
  <c r="J2603" i="1"/>
  <c r="J2607" i="1"/>
  <c r="J2611" i="1"/>
  <c r="J2615" i="1"/>
  <c r="J2619" i="1"/>
  <c r="J2623" i="1"/>
  <c r="J2627" i="1"/>
  <c r="J2631" i="1"/>
  <c r="J2635" i="1"/>
  <c r="J2639" i="1"/>
  <c r="J2643" i="1"/>
  <c r="J2647" i="1"/>
  <c r="J2651" i="1"/>
  <c r="J2655" i="1"/>
  <c r="J2659" i="1"/>
  <c r="J2663" i="1"/>
  <c r="J2667" i="1"/>
  <c r="J2671" i="1"/>
  <c r="J2675" i="1"/>
  <c r="J2679" i="1"/>
  <c r="J2683" i="1"/>
  <c r="J2687" i="1"/>
  <c r="J2691" i="1"/>
  <c r="J2695" i="1"/>
  <c r="J2699" i="1"/>
  <c r="J2703" i="1"/>
  <c r="J2707" i="1"/>
  <c r="J2711" i="1"/>
  <c r="J2715" i="1"/>
  <c r="J2719" i="1"/>
  <c r="J2723" i="1"/>
  <c r="J2727" i="1"/>
  <c r="J2731" i="1"/>
  <c r="J2735" i="1"/>
  <c r="J2739" i="1"/>
  <c r="J2743" i="1"/>
  <c r="J2747" i="1"/>
  <c r="J2751" i="1"/>
  <c r="J2755" i="1"/>
  <c r="J2759" i="1"/>
  <c r="J2763" i="1"/>
  <c r="J2767" i="1"/>
  <c r="J2771" i="1"/>
  <c r="J2775" i="1"/>
  <c r="J2779" i="1"/>
  <c r="J2783" i="1"/>
  <c r="J2787" i="1"/>
  <c r="J2791" i="1"/>
  <c r="J2795" i="1"/>
  <c r="J2799" i="1"/>
  <c r="J2803" i="1"/>
  <c r="J2807" i="1"/>
  <c r="J2811" i="1"/>
  <c r="J2815" i="1"/>
  <c r="J2819" i="1"/>
  <c r="J2823" i="1"/>
  <c r="J2827" i="1"/>
  <c r="J2831" i="1"/>
  <c r="J2835" i="1"/>
  <c r="J2839" i="1"/>
  <c r="J2843" i="1"/>
  <c r="J2847" i="1"/>
  <c r="J2851" i="1"/>
  <c r="J2855" i="1"/>
  <c r="J2859" i="1"/>
  <c r="J2863" i="1"/>
  <c r="J2867" i="1"/>
  <c r="J2871" i="1"/>
  <c r="J2875" i="1"/>
  <c r="J2879" i="1"/>
  <c r="J2883" i="1"/>
  <c r="J2887" i="1"/>
  <c r="J2891" i="1"/>
  <c r="J2895" i="1"/>
  <c r="J2899" i="1"/>
  <c r="J2903" i="1"/>
  <c r="J2907" i="1"/>
  <c r="J2911" i="1"/>
  <c r="J2915" i="1"/>
  <c r="J2919" i="1"/>
  <c r="J2923" i="1"/>
  <c r="J2927" i="1"/>
  <c r="J2931" i="1"/>
  <c r="J2935" i="1"/>
  <c r="J2939" i="1"/>
  <c r="J2943" i="1"/>
  <c r="J2947" i="1"/>
  <c r="J2951" i="1"/>
  <c r="J2955" i="1"/>
  <c r="J2959" i="1"/>
  <c r="J2963" i="1"/>
  <c r="J2967" i="1"/>
  <c r="J2971" i="1"/>
  <c r="J2975" i="1"/>
  <c r="J2979" i="1"/>
  <c r="J2983" i="1"/>
  <c r="J2987" i="1"/>
  <c r="J2991" i="1"/>
  <c r="J2995" i="1"/>
  <c r="J2999" i="1"/>
  <c r="J3003" i="1"/>
  <c r="J3007" i="1"/>
  <c r="J3011" i="1"/>
  <c r="J3015" i="1"/>
  <c r="J3019" i="1"/>
  <c r="J3023" i="1"/>
  <c r="J3027" i="1"/>
  <c r="J3031" i="1"/>
  <c r="J3035" i="1"/>
  <c r="J3039" i="1"/>
  <c r="J3043" i="1"/>
  <c r="J3047" i="1"/>
  <c r="J3051" i="1"/>
  <c r="J3055" i="1"/>
  <c r="J3059" i="1"/>
  <c r="J3063" i="1"/>
  <c r="J3067" i="1"/>
  <c r="J3071" i="1"/>
  <c r="J3075" i="1"/>
  <c r="J3079" i="1"/>
  <c r="J3083" i="1"/>
  <c r="J3087" i="1"/>
  <c r="J3091" i="1"/>
  <c r="J3095" i="1"/>
  <c r="J3099" i="1"/>
  <c r="J3103" i="1"/>
  <c r="J3107" i="1"/>
  <c r="J3111" i="1"/>
  <c r="J3115" i="1"/>
  <c r="J3119" i="1"/>
  <c r="J3123" i="1"/>
  <c r="J3127" i="1"/>
  <c r="J3131" i="1"/>
  <c r="J3135" i="1"/>
  <c r="J3139" i="1"/>
  <c r="J3143" i="1"/>
  <c r="J3147" i="1"/>
  <c r="J3151" i="1"/>
  <c r="J3155" i="1"/>
  <c r="J3159" i="1"/>
  <c r="J3163" i="1"/>
  <c r="J3167" i="1"/>
  <c r="J3171" i="1"/>
  <c r="J3175" i="1"/>
  <c r="J3179" i="1"/>
  <c r="J3183" i="1"/>
  <c r="J3187" i="1"/>
  <c r="J3191" i="1"/>
  <c r="J3195" i="1"/>
  <c r="J3199" i="1"/>
  <c r="J3203" i="1"/>
  <c r="J3207" i="1"/>
  <c r="J3211" i="1"/>
  <c r="J3215" i="1"/>
  <c r="J3219" i="1"/>
  <c r="J3223" i="1"/>
  <c r="J3227" i="1"/>
  <c r="J3231" i="1"/>
  <c r="J3235" i="1"/>
  <c r="J3239" i="1"/>
  <c r="J3243" i="1"/>
  <c r="J3247" i="1"/>
  <c r="J3251" i="1"/>
  <c r="J3255" i="1"/>
  <c r="J3259" i="1"/>
  <c r="J3263" i="1"/>
  <c r="J3267" i="1"/>
  <c r="J3271" i="1"/>
  <c r="J3275" i="1"/>
  <c r="J3279" i="1"/>
  <c r="J3283" i="1"/>
  <c r="J3287" i="1"/>
  <c r="J3291" i="1"/>
  <c r="J3295" i="1"/>
  <c r="J3299" i="1"/>
  <c r="J3303" i="1"/>
  <c r="J3307" i="1"/>
  <c r="J3311" i="1"/>
  <c r="J3315" i="1"/>
  <c r="J3319" i="1"/>
  <c r="J3323" i="1"/>
  <c r="J3327" i="1"/>
  <c r="J3331" i="1"/>
  <c r="J3335" i="1"/>
  <c r="J3339" i="1"/>
  <c r="J3343" i="1"/>
  <c r="J3347" i="1"/>
  <c r="J3351" i="1"/>
  <c r="J3355" i="1"/>
  <c r="J3359" i="1"/>
  <c r="J3363" i="1"/>
  <c r="J3367" i="1"/>
  <c r="J3371" i="1"/>
  <c r="J3375" i="1"/>
  <c r="J3379" i="1"/>
  <c r="J702" i="1"/>
  <c r="J958" i="1"/>
  <c r="J1135" i="1"/>
  <c r="J1213" i="1"/>
  <c r="J1277" i="1"/>
  <c r="J1341" i="1"/>
  <c r="J1405" i="1"/>
  <c r="J1469" i="1"/>
  <c r="J1533" i="1"/>
  <c r="J1597" i="1"/>
  <c r="J1653" i="1"/>
  <c r="J1670" i="1"/>
  <c r="J1686" i="1"/>
  <c r="J1702" i="1"/>
  <c r="J1718" i="1"/>
  <c r="J1734" i="1"/>
  <c r="J1750" i="1"/>
  <c r="J1766" i="1"/>
  <c r="J1782" i="1"/>
  <c r="J1798" i="1"/>
  <c r="J1814" i="1"/>
  <c r="J1830" i="1"/>
  <c r="J1846" i="1"/>
  <c r="J1862" i="1"/>
  <c r="J1878" i="1"/>
  <c r="J1894" i="1"/>
  <c r="J1910" i="1"/>
  <c r="J1926" i="1"/>
  <c r="J1942" i="1"/>
  <c r="J1958" i="1"/>
  <c r="J1974" i="1"/>
  <c r="J1990" i="1"/>
  <c r="J2006" i="1"/>
  <c r="J2022" i="1"/>
  <c r="J2038" i="1"/>
  <c r="J2054" i="1"/>
  <c r="J2070" i="1"/>
  <c r="J2086" i="1"/>
  <c r="J2102" i="1"/>
  <c r="J2118" i="1"/>
  <c r="J2134" i="1"/>
  <c r="J2150" i="1"/>
  <c r="J2163" i="1"/>
  <c r="J2170" i="1"/>
  <c r="J2175" i="1"/>
  <c r="J2180" i="1"/>
  <c r="J2186" i="1"/>
  <c r="J2191" i="1"/>
  <c r="J2196" i="1"/>
  <c r="J2202" i="1"/>
  <c r="J2207" i="1"/>
  <c r="J2212" i="1"/>
  <c r="J2218" i="1"/>
  <c r="J2223" i="1"/>
  <c r="J2228" i="1"/>
  <c r="J2234" i="1"/>
  <c r="J2239" i="1"/>
  <c r="J2244" i="1"/>
  <c r="J2250" i="1"/>
  <c r="J2255" i="1"/>
  <c r="J2260" i="1"/>
  <c r="J2264" i="1"/>
  <c r="J2268" i="1"/>
  <c r="J2272" i="1"/>
  <c r="J2276" i="1"/>
  <c r="J2280" i="1"/>
  <c r="J2284" i="1"/>
  <c r="J2288" i="1"/>
  <c r="J2292" i="1"/>
  <c r="J2296" i="1"/>
  <c r="J2300" i="1"/>
  <c r="J2304" i="1"/>
  <c r="J2308" i="1"/>
  <c r="J2312" i="1"/>
  <c r="J2316" i="1"/>
  <c r="J2320" i="1"/>
  <c r="J2324" i="1"/>
  <c r="J2328" i="1"/>
  <c r="J2332" i="1"/>
  <c r="J2336" i="1"/>
  <c r="J2340" i="1"/>
  <c r="J2344" i="1"/>
  <c r="J2348" i="1"/>
  <c r="J2352" i="1"/>
  <c r="J2356" i="1"/>
  <c r="J2360" i="1"/>
  <c r="J2364" i="1"/>
  <c r="J2368" i="1"/>
  <c r="J2372" i="1"/>
  <c r="J2376" i="1"/>
  <c r="J2380" i="1"/>
  <c r="J2384" i="1"/>
  <c r="J2388" i="1"/>
  <c r="J2392" i="1"/>
  <c r="J2396" i="1"/>
  <c r="J2400" i="1"/>
  <c r="J2404" i="1"/>
  <c r="J2408" i="1"/>
  <c r="J2412" i="1"/>
  <c r="J2416" i="1"/>
  <c r="J2420" i="1"/>
  <c r="J2424" i="1"/>
  <c r="J2428" i="1"/>
  <c r="J2432" i="1"/>
  <c r="J2436" i="1"/>
  <c r="J2440" i="1"/>
  <c r="J2444" i="1"/>
  <c r="J2448" i="1"/>
  <c r="J2452" i="1"/>
  <c r="J2456" i="1"/>
  <c r="J2460" i="1"/>
  <c r="J2464" i="1"/>
  <c r="J2468" i="1"/>
  <c r="J2472" i="1"/>
  <c r="J2476" i="1"/>
  <c r="J2480" i="1"/>
  <c r="J2484" i="1"/>
  <c r="J2488" i="1"/>
  <c r="J2492" i="1"/>
  <c r="J2496" i="1"/>
  <c r="J2500" i="1"/>
  <c r="J2504" i="1"/>
  <c r="J2508" i="1"/>
  <c r="J2512" i="1"/>
  <c r="J2516" i="1"/>
  <c r="J2520" i="1"/>
  <c r="J2524" i="1"/>
  <c r="J2528" i="1"/>
  <c r="J2532" i="1"/>
  <c r="J2536" i="1"/>
  <c r="J2540" i="1"/>
  <c r="J2544" i="1"/>
  <c r="J2548" i="1"/>
  <c r="J2552" i="1"/>
  <c r="J2556" i="1"/>
  <c r="J2560" i="1"/>
  <c r="J2564" i="1"/>
  <c r="J2568" i="1"/>
  <c r="J2572" i="1"/>
  <c r="J2576" i="1"/>
  <c r="J2580" i="1"/>
  <c r="J2584" i="1"/>
  <c r="J2588" i="1"/>
  <c r="J2592" i="1"/>
  <c r="J2596" i="1"/>
  <c r="J2600" i="1"/>
  <c r="J2604" i="1"/>
  <c r="J2608" i="1"/>
  <c r="J2612" i="1"/>
  <c r="J2616" i="1"/>
  <c r="J2620" i="1"/>
  <c r="J2624" i="1"/>
  <c r="J2628" i="1"/>
  <c r="J2632" i="1"/>
  <c r="J2636" i="1"/>
  <c r="J2640" i="1"/>
  <c r="J2644" i="1"/>
  <c r="J2648" i="1"/>
  <c r="J2652" i="1"/>
  <c r="J2656" i="1"/>
  <c r="J2660" i="1"/>
  <c r="J2664" i="1"/>
  <c r="J2668" i="1"/>
  <c r="J2672" i="1"/>
  <c r="J2676" i="1"/>
  <c r="J2680" i="1"/>
  <c r="J2684" i="1"/>
  <c r="J2688" i="1"/>
  <c r="J2692" i="1"/>
  <c r="J2696" i="1"/>
  <c r="J2700" i="1"/>
  <c r="J2704" i="1"/>
  <c r="J2708" i="1"/>
  <c r="J2712" i="1"/>
  <c r="J2716" i="1"/>
  <c r="J2720" i="1"/>
  <c r="J2724" i="1"/>
  <c r="J2728" i="1"/>
  <c r="J2732" i="1"/>
  <c r="J2736" i="1"/>
  <c r="J2740" i="1"/>
  <c r="J2744" i="1"/>
  <c r="J2748" i="1"/>
  <c r="J2752" i="1"/>
  <c r="J2756" i="1"/>
  <c r="J2760" i="1"/>
  <c r="J2764" i="1"/>
  <c r="J2768" i="1"/>
  <c r="J2772" i="1"/>
  <c r="J2776" i="1"/>
  <c r="J2780" i="1"/>
  <c r="J2784" i="1"/>
  <c r="J2788" i="1"/>
  <c r="J2792" i="1"/>
  <c r="J2796" i="1"/>
  <c r="J2800" i="1"/>
  <c r="J2804" i="1"/>
  <c r="J2808" i="1"/>
  <c r="J2812" i="1"/>
  <c r="J2816" i="1"/>
  <c r="J2820" i="1"/>
  <c r="J2824" i="1"/>
  <c r="J2828" i="1"/>
  <c r="J2832" i="1"/>
  <c r="J2836" i="1"/>
  <c r="J2840" i="1"/>
  <c r="J2844" i="1"/>
  <c r="J2848" i="1"/>
  <c r="J2852" i="1"/>
  <c r="J2856" i="1"/>
  <c r="J2860" i="1"/>
  <c r="J2864" i="1"/>
  <c r="J2868" i="1"/>
  <c r="J2872" i="1"/>
  <c r="J2876" i="1"/>
  <c r="J2880" i="1"/>
  <c r="J2884" i="1"/>
  <c r="J2888" i="1"/>
  <c r="J2892" i="1"/>
  <c r="J2896" i="1"/>
  <c r="J2900" i="1"/>
  <c r="J2904" i="1"/>
  <c r="J2908" i="1"/>
  <c r="J2912" i="1"/>
  <c r="J2916" i="1"/>
  <c r="J2920" i="1"/>
  <c r="J2924" i="1"/>
  <c r="J2928" i="1"/>
  <c r="J2932" i="1"/>
  <c r="J2936" i="1"/>
  <c r="J2940" i="1"/>
  <c r="J2944" i="1"/>
  <c r="J2948" i="1"/>
  <c r="J2952" i="1"/>
  <c r="J2956" i="1"/>
  <c r="J2960" i="1"/>
  <c r="J2964" i="1"/>
  <c r="J2968" i="1"/>
  <c r="J2972" i="1"/>
  <c r="J2976" i="1"/>
  <c r="J2980" i="1"/>
  <c r="J2984" i="1"/>
  <c r="J2988" i="1"/>
  <c r="J2992" i="1"/>
  <c r="J2996" i="1"/>
  <c r="J3000" i="1"/>
  <c r="J3004" i="1"/>
  <c r="J3008" i="1"/>
  <c r="J3012" i="1"/>
  <c r="J3016" i="1"/>
  <c r="J3020" i="1"/>
  <c r="J3024" i="1"/>
  <c r="J3028" i="1"/>
  <c r="J3032" i="1"/>
  <c r="J3036" i="1"/>
  <c r="J3040" i="1"/>
  <c r="J3044" i="1"/>
  <c r="J3048" i="1"/>
  <c r="J3052" i="1"/>
  <c r="J3056" i="1"/>
  <c r="J3060" i="1"/>
  <c r="J3064" i="1"/>
  <c r="J3068" i="1"/>
  <c r="J3072" i="1"/>
  <c r="J3076" i="1"/>
  <c r="J3080" i="1"/>
  <c r="J3084" i="1"/>
  <c r="J3088" i="1"/>
  <c r="J3092" i="1"/>
  <c r="J3096" i="1"/>
  <c r="J3100" i="1"/>
  <c r="J3104" i="1"/>
  <c r="J3108" i="1"/>
  <c r="J3112" i="1"/>
  <c r="J3116" i="1"/>
  <c r="J3120" i="1"/>
  <c r="J3124" i="1"/>
  <c r="J3128" i="1"/>
  <c r="J3132" i="1"/>
  <c r="J3136" i="1"/>
  <c r="J3140" i="1"/>
  <c r="J3144" i="1"/>
  <c r="J3148" i="1"/>
  <c r="J3152" i="1"/>
  <c r="J3156" i="1"/>
  <c r="J3160" i="1"/>
  <c r="J3164" i="1"/>
  <c r="J3168" i="1"/>
  <c r="J3172" i="1"/>
  <c r="J3176" i="1"/>
  <c r="J3180" i="1"/>
  <c r="J3184" i="1"/>
  <c r="J3188" i="1"/>
  <c r="J3192" i="1"/>
  <c r="J3196" i="1"/>
  <c r="J3200" i="1"/>
  <c r="J3204" i="1"/>
  <c r="J3208" i="1"/>
  <c r="J3212" i="1"/>
  <c r="J3216" i="1"/>
  <c r="J3220" i="1"/>
  <c r="J3224" i="1"/>
  <c r="J3228" i="1"/>
  <c r="J3232" i="1"/>
  <c r="J3236" i="1"/>
  <c r="J3240" i="1"/>
  <c r="J3244" i="1"/>
  <c r="J3248" i="1"/>
  <c r="J3252" i="1"/>
  <c r="J3256" i="1"/>
  <c r="J3260" i="1"/>
  <c r="J3264" i="1"/>
  <c r="J3268" i="1"/>
  <c r="J3272" i="1"/>
  <c r="J3276" i="1"/>
  <c r="J3280" i="1"/>
  <c r="J3284" i="1"/>
  <c r="J3288" i="1"/>
  <c r="J3292" i="1"/>
  <c r="J3296" i="1"/>
  <c r="J3300" i="1"/>
  <c r="J3304" i="1"/>
  <c r="J3308" i="1"/>
  <c r="J3312" i="1"/>
  <c r="J3316" i="1"/>
  <c r="J3320" i="1"/>
  <c r="J3324" i="1"/>
  <c r="J3328" i="1"/>
  <c r="J3332" i="1"/>
  <c r="J3336" i="1"/>
  <c r="J3340" i="1"/>
  <c r="J3344" i="1"/>
  <c r="J3348" i="1"/>
  <c r="J3352" i="1"/>
  <c r="J3356" i="1"/>
  <c r="J3360" i="1"/>
  <c r="J3364" i="1"/>
  <c r="J3368" i="1"/>
  <c r="J3372" i="1"/>
  <c r="J3376" i="1"/>
  <c r="J3380" i="1"/>
  <c r="J766" i="1"/>
  <c r="J1293" i="1"/>
  <c r="J1549" i="1"/>
  <c r="J1690" i="1"/>
  <c r="J1754" i="1"/>
  <c r="J1818" i="1"/>
  <c r="J1882" i="1"/>
  <c r="J1946" i="1"/>
  <c r="J2010" i="1"/>
  <c r="J2074" i="1"/>
  <c r="J2138" i="1"/>
  <c r="J2176" i="1"/>
  <c r="J2198" i="1"/>
  <c r="J2219" i="1"/>
  <c r="J2240" i="1"/>
  <c r="J2261" i="1"/>
  <c r="J2277" i="1"/>
  <c r="J2293" i="1"/>
  <c r="J2309" i="1"/>
  <c r="J2325" i="1"/>
  <c r="J2341" i="1"/>
  <c r="J2357" i="1"/>
  <c r="J2373" i="1"/>
  <c r="J2389" i="1"/>
  <c r="J2405" i="1"/>
  <c r="J2421" i="1"/>
  <c r="J2437" i="1"/>
  <c r="J2453" i="1"/>
  <c r="J2469" i="1"/>
  <c r="J2485" i="1"/>
  <c r="J2501" i="1"/>
  <c r="J2517" i="1"/>
  <c r="J2533" i="1"/>
  <c r="J2549" i="1"/>
  <c r="J2565" i="1"/>
  <c r="J2581" i="1"/>
  <c r="J2597" i="1"/>
  <c r="J2613" i="1"/>
  <c r="J2629" i="1"/>
  <c r="J2645" i="1"/>
  <c r="J2661" i="1"/>
  <c r="J2677" i="1"/>
  <c r="J2693" i="1"/>
  <c r="J2709" i="1"/>
  <c r="J2725" i="1"/>
  <c r="J2741" i="1"/>
  <c r="J2757" i="1"/>
  <c r="J2773" i="1"/>
  <c r="J2789" i="1"/>
  <c r="J2805" i="1"/>
  <c r="J2821" i="1"/>
  <c r="J2837" i="1"/>
  <c r="J2853" i="1"/>
  <c r="J2869" i="1"/>
  <c r="J2885" i="1"/>
  <c r="J2901" i="1"/>
  <c r="J2917" i="1"/>
  <c r="J2933" i="1"/>
  <c r="J2949" i="1"/>
  <c r="J2965" i="1"/>
  <c r="J2981" i="1"/>
  <c r="J2997" i="1"/>
  <c r="J3013" i="1"/>
  <c r="J3029" i="1"/>
  <c r="J3045" i="1"/>
  <c r="J3061" i="1"/>
  <c r="J3077" i="1"/>
  <c r="J3093" i="1"/>
  <c r="J3109" i="1"/>
  <c r="J3125" i="1"/>
  <c r="J3141" i="1"/>
  <c r="J3157" i="1"/>
  <c r="J3173" i="1"/>
  <c r="J3189" i="1"/>
  <c r="J3205" i="1"/>
  <c r="J3221" i="1"/>
  <c r="J3237" i="1"/>
  <c r="J3253" i="1"/>
  <c r="J3269" i="1"/>
  <c r="J3285" i="1"/>
  <c r="J3301" i="1"/>
  <c r="J3317" i="1"/>
  <c r="J3333" i="1"/>
  <c r="J3349" i="1"/>
  <c r="J3358" i="1"/>
  <c r="J3366" i="1"/>
  <c r="J3374" i="1"/>
  <c r="J3382" i="1"/>
  <c r="J3386" i="1"/>
  <c r="J3390" i="1"/>
  <c r="J3394" i="1"/>
  <c r="J3398" i="1"/>
  <c r="J3402" i="1"/>
  <c r="J3406" i="1"/>
  <c r="J3410" i="1"/>
  <c r="J3414" i="1"/>
  <c r="J3418" i="1"/>
  <c r="J3422" i="1"/>
  <c r="J3426" i="1"/>
  <c r="J3430" i="1"/>
  <c r="J3434" i="1"/>
  <c r="J3438" i="1"/>
  <c r="J3442" i="1"/>
  <c r="J3446" i="1"/>
  <c r="J3450" i="1"/>
  <c r="J3454" i="1"/>
  <c r="J3458" i="1"/>
  <c r="J3462" i="1"/>
  <c r="J3466" i="1"/>
  <c r="J3470" i="1"/>
  <c r="J3474" i="1"/>
  <c r="J3478" i="1"/>
  <c r="J3482" i="1"/>
  <c r="J3486" i="1"/>
  <c r="J3490" i="1"/>
  <c r="J3494" i="1"/>
  <c r="J3498" i="1"/>
  <c r="J3502" i="1"/>
  <c r="J3506" i="1"/>
  <c r="J3510" i="1"/>
  <c r="J3514" i="1"/>
  <c r="J3518" i="1"/>
  <c r="J3522" i="1"/>
  <c r="J3526" i="1"/>
  <c r="J3530" i="1"/>
  <c r="J3534" i="1"/>
  <c r="J3538" i="1"/>
  <c r="J3542" i="1"/>
  <c r="J3546" i="1"/>
  <c r="J3550" i="1"/>
  <c r="J3554" i="1"/>
  <c r="J3558" i="1"/>
  <c r="J3562" i="1"/>
  <c r="J3566" i="1"/>
  <c r="J3570" i="1"/>
  <c r="J3574" i="1"/>
  <c r="J3578" i="1"/>
  <c r="J3582" i="1"/>
  <c r="J3586" i="1"/>
  <c r="J3590" i="1"/>
  <c r="J3594" i="1"/>
  <c r="J3598" i="1"/>
  <c r="J3602" i="1"/>
  <c r="J3606" i="1"/>
  <c r="J3610" i="1"/>
  <c r="J3614" i="1"/>
  <c r="J3618" i="1"/>
  <c r="J3622" i="1"/>
  <c r="J3626" i="1"/>
  <c r="J3630" i="1"/>
  <c r="J3634" i="1"/>
  <c r="J3638" i="1"/>
  <c r="J3642" i="1"/>
  <c r="J3646" i="1"/>
  <c r="J3650" i="1"/>
  <c r="J3654" i="1"/>
  <c r="J3658" i="1"/>
  <c r="J3662" i="1"/>
  <c r="J3666" i="1"/>
  <c r="J3670" i="1"/>
  <c r="J3674" i="1"/>
  <c r="J3678" i="1"/>
  <c r="J3682" i="1"/>
  <c r="J3686" i="1"/>
  <c r="J3690" i="1"/>
  <c r="J3694" i="1"/>
  <c r="J3698" i="1"/>
  <c r="J3702" i="1"/>
  <c r="J3706" i="1"/>
  <c r="J3710" i="1"/>
  <c r="J3714" i="1"/>
  <c r="J3718" i="1"/>
  <c r="J3722" i="1"/>
  <c r="J3726" i="1"/>
  <c r="J3730" i="1"/>
  <c r="J3734" i="1"/>
  <c r="J3738" i="1"/>
  <c r="J3742" i="1"/>
  <c r="J3746" i="1"/>
  <c r="J3750" i="1"/>
  <c r="J3754" i="1"/>
  <c r="J3758" i="1"/>
  <c r="J3762" i="1"/>
  <c r="J3766" i="1"/>
  <c r="J3770" i="1"/>
  <c r="J3774" i="1"/>
  <c r="J3778" i="1"/>
  <c r="J3782" i="1"/>
  <c r="J3786" i="1"/>
  <c r="J3790" i="1"/>
  <c r="J3794" i="1"/>
  <c r="J3798" i="1"/>
  <c r="J3802" i="1"/>
  <c r="J3806" i="1"/>
  <c r="J3810" i="1"/>
  <c r="J3814" i="1"/>
  <c r="J3818" i="1"/>
  <c r="J3822" i="1"/>
  <c r="J3826" i="1"/>
  <c r="J3830" i="1"/>
  <c r="J3834" i="1"/>
  <c r="J3838" i="1"/>
  <c r="J3842" i="1"/>
  <c r="J3846" i="1"/>
  <c r="J3850" i="1"/>
  <c r="J3854" i="1"/>
  <c r="J3858" i="1"/>
  <c r="J3862" i="1"/>
  <c r="J3866" i="1"/>
  <c r="J3870" i="1"/>
  <c r="J3874" i="1"/>
  <c r="J3878" i="1"/>
  <c r="J3882" i="1"/>
  <c r="J3886" i="1"/>
  <c r="J3890" i="1"/>
  <c r="J3894" i="1"/>
  <c r="J3898" i="1"/>
  <c r="J3902" i="1"/>
  <c r="J3906" i="1"/>
  <c r="J3910" i="1"/>
  <c r="J3914" i="1"/>
  <c r="J3918" i="1"/>
  <c r="J3922" i="1"/>
  <c r="J3926" i="1"/>
  <c r="J3930" i="1"/>
  <c r="J3934" i="1"/>
  <c r="J3938" i="1"/>
  <c r="J3942" i="1"/>
  <c r="J3946" i="1"/>
  <c r="J3950" i="1"/>
  <c r="J3954" i="1"/>
  <c r="J3958" i="1"/>
  <c r="J3962" i="1"/>
  <c r="J3966" i="1"/>
  <c r="J3970" i="1"/>
  <c r="J3974" i="1"/>
  <c r="J3978" i="1"/>
  <c r="J3982" i="1"/>
  <c r="J3986" i="1"/>
  <c r="J3990" i="1"/>
  <c r="J3994" i="1"/>
  <c r="J3998" i="1"/>
  <c r="J4002" i="1"/>
  <c r="J4006" i="1"/>
  <c r="J4010" i="1"/>
  <c r="J4014" i="1"/>
  <c r="J4018" i="1"/>
  <c r="J4022" i="1"/>
  <c r="J4026" i="1"/>
  <c r="J4030" i="1"/>
  <c r="J4034" i="1"/>
  <c r="J4038" i="1"/>
  <c r="J4042" i="1"/>
  <c r="J4046" i="1"/>
  <c r="J4050" i="1"/>
  <c r="J4054" i="1"/>
  <c r="J4058" i="1"/>
  <c r="J4062" i="1"/>
  <c r="J4066" i="1"/>
  <c r="J4070" i="1"/>
  <c r="J4074" i="1"/>
  <c r="J4078" i="1"/>
  <c r="J4082" i="1"/>
  <c r="J4086" i="1"/>
  <c r="J4090" i="1"/>
  <c r="J4094" i="1"/>
  <c r="J4098" i="1"/>
  <c r="J4102" i="1"/>
  <c r="J4106" i="1"/>
  <c r="J4110" i="1"/>
  <c r="J4114" i="1"/>
  <c r="J4118" i="1"/>
  <c r="J4122" i="1"/>
  <c r="J4126" i="1"/>
  <c r="J4130" i="1"/>
  <c r="J4134" i="1"/>
  <c r="J4138" i="1"/>
  <c r="J4142" i="1"/>
  <c r="J4146" i="1"/>
  <c r="J4150" i="1"/>
  <c r="J4154" i="1"/>
  <c r="J4158" i="1"/>
  <c r="J4162" i="1"/>
  <c r="J4166" i="1"/>
  <c r="J4170" i="1"/>
  <c r="J4174" i="1"/>
  <c r="J4178" i="1"/>
  <c r="J4182" i="1"/>
  <c r="J4186" i="1"/>
  <c r="J4190" i="1"/>
  <c r="J4194" i="1"/>
  <c r="J4198" i="1"/>
  <c r="J4202" i="1"/>
  <c r="J4206" i="1"/>
  <c r="J4210" i="1"/>
  <c r="J4214" i="1"/>
  <c r="J4218" i="1"/>
  <c r="J4222" i="1"/>
  <c r="J4226" i="1"/>
  <c r="J4230" i="1"/>
  <c r="J4234" i="1"/>
  <c r="J4238" i="1"/>
  <c r="J4242" i="1"/>
  <c r="J4246" i="1"/>
  <c r="J4250" i="1"/>
  <c r="J4254" i="1"/>
  <c r="J4258" i="1"/>
  <c r="J4262" i="1"/>
  <c r="J4266" i="1"/>
  <c r="J4270" i="1"/>
  <c r="J4274" i="1"/>
  <c r="J4278" i="1"/>
  <c r="J4282" i="1"/>
  <c r="J4286" i="1"/>
  <c r="J4290" i="1"/>
  <c r="J4294" i="1"/>
  <c r="J4298" i="1"/>
  <c r="J4302" i="1"/>
  <c r="J4306" i="1"/>
  <c r="J4310" i="1"/>
  <c r="J4314" i="1"/>
  <c r="J4318" i="1"/>
  <c r="J4322" i="1"/>
  <c r="J4326" i="1"/>
  <c r="J4330" i="1"/>
  <c r="J4334" i="1"/>
  <c r="J4338" i="1"/>
  <c r="J4342" i="1"/>
  <c r="J4346" i="1"/>
  <c r="J4350" i="1"/>
  <c r="J4354" i="1"/>
  <c r="J4358" i="1"/>
  <c r="J4362" i="1"/>
  <c r="J4366" i="1"/>
  <c r="J4370" i="1"/>
  <c r="J4374" i="1"/>
  <c r="J4378" i="1"/>
  <c r="J4382" i="1"/>
  <c r="J4386" i="1"/>
  <c r="J4390" i="1"/>
  <c r="J4394" i="1"/>
  <c r="J1022" i="1"/>
  <c r="J1357" i="1"/>
  <c r="J1613" i="1"/>
  <c r="J1706" i="1"/>
  <c r="J1770" i="1"/>
  <c r="J1834" i="1"/>
  <c r="J1898" i="1"/>
  <c r="J1962" i="1"/>
  <c r="J2026" i="1"/>
  <c r="J2090" i="1"/>
  <c r="J2154" i="1"/>
  <c r="J2182" i="1"/>
  <c r="J2203" i="1"/>
  <c r="J2224" i="1"/>
  <c r="J2246" i="1"/>
  <c r="J2265" i="1"/>
  <c r="J2281" i="1"/>
  <c r="J2297" i="1"/>
  <c r="J2313" i="1"/>
  <c r="J2329" i="1"/>
  <c r="J2345" i="1"/>
  <c r="J2361" i="1"/>
  <c r="J2377" i="1"/>
  <c r="J2393" i="1"/>
  <c r="J2409" i="1"/>
  <c r="J2425" i="1"/>
  <c r="J2441" i="1"/>
  <c r="J2457" i="1"/>
  <c r="J2473" i="1"/>
  <c r="J2489" i="1"/>
  <c r="J2505" i="1"/>
  <c r="J2521" i="1"/>
  <c r="J2537" i="1"/>
  <c r="J2553" i="1"/>
  <c r="J2569" i="1"/>
  <c r="J2585" i="1"/>
  <c r="J2601" i="1"/>
  <c r="J2617" i="1"/>
  <c r="J2633" i="1"/>
  <c r="J2649" i="1"/>
  <c r="J2665" i="1"/>
  <c r="J2681" i="1"/>
  <c r="J2697" i="1"/>
  <c r="J2713" i="1"/>
  <c r="J2729" i="1"/>
  <c r="J2745" i="1"/>
  <c r="J2761" i="1"/>
  <c r="J2777" i="1"/>
  <c r="J2793" i="1"/>
  <c r="J2809" i="1"/>
  <c r="J2825" i="1"/>
  <c r="J2841" i="1"/>
  <c r="J2857" i="1"/>
  <c r="J2873" i="1"/>
  <c r="J2889" i="1"/>
  <c r="J2905" i="1"/>
  <c r="J2921" i="1"/>
  <c r="J2937" i="1"/>
  <c r="J2953" i="1"/>
  <c r="J2969" i="1"/>
  <c r="J2985" i="1"/>
  <c r="J3001" i="1"/>
  <c r="J3017" i="1"/>
  <c r="J3033" i="1"/>
  <c r="J3049" i="1"/>
  <c r="J3065" i="1"/>
  <c r="J3081" i="1"/>
  <c r="J3097" i="1"/>
  <c r="J3113" i="1"/>
  <c r="J3129" i="1"/>
  <c r="J3145" i="1"/>
  <c r="J3161" i="1"/>
  <c r="J3177" i="1"/>
  <c r="J3193" i="1"/>
  <c r="J3209" i="1"/>
  <c r="J3225" i="1"/>
  <c r="J3241" i="1"/>
  <c r="J3257" i="1"/>
  <c r="J3273" i="1"/>
  <c r="J3289" i="1"/>
  <c r="J3305" i="1"/>
  <c r="J3321" i="1"/>
  <c r="J3337" i="1"/>
  <c r="J3353" i="1"/>
  <c r="J3361" i="1"/>
  <c r="J3369" i="1"/>
  <c r="J3377" i="1"/>
  <c r="J3383" i="1"/>
  <c r="J3387" i="1"/>
  <c r="J3391" i="1"/>
  <c r="J3395" i="1"/>
  <c r="J3399" i="1"/>
  <c r="J3403" i="1"/>
  <c r="J3407" i="1"/>
  <c r="J3411" i="1"/>
  <c r="J3415" i="1"/>
  <c r="J3419" i="1"/>
  <c r="J3423" i="1"/>
  <c r="J3427" i="1"/>
  <c r="J3431" i="1"/>
  <c r="J3435" i="1"/>
  <c r="J3439" i="1"/>
  <c r="J3443" i="1"/>
  <c r="J3447" i="1"/>
  <c r="J3451" i="1"/>
  <c r="J3455" i="1"/>
  <c r="J3459" i="1"/>
  <c r="J3463" i="1"/>
  <c r="J3467" i="1"/>
  <c r="J3471" i="1"/>
  <c r="J3475" i="1"/>
  <c r="J3479" i="1"/>
  <c r="J3483" i="1"/>
  <c r="J3487" i="1"/>
  <c r="J3491" i="1"/>
  <c r="J3495" i="1"/>
  <c r="J3499" i="1"/>
  <c r="J3503" i="1"/>
  <c r="J3507" i="1"/>
  <c r="J3511" i="1"/>
  <c r="J3515" i="1"/>
  <c r="J3519" i="1"/>
  <c r="J3523" i="1"/>
  <c r="J3527" i="1"/>
  <c r="J3531" i="1"/>
  <c r="J3535" i="1"/>
  <c r="J3539" i="1"/>
  <c r="J3543" i="1"/>
  <c r="J3547" i="1"/>
  <c r="J3551" i="1"/>
  <c r="J3555" i="1"/>
  <c r="J3559" i="1"/>
  <c r="J3563" i="1"/>
  <c r="J3567" i="1"/>
  <c r="J3571" i="1"/>
  <c r="J3575" i="1"/>
  <c r="J3579" i="1"/>
  <c r="J3583" i="1"/>
  <c r="J3587" i="1"/>
  <c r="J3591" i="1"/>
  <c r="J3595" i="1"/>
  <c r="J3599" i="1"/>
  <c r="J3603" i="1"/>
  <c r="J3607" i="1"/>
  <c r="J3611" i="1"/>
  <c r="J3615" i="1"/>
  <c r="J3619" i="1"/>
  <c r="J3623" i="1"/>
  <c r="J3627" i="1"/>
  <c r="J3631" i="1"/>
  <c r="J3635" i="1"/>
  <c r="J3639" i="1"/>
  <c r="J3643" i="1"/>
  <c r="J3647" i="1"/>
  <c r="J3651" i="1"/>
  <c r="J3655" i="1"/>
  <c r="J3659" i="1"/>
  <c r="J3663" i="1"/>
  <c r="J3667" i="1"/>
  <c r="J3671" i="1"/>
  <c r="J3675" i="1"/>
  <c r="J3679" i="1"/>
  <c r="J3683" i="1"/>
  <c r="J3687" i="1"/>
  <c r="J3691" i="1"/>
  <c r="J3695" i="1"/>
  <c r="J3699" i="1"/>
  <c r="J3703" i="1"/>
  <c r="J3707" i="1"/>
  <c r="J3711" i="1"/>
  <c r="J3715" i="1"/>
  <c r="J3719" i="1"/>
  <c r="J3723" i="1"/>
  <c r="J3727" i="1"/>
  <c r="J3731" i="1"/>
  <c r="J3735" i="1"/>
  <c r="J3739" i="1"/>
  <c r="J3743" i="1"/>
  <c r="J3747" i="1"/>
  <c r="J3751" i="1"/>
  <c r="J3755" i="1"/>
  <c r="J3759" i="1"/>
  <c r="J3763" i="1"/>
  <c r="J3767" i="1"/>
  <c r="J3771" i="1"/>
  <c r="J3775" i="1"/>
  <c r="J3779" i="1"/>
  <c r="J3783" i="1"/>
  <c r="J3787" i="1"/>
  <c r="J3791" i="1"/>
  <c r="J3795" i="1"/>
  <c r="J3799" i="1"/>
  <c r="J3803" i="1"/>
  <c r="J3807" i="1"/>
  <c r="J3811" i="1"/>
  <c r="J3815" i="1"/>
  <c r="J3819" i="1"/>
  <c r="J3823" i="1"/>
  <c r="J3827" i="1"/>
  <c r="J3831" i="1"/>
  <c r="J3835" i="1"/>
  <c r="J3839" i="1"/>
  <c r="J3843" i="1"/>
  <c r="J3847" i="1"/>
  <c r="J3851" i="1"/>
  <c r="J3855" i="1"/>
  <c r="J3859" i="1"/>
  <c r="J3863" i="1"/>
  <c r="J3867" i="1"/>
  <c r="J3871" i="1"/>
  <c r="J3875" i="1"/>
  <c r="J3879" i="1"/>
  <c r="J3883" i="1"/>
  <c r="J3887" i="1"/>
  <c r="J3891" i="1"/>
  <c r="J3895" i="1"/>
  <c r="J3899" i="1"/>
  <c r="J3903" i="1"/>
  <c r="J3907" i="1"/>
  <c r="J3911" i="1"/>
  <c r="J3915" i="1"/>
  <c r="J3919" i="1"/>
  <c r="J3923" i="1"/>
  <c r="J3927" i="1"/>
  <c r="J3931" i="1"/>
  <c r="J3935" i="1"/>
  <c r="J3939" i="1"/>
  <c r="J3943" i="1"/>
  <c r="J3947" i="1"/>
  <c r="J3951" i="1"/>
  <c r="J3955" i="1"/>
  <c r="J3959" i="1"/>
  <c r="J3963" i="1"/>
  <c r="J3967" i="1"/>
  <c r="J3971" i="1"/>
  <c r="J3975" i="1"/>
  <c r="J3979" i="1"/>
  <c r="J3983" i="1"/>
  <c r="J3987" i="1"/>
  <c r="J3991" i="1"/>
  <c r="J3995" i="1"/>
  <c r="J3999" i="1"/>
  <c r="J4003" i="1"/>
  <c r="J4007" i="1"/>
  <c r="J4011" i="1"/>
  <c r="J4015" i="1"/>
  <c r="J4019" i="1"/>
  <c r="J4023" i="1"/>
  <c r="J4027" i="1"/>
  <c r="J4031" i="1"/>
  <c r="J4035" i="1"/>
  <c r="J4039" i="1"/>
  <c r="J4043" i="1"/>
  <c r="J4047" i="1"/>
  <c r="J4051" i="1"/>
  <c r="J4055" i="1"/>
  <c r="J4059" i="1"/>
  <c r="J4063" i="1"/>
  <c r="J4067" i="1"/>
  <c r="J4071" i="1"/>
  <c r="J4075" i="1"/>
  <c r="J4079" i="1"/>
  <c r="J4083" i="1"/>
  <c r="J4087" i="1"/>
  <c r="J4091" i="1"/>
  <c r="J4095" i="1"/>
  <c r="J4099" i="1"/>
  <c r="J4103" i="1"/>
  <c r="J4107" i="1"/>
  <c r="J4111" i="1"/>
  <c r="J4115" i="1"/>
  <c r="J4119" i="1"/>
  <c r="J4123" i="1"/>
  <c r="J4127" i="1"/>
  <c r="J4131" i="1"/>
  <c r="J4135" i="1"/>
  <c r="J4139" i="1"/>
  <c r="J4143" i="1"/>
  <c r="J4147" i="1"/>
  <c r="J4151" i="1"/>
  <c r="J4155" i="1"/>
  <c r="J4159" i="1"/>
  <c r="J4163" i="1"/>
  <c r="J4167" i="1"/>
  <c r="J4171" i="1"/>
  <c r="J4175" i="1"/>
  <c r="J4179" i="1"/>
  <c r="J4183" i="1"/>
  <c r="J4187" i="1"/>
  <c r="J4191" i="1"/>
  <c r="J4195" i="1"/>
  <c r="J4199" i="1"/>
  <c r="J4203" i="1"/>
  <c r="J4207" i="1"/>
  <c r="J4211" i="1"/>
  <c r="J4215" i="1"/>
  <c r="J4219" i="1"/>
  <c r="J4223" i="1"/>
  <c r="J4227" i="1"/>
  <c r="J4231" i="1"/>
  <c r="J4235" i="1"/>
  <c r="J4239" i="1"/>
  <c r="J4243" i="1"/>
  <c r="J4247" i="1"/>
  <c r="J4251" i="1"/>
  <c r="J4255" i="1"/>
  <c r="J4259" i="1"/>
  <c r="J4263" i="1"/>
  <c r="J4267" i="1"/>
  <c r="J4271" i="1"/>
  <c r="J4275" i="1"/>
  <c r="J4279" i="1"/>
  <c r="J4283" i="1"/>
  <c r="J4287" i="1"/>
  <c r="J4291" i="1"/>
  <c r="J4295" i="1"/>
  <c r="J4299" i="1"/>
  <c r="J4303" i="1"/>
  <c r="J4307" i="1"/>
  <c r="J4311" i="1"/>
  <c r="J4315" i="1"/>
  <c r="J4319" i="1"/>
  <c r="J4323" i="1"/>
  <c r="J4327" i="1"/>
  <c r="J4331" i="1"/>
  <c r="J4335" i="1"/>
  <c r="J4339" i="1"/>
  <c r="J4343" i="1"/>
  <c r="J4347" i="1"/>
  <c r="J4351" i="1"/>
  <c r="J4355" i="1"/>
  <c r="J4359" i="1"/>
  <c r="J4363" i="1"/>
  <c r="J4367" i="1"/>
  <c r="J4371" i="1"/>
  <c r="J4375" i="1"/>
  <c r="J4379" i="1"/>
  <c r="J4383" i="1"/>
  <c r="J4387" i="1"/>
  <c r="J4391" i="1"/>
  <c r="J4395" i="1"/>
  <c r="J4399" i="1"/>
  <c r="J4403" i="1"/>
  <c r="J4407" i="1"/>
  <c r="J4411" i="1"/>
  <c r="J4415" i="1"/>
  <c r="J4419" i="1"/>
  <c r="J4423" i="1"/>
  <c r="J4427" i="1"/>
  <c r="J4431" i="1"/>
  <c r="J4435" i="1"/>
  <c r="J4439" i="1"/>
  <c r="J4443" i="1"/>
  <c r="J4447" i="1"/>
  <c r="J1156" i="1"/>
  <c r="J1421" i="1"/>
  <c r="J1658" i="1"/>
  <c r="J1722" i="1"/>
  <c r="J1786" i="1"/>
  <c r="J1850" i="1"/>
  <c r="J1914" i="1"/>
  <c r="J1978" i="1"/>
  <c r="J2042" i="1"/>
  <c r="J2106" i="1"/>
  <c r="J2166" i="1"/>
  <c r="J2187" i="1"/>
  <c r="J2208" i="1"/>
  <c r="J2230" i="1"/>
  <c r="J2251" i="1"/>
  <c r="J2269" i="1"/>
  <c r="J2285" i="1"/>
  <c r="J2301" i="1"/>
  <c r="J2317" i="1"/>
  <c r="J2333" i="1"/>
  <c r="J2349" i="1"/>
  <c r="J2365" i="1"/>
  <c r="J2381" i="1"/>
  <c r="J2397" i="1"/>
  <c r="J2413" i="1"/>
  <c r="J2429" i="1"/>
  <c r="J2445" i="1"/>
  <c r="J2461" i="1"/>
  <c r="J2477" i="1"/>
  <c r="J2493" i="1"/>
  <c r="J2509" i="1"/>
  <c r="J2525" i="1"/>
  <c r="J2541" i="1"/>
  <c r="J2557" i="1"/>
  <c r="J2573" i="1"/>
  <c r="J2589" i="1"/>
  <c r="J2605" i="1"/>
  <c r="J2621" i="1"/>
  <c r="J2637" i="1"/>
  <c r="J2653" i="1"/>
  <c r="J2669" i="1"/>
  <c r="J2685" i="1"/>
  <c r="J2701" i="1"/>
  <c r="J2717" i="1"/>
  <c r="J2733" i="1"/>
  <c r="J2749" i="1"/>
  <c r="J2765" i="1"/>
  <c r="J2781" i="1"/>
  <c r="J2797" i="1"/>
  <c r="J2813" i="1"/>
  <c r="J2829" i="1"/>
  <c r="J2845" i="1"/>
  <c r="J2861" i="1"/>
  <c r="J2877" i="1"/>
  <c r="J2893" i="1"/>
  <c r="J2909" i="1"/>
  <c r="J2925" i="1"/>
  <c r="J2941" i="1"/>
  <c r="J2957" i="1"/>
  <c r="J2973" i="1"/>
  <c r="J2989" i="1"/>
  <c r="J3005" i="1"/>
  <c r="J3021" i="1"/>
  <c r="J3037" i="1"/>
  <c r="J3053" i="1"/>
  <c r="J3069" i="1"/>
  <c r="J3085" i="1"/>
  <c r="J3101" i="1"/>
  <c r="J3117" i="1"/>
  <c r="J3133" i="1"/>
  <c r="J3149" i="1"/>
  <c r="J3165" i="1"/>
  <c r="J3181" i="1"/>
  <c r="J3197" i="1"/>
  <c r="J3213" i="1"/>
  <c r="J3229" i="1"/>
  <c r="J3245" i="1"/>
  <c r="J3261" i="1"/>
  <c r="J3277" i="1"/>
  <c r="J3293" i="1"/>
  <c r="J3309" i="1"/>
  <c r="J3325" i="1"/>
  <c r="J3341" i="1"/>
  <c r="J3354" i="1"/>
  <c r="J3362" i="1"/>
  <c r="J3370" i="1"/>
  <c r="J3378" i="1"/>
  <c r="J3384" i="1"/>
  <c r="J3388" i="1"/>
  <c r="J3392" i="1"/>
  <c r="J3396" i="1"/>
  <c r="J3400" i="1"/>
  <c r="J3404" i="1"/>
  <c r="J3408" i="1"/>
  <c r="J3412" i="1"/>
  <c r="J3416" i="1"/>
  <c r="J3420" i="1"/>
  <c r="J3424" i="1"/>
  <c r="J3428" i="1"/>
  <c r="J3432" i="1"/>
  <c r="J3436" i="1"/>
  <c r="J3440" i="1"/>
  <c r="J3444" i="1"/>
  <c r="J3448" i="1"/>
  <c r="J3452" i="1"/>
  <c r="J3456" i="1"/>
  <c r="J3460" i="1"/>
  <c r="J3464" i="1"/>
  <c r="J3468" i="1"/>
  <c r="J3472" i="1"/>
  <c r="J3476" i="1"/>
  <c r="J3480" i="1"/>
  <c r="J3484" i="1"/>
  <c r="J3488" i="1"/>
  <c r="J3492" i="1"/>
  <c r="J3496" i="1"/>
  <c r="J3500" i="1"/>
  <c r="J3504" i="1"/>
  <c r="J3508" i="1"/>
  <c r="J3512" i="1"/>
  <c r="J3516" i="1"/>
  <c r="J3520" i="1"/>
  <c r="J3524" i="1"/>
  <c r="J3528" i="1"/>
  <c r="J3532" i="1"/>
  <c r="J3536" i="1"/>
  <c r="J3540" i="1"/>
  <c r="J3544" i="1"/>
  <c r="J3548" i="1"/>
  <c r="J3552" i="1"/>
  <c r="J3556" i="1"/>
  <c r="J3560" i="1"/>
  <c r="J3564" i="1"/>
  <c r="J3568" i="1"/>
  <c r="J3572" i="1"/>
  <c r="J3576" i="1"/>
  <c r="J3580" i="1"/>
  <c r="J3584" i="1"/>
  <c r="J3588" i="1"/>
  <c r="J3592" i="1"/>
  <c r="J3596" i="1"/>
  <c r="J3600" i="1"/>
  <c r="J3604" i="1"/>
  <c r="J3608" i="1"/>
  <c r="J3612" i="1"/>
  <c r="J3616" i="1"/>
  <c r="J3620" i="1"/>
  <c r="J3624" i="1"/>
  <c r="J3628" i="1"/>
  <c r="J3632" i="1"/>
  <c r="J3636" i="1"/>
  <c r="J3640" i="1"/>
  <c r="J3644" i="1"/>
  <c r="J3648" i="1"/>
  <c r="J3652" i="1"/>
  <c r="J3656" i="1"/>
  <c r="J3660" i="1"/>
  <c r="J3664" i="1"/>
  <c r="J3668" i="1"/>
  <c r="J3672" i="1"/>
  <c r="J3676" i="1"/>
  <c r="J3680" i="1"/>
  <c r="J3684" i="1"/>
  <c r="J3688" i="1"/>
  <c r="J3692" i="1"/>
  <c r="J3696" i="1"/>
  <c r="J3700" i="1"/>
  <c r="J3704" i="1"/>
  <c r="J3708" i="1"/>
  <c r="J3712" i="1"/>
  <c r="J3716" i="1"/>
  <c r="J3720" i="1"/>
  <c r="J3724" i="1"/>
  <c r="J3728" i="1"/>
  <c r="J3732" i="1"/>
  <c r="J3736" i="1"/>
  <c r="J3740" i="1"/>
  <c r="J3744" i="1"/>
  <c r="J3748" i="1"/>
  <c r="J3752" i="1"/>
  <c r="J3756" i="1"/>
  <c r="J3760" i="1"/>
  <c r="J3764" i="1"/>
  <c r="J3768" i="1"/>
  <c r="J3772" i="1"/>
  <c r="J3776" i="1"/>
  <c r="J3780" i="1"/>
  <c r="J3784" i="1"/>
  <c r="J3788" i="1"/>
  <c r="J3792" i="1"/>
  <c r="J3796" i="1"/>
  <c r="J3800" i="1"/>
  <c r="J3804" i="1"/>
  <c r="J3808" i="1"/>
  <c r="J3812" i="1"/>
  <c r="J3816" i="1"/>
  <c r="J3820" i="1"/>
  <c r="J3824" i="1"/>
  <c r="J3828" i="1"/>
  <c r="J3832" i="1"/>
  <c r="J3836" i="1"/>
  <c r="J3840" i="1"/>
  <c r="J3844" i="1"/>
  <c r="J3848" i="1"/>
  <c r="J3852" i="1"/>
  <c r="J3856" i="1"/>
  <c r="J3860" i="1"/>
  <c r="J3864" i="1"/>
  <c r="J3868" i="1"/>
  <c r="J3872" i="1"/>
  <c r="J3876" i="1"/>
  <c r="J3880" i="1"/>
  <c r="J3884" i="1"/>
  <c r="J3888" i="1"/>
  <c r="J3892" i="1"/>
  <c r="J3896" i="1"/>
  <c r="J3900" i="1"/>
  <c r="J3904" i="1"/>
  <c r="J3908" i="1"/>
  <c r="J3912" i="1"/>
  <c r="J3916" i="1"/>
  <c r="J3920" i="1"/>
  <c r="J3924" i="1"/>
  <c r="J3928" i="1"/>
  <c r="J3932" i="1"/>
  <c r="J3936" i="1"/>
  <c r="J3940" i="1"/>
  <c r="J3944" i="1"/>
  <c r="J3948" i="1"/>
  <c r="J3952" i="1"/>
  <c r="J3956" i="1"/>
  <c r="J3960" i="1"/>
  <c r="J3964" i="1"/>
  <c r="J3968" i="1"/>
  <c r="J3972" i="1"/>
  <c r="J3976" i="1"/>
  <c r="J3980" i="1"/>
  <c r="J3984" i="1"/>
  <c r="J3988" i="1"/>
  <c r="J3992" i="1"/>
  <c r="J3996" i="1"/>
  <c r="J4000" i="1"/>
  <c r="J4004" i="1"/>
  <c r="J4008" i="1"/>
  <c r="J4012" i="1"/>
  <c r="J4016" i="1"/>
  <c r="J4020" i="1"/>
  <c r="J4024" i="1"/>
  <c r="J4028" i="1"/>
  <c r="J4032" i="1"/>
  <c r="J4036" i="1"/>
  <c r="J4040" i="1"/>
  <c r="J4044" i="1"/>
  <c r="J4048" i="1"/>
  <c r="J4052" i="1"/>
  <c r="J4056" i="1"/>
  <c r="J4060" i="1"/>
  <c r="J4064" i="1"/>
  <c r="J4068" i="1"/>
  <c r="J4072" i="1"/>
  <c r="J4076" i="1"/>
  <c r="J4080" i="1"/>
  <c r="J4084" i="1"/>
  <c r="J4088" i="1"/>
  <c r="J4092" i="1"/>
  <c r="J4096" i="1"/>
  <c r="J4100" i="1"/>
  <c r="J4104" i="1"/>
  <c r="J4108" i="1"/>
  <c r="J4112" i="1"/>
  <c r="J4116" i="1"/>
  <c r="J4120" i="1"/>
  <c r="J4124" i="1"/>
  <c r="J4128" i="1"/>
  <c r="J4132" i="1"/>
  <c r="J4136" i="1"/>
  <c r="J4140" i="1"/>
  <c r="J4144" i="1"/>
  <c r="J4148" i="1"/>
  <c r="J4152" i="1"/>
  <c r="J4156" i="1"/>
  <c r="J4160" i="1"/>
  <c r="J4164" i="1"/>
  <c r="J4168" i="1"/>
  <c r="J4172" i="1"/>
  <c r="J4176" i="1"/>
  <c r="J4180" i="1"/>
  <c r="J4184" i="1"/>
  <c r="J4188" i="1"/>
  <c r="J4192" i="1"/>
  <c r="J4196" i="1"/>
  <c r="J4200" i="1"/>
  <c r="J4204" i="1"/>
  <c r="J4208" i="1"/>
  <c r="J4212" i="1"/>
  <c r="J4216" i="1"/>
  <c r="J4220" i="1"/>
  <c r="J4224" i="1"/>
  <c r="J4228" i="1"/>
  <c r="J4232" i="1"/>
  <c r="J4236" i="1"/>
  <c r="J4240" i="1"/>
  <c r="J4244" i="1"/>
  <c r="J4248" i="1"/>
  <c r="J4252" i="1"/>
  <c r="J4256" i="1"/>
  <c r="J4260" i="1"/>
  <c r="J4264" i="1"/>
  <c r="J4268" i="1"/>
  <c r="J4272" i="1"/>
  <c r="J4276" i="1"/>
  <c r="J4280" i="1"/>
  <c r="J4284" i="1"/>
  <c r="J4288" i="1"/>
  <c r="J4292" i="1"/>
  <c r="J4296" i="1"/>
  <c r="J4300" i="1"/>
  <c r="J4304" i="1"/>
  <c r="J4308" i="1"/>
  <c r="J4312" i="1"/>
  <c r="J4316" i="1"/>
  <c r="J4320" i="1"/>
  <c r="J4324" i="1"/>
  <c r="J4328" i="1"/>
  <c r="J4332" i="1"/>
  <c r="J4336" i="1"/>
  <c r="J4340" i="1"/>
  <c r="J4344" i="1"/>
  <c r="J4348" i="1"/>
  <c r="J4352" i="1"/>
  <c r="J4356" i="1"/>
  <c r="J4360" i="1"/>
  <c r="J4364" i="1"/>
  <c r="J4368" i="1"/>
  <c r="J4372" i="1"/>
  <c r="J4376" i="1"/>
  <c r="J4380" i="1"/>
  <c r="J4384" i="1"/>
  <c r="J4388" i="1"/>
  <c r="J4392" i="1"/>
  <c r="J4396" i="1"/>
  <c r="J4400" i="1"/>
  <c r="J4404" i="1"/>
  <c r="J4408" i="1"/>
  <c r="J4412" i="1"/>
  <c r="J4416" i="1"/>
  <c r="J4420" i="1"/>
  <c r="J4424" i="1"/>
  <c r="J4428" i="1"/>
  <c r="J4432" i="1"/>
  <c r="J4436" i="1"/>
  <c r="J4440" i="1"/>
  <c r="J4444" i="1"/>
  <c r="J4448" i="1"/>
  <c r="J4990" i="1"/>
  <c r="J4978" i="1"/>
  <c r="J4966" i="1"/>
  <c r="J4950" i="1"/>
  <c r="J4934" i="1"/>
  <c r="J4922" i="1"/>
  <c r="J4910" i="1"/>
  <c r="J4898" i="1"/>
  <c r="J4882" i="1"/>
  <c r="J4870" i="1"/>
  <c r="J4858" i="1"/>
  <c r="J4846" i="1"/>
  <c r="J4834" i="1"/>
  <c r="J4822" i="1"/>
  <c r="J4806" i="1"/>
  <c r="J4790" i="1"/>
  <c r="J4778" i="1"/>
  <c r="J4766" i="1"/>
  <c r="J4754" i="1"/>
  <c r="J4742" i="1"/>
  <c r="J4730" i="1"/>
  <c r="J4718" i="1"/>
  <c r="J4706" i="1"/>
  <c r="J4694" i="1"/>
  <c r="J4674" i="1"/>
  <c r="J4662" i="1"/>
  <c r="J4650" i="1"/>
  <c r="J4638" i="1"/>
  <c r="J4626" i="1"/>
  <c r="J4614" i="1"/>
  <c r="J4602" i="1"/>
  <c r="J4590" i="1"/>
  <c r="J4578" i="1"/>
  <c r="J4558" i="1"/>
  <c r="J4546" i="1"/>
  <c r="J4534" i="1"/>
  <c r="J4522" i="1"/>
  <c r="J4510" i="1"/>
  <c r="J4498" i="1"/>
  <c r="J4486" i="1"/>
  <c r="J4474" i="1"/>
  <c r="J4462" i="1"/>
  <c r="J4450" i="1"/>
  <c r="J4426" i="1"/>
  <c r="J4402" i="1"/>
  <c r="J4361" i="1"/>
  <c r="J4313" i="1"/>
  <c r="J4233" i="1"/>
  <c r="J4137" i="1"/>
  <c r="J3689" i="1"/>
  <c r="J4999" i="1"/>
  <c r="J4995" i="1"/>
  <c r="J4991" i="1"/>
  <c r="J4987" i="1"/>
  <c r="J4983" i="1"/>
  <c r="J4979" i="1"/>
  <c r="J4975" i="1"/>
  <c r="J4971" i="1"/>
  <c r="J4967" i="1"/>
  <c r="J4963" i="1"/>
  <c r="J4959" i="1"/>
  <c r="J4955" i="1"/>
  <c r="J4951" i="1"/>
  <c r="J4947" i="1"/>
  <c r="J4943" i="1"/>
  <c r="J4939" i="1"/>
  <c r="J4935" i="1"/>
  <c r="J4931" i="1"/>
  <c r="J4927" i="1"/>
  <c r="J4923" i="1"/>
  <c r="J4919" i="1"/>
  <c r="J4915" i="1"/>
  <c r="J4911" i="1"/>
  <c r="J4907" i="1"/>
  <c r="J4903" i="1"/>
  <c r="J4899" i="1"/>
  <c r="J4895" i="1"/>
  <c r="J4891" i="1"/>
  <c r="J4887" i="1"/>
  <c r="J4883" i="1"/>
  <c r="J4879" i="1"/>
  <c r="J4875" i="1"/>
  <c r="J4871" i="1"/>
  <c r="J4867" i="1"/>
  <c r="J4863" i="1"/>
  <c r="J4859" i="1"/>
  <c r="J4855" i="1"/>
  <c r="J4851" i="1"/>
  <c r="J4847" i="1"/>
  <c r="J4843" i="1"/>
  <c r="J4839" i="1"/>
  <c r="J4835" i="1"/>
  <c r="J4831" i="1"/>
  <c r="J4827" i="1"/>
  <c r="J4823" i="1"/>
  <c r="J4819" i="1"/>
  <c r="J4815" i="1"/>
  <c r="J4811" i="1"/>
  <c r="J4807" i="1"/>
  <c r="J4803" i="1"/>
  <c r="J4799" i="1"/>
  <c r="J4795" i="1"/>
  <c r="J4791" i="1"/>
  <c r="J4787" i="1"/>
  <c r="J4783" i="1"/>
  <c r="J4779" i="1"/>
  <c r="J4775" i="1"/>
  <c r="J4771" i="1"/>
  <c r="J4767" i="1"/>
  <c r="J4763" i="1"/>
  <c r="J4759" i="1"/>
  <c r="J4755" i="1"/>
  <c r="J4751" i="1"/>
  <c r="J4747" i="1"/>
  <c r="J4743" i="1"/>
  <c r="J4739" i="1"/>
  <c r="J4735" i="1"/>
  <c r="J4731" i="1"/>
  <c r="J4727" i="1"/>
  <c r="J4723" i="1"/>
  <c r="J4719" i="1"/>
  <c r="J4715" i="1"/>
  <c r="J4711" i="1"/>
  <c r="J4707" i="1"/>
  <c r="J4703" i="1"/>
  <c r="J4699" i="1"/>
  <c r="J4695" i="1"/>
  <c r="J4691" i="1"/>
  <c r="J4687" i="1"/>
  <c r="J4683" i="1"/>
  <c r="J4679" i="1"/>
  <c r="J4675" i="1"/>
  <c r="J4671" i="1"/>
  <c r="J4667" i="1"/>
  <c r="J4663" i="1"/>
  <c r="J4659" i="1"/>
  <c r="J4655" i="1"/>
  <c r="J4651" i="1"/>
  <c r="J4647" i="1"/>
  <c r="J4643" i="1"/>
  <c r="J4639" i="1"/>
  <c r="J4635" i="1"/>
  <c r="J4631" i="1"/>
  <c r="J4627" i="1"/>
  <c r="J4623" i="1"/>
  <c r="J4619" i="1"/>
  <c r="J4615" i="1"/>
  <c r="J4611" i="1"/>
  <c r="J4607" i="1"/>
  <c r="J4603" i="1"/>
  <c r="J4599" i="1"/>
  <c r="J4595" i="1"/>
  <c r="J4591" i="1"/>
  <c r="J4587" i="1"/>
  <c r="J4583" i="1"/>
  <c r="J4579" i="1"/>
  <c r="J4575" i="1"/>
  <c r="J4571" i="1"/>
  <c r="J4567" i="1"/>
  <c r="J4563" i="1"/>
  <c r="J4559" i="1"/>
  <c r="J4555" i="1"/>
  <c r="J4551" i="1"/>
  <c r="J4547" i="1"/>
  <c r="J4543" i="1"/>
  <c r="J4539" i="1"/>
  <c r="J4535" i="1"/>
  <c r="J4531" i="1"/>
  <c r="J4527" i="1"/>
  <c r="J4523" i="1"/>
  <c r="J4519" i="1"/>
  <c r="J4515" i="1"/>
  <c r="J4511" i="1"/>
  <c r="J4507" i="1"/>
  <c r="J4503" i="1"/>
  <c r="J4499" i="1"/>
  <c r="J4495" i="1"/>
  <c r="J4491" i="1"/>
  <c r="J4487" i="1"/>
  <c r="J4483" i="1"/>
  <c r="J4479" i="1"/>
  <c r="J4475" i="1"/>
  <c r="J4471" i="1"/>
  <c r="J4467" i="1"/>
  <c r="J4463" i="1"/>
  <c r="J4459" i="1"/>
  <c r="J4455" i="1"/>
  <c r="J4451" i="1"/>
  <c r="J4445" i="1"/>
  <c r="J4437" i="1"/>
  <c r="J4429" i="1"/>
  <c r="J4421" i="1"/>
  <c r="J4413" i="1"/>
  <c r="J4405" i="1"/>
  <c r="J4397" i="1"/>
  <c r="J4381" i="1"/>
  <c r="J4365" i="1"/>
  <c r="J4349" i="1"/>
  <c r="J4333" i="1"/>
  <c r="J4317" i="1"/>
  <c r="J4301" i="1"/>
  <c r="J4285" i="1"/>
  <c r="J4269" i="1"/>
  <c r="J4253" i="1"/>
  <c r="J4237" i="1"/>
  <c r="J4221" i="1"/>
  <c r="J4205" i="1"/>
  <c r="J4189" i="1"/>
  <c r="J4173" i="1"/>
  <c r="J4157" i="1"/>
  <c r="J4141" i="1"/>
  <c r="J4125" i="1"/>
  <c r="J4109" i="1"/>
  <c r="J4093" i="1"/>
  <c r="J4077" i="1"/>
  <c r="J4061" i="1"/>
  <c r="J4045" i="1"/>
  <c r="J4029" i="1"/>
  <c r="J4013" i="1"/>
  <c r="J3997" i="1"/>
  <c r="J3981" i="1"/>
  <c r="J3965" i="1"/>
  <c r="J3949" i="1"/>
  <c r="J3933" i="1"/>
  <c r="J3917" i="1"/>
  <c r="J3901" i="1"/>
  <c r="J3885" i="1"/>
  <c r="J3869" i="1"/>
  <c r="J3853" i="1"/>
  <c r="J3837" i="1"/>
  <c r="J3821" i="1"/>
  <c r="J3805" i="1"/>
  <c r="J3789" i="1"/>
  <c r="J3773" i="1"/>
  <c r="J3757" i="1"/>
  <c r="J3741" i="1"/>
  <c r="J3725" i="1"/>
  <c r="J3709" i="1"/>
  <c r="J3693" i="1"/>
  <c r="J3677" i="1"/>
  <c r="J3661" i="1"/>
  <c r="J3645" i="1"/>
  <c r="J3629" i="1"/>
  <c r="J3613" i="1"/>
  <c r="J3597" i="1"/>
  <c r="J3581" i="1"/>
  <c r="J3565" i="1"/>
  <c r="J3549" i="1"/>
  <c r="J3533" i="1"/>
  <c r="J3517" i="1"/>
  <c r="J3501" i="1"/>
  <c r="J3485" i="1"/>
  <c r="J3469" i="1"/>
  <c r="J3453" i="1"/>
  <c r="J3437" i="1"/>
  <c r="J3421" i="1"/>
  <c r="J3405" i="1"/>
  <c r="J3389" i="1"/>
  <c r="J3365" i="1"/>
  <c r="J3313" i="1"/>
  <c r="J3249" i="1"/>
  <c r="J3185" i="1"/>
  <c r="J3121" i="1"/>
  <c r="J3057" i="1"/>
  <c r="J2993" i="1"/>
  <c r="J2929" i="1"/>
  <c r="J2865" i="1"/>
  <c r="J2801" i="1"/>
  <c r="J2737" i="1"/>
  <c r="J2673" i="1"/>
  <c r="J2609" i="1"/>
  <c r="J2545" i="1"/>
  <c r="J2481" i="1"/>
  <c r="J2417" i="1"/>
  <c r="J2353" i="1"/>
  <c r="J2289" i="1"/>
  <c r="J2214" i="1"/>
  <c r="J2058" i="1"/>
  <c r="J1802" i="1"/>
  <c r="J1229" i="1"/>
  <c r="I65" i="2" l="1"/>
  <c r="I68" i="2"/>
  <c r="I64" i="2"/>
  <c r="I63" i="2"/>
  <c r="I61" i="2"/>
  <c r="I66" i="2"/>
  <c r="I62" i="2"/>
  <c r="I67" i="2"/>
  <c r="B30" i="2" a="1"/>
  <c r="B30" i="2" s="1"/>
  <c r="B29" i="2" a="1"/>
  <c r="B29" i="2" s="1"/>
  <c r="C29" i="2" a="1"/>
  <c r="C29" i="2" s="1"/>
  <c r="C31" i="2" a="1"/>
  <c r="C31" i="2" s="1"/>
  <c r="C33" i="2" a="1"/>
  <c r="C33" i="2" s="1"/>
  <c r="B31" i="2" a="1"/>
  <c r="B31" i="2" s="1"/>
  <c r="B33" i="2" a="1"/>
  <c r="B33" i="2" s="1"/>
  <c r="B32" i="2" a="1"/>
  <c r="B32" i="2" s="1"/>
  <c r="C30" i="2" a="1"/>
  <c r="C30" i="2" s="1"/>
  <c r="C32" i="2" a="1"/>
  <c r="C32" i="2" s="1"/>
  <c r="F19" i="2" a="1"/>
  <c r="F19" i="2" s="1"/>
  <c r="F21" i="2" a="1"/>
  <c r="F21" i="2" s="1"/>
  <c r="F23" i="2" a="1"/>
  <c r="F23" i="2" s="1"/>
  <c r="F25" i="2" a="1"/>
  <c r="F25" i="2" s="1"/>
  <c r="F24" i="2" a="1"/>
  <c r="F24" i="2" s="1"/>
  <c r="F20" i="2" a="1"/>
  <c r="F20" i="2" s="1"/>
  <c r="F22" i="2" a="1"/>
  <c r="F22" i="2" s="1"/>
  <c r="F18" i="2" a="1"/>
  <c r="F18" i="2" s="1"/>
  <c r="C19" i="2" a="1"/>
  <c r="C19" i="2" s="1"/>
  <c r="C23" i="2" a="1"/>
  <c r="C23" i="2" s="1"/>
  <c r="C22" i="2" a="1"/>
  <c r="C22" i="2" s="1"/>
  <c r="B21" i="2" a="1"/>
  <c r="B21" i="2" s="1"/>
  <c r="E21" i="2" s="1" a="1"/>
  <c r="E21" i="2" s="1"/>
  <c r="C18" i="2" a="1"/>
  <c r="C18" i="2" s="1"/>
  <c r="C20" i="2" a="1"/>
  <c r="C20" i="2" s="1"/>
  <c r="C24" i="2" a="1"/>
  <c r="C24" i="2" s="1"/>
  <c r="B20" i="2" a="1"/>
  <c r="B20" i="2" s="1"/>
  <c r="D20" i="2" s="1" a="1"/>
  <c r="D20" i="2" s="1"/>
  <c r="B22" i="2" a="1"/>
  <c r="B22" i="2" s="1"/>
  <c r="E22" i="2" s="1" a="1"/>
  <c r="E22" i="2" s="1"/>
  <c r="B24" i="2" a="1"/>
  <c r="B24" i="2" s="1"/>
  <c r="E24" i="2" s="1" a="1"/>
  <c r="E24" i="2" s="1"/>
  <c r="B19" i="2" a="1"/>
  <c r="B19" i="2" s="1"/>
  <c r="E19" i="2" s="1" a="1"/>
  <c r="E19" i="2" s="1"/>
  <c r="B23" i="2" a="1"/>
  <c r="B23" i="2" s="1"/>
  <c r="E23" i="2" s="1" a="1"/>
  <c r="E23" i="2" s="1"/>
  <c r="C25" i="2" a="1"/>
  <c r="C25" i="2" s="1"/>
  <c r="C21" i="2" a="1"/>
  <c r="C21" i="2" s="1"/>
  <c r="B18" i="2" a="1"/>
  <c r="B18" i="2" s="1"/>
  <c r="E18" i="2" s="1" a="1"/>
  <c r="E18" i="2" s="1"/>
  <c r="B25" i="2" a="1"/>
  <c r="B25" i="2" s="1"/>
  <c r="E25" i="2" s="1" a="1"/>
  <c r="E25" i="2" s="1"/>
  <c r="B14" i="2" a="1"/>
  <c r="B14" i="2" s="1"/>
  <c r="B7" i="2" a="1"/>
  <c r="B7" i="2" s="1"/>
  <c r="B11" i="2" s="1" a="1"/>
  <c r="B11" i="2" s="1"/>
  <c r="B50" i="2" s="1"/>
  <c r="B52" i="2" s="1"/>
  <c r="B12" i="2" a="1"/>
  <c r="B12" i="2" s="1"/>
  <c r="B6" i="2"/>
  <c r="D19" i="2" l="1" a="1"/>
  <c r="D19" i="2" s="1"/>
  <c r="H19" i="2" s="1" a="1"/>
  <c r="H19" i="2" s="1"/>
  <c r="I19" i="2" s="1"/>
  <c r="D32" i="2"/>
  <c r="F32" i="2" s="1"/>
  <c r="D33" i="2"/>
  <c r="F33" i="2" s="1"/>
  <c r="D31" i="2"/>
  <c r="F31" i="2" s="1"/>
  <c r="D29" i="2"/>
  <c r="F29" i="2" s="1"/>
  <c r="D30" i="2"/>
  <c r="F30" i="2" s="1"/>
  <c r="D21" i="2" a="1"/>
  <c r="D21" i="2" s="1"/>
  <c r="H21" i="2" s="1" a="1"/>
  <c r="H21" i="2" s="1"/>
  <c r="I21" i="2" s="1"/>
  <c r="D23" i="2" a="1"/>
  <c r="D23" i="2" s="1"/>
  <c r="H23" i="2" s="1" a="1"/>
  <c r="H23" i="2" s="1"/>
  <c r="I23" i="2" s="1"/>
  <c r="E20" i="2" a="1"/>
  <c r="E20" i="2" s="1"/>
  <c r="H20" i="2" s="1" a="1"/>
  <c r="H20" i="2" s="1"/>
  <c r="I20" i="2" s="1"/>
  <c r="D25" i="2" a="1"/>
  <c r="D25" i="2" s="1"/>
  <c r="H25" i="2" s="1" a="1"/>
  <c r="H25" i="2" s="1"/>
  <c r="I25" i="2" s="1"/>
  <c r="D18" i="2" a="1"/>
  <c r="D18" i="2" s="1"/>
  <c r="H18" i="2" s="1" a="1"/>
  <c r="H18" i="2" s="1"/>
  <c r="I18" i="2" s="1"/>
  <c r="D24" i="2" a="1"/>
  <c r="D24" i="2" s="1"/>
  <c r="H24" i="2" s="1" a="1"/>
  <c r="H24" i="2" s="1"/>
  <c r="I24" i="2" s="1"/>
  <c r="D22" i="2" a="1"/>
  <c r="D22" i="2" s="1"/>
  <c r="H22" i="2" s="1" a="1"/>
  <c r="H22" i="2" s="1"/>
  <c r="I22" i="2" s="1"/>
  <c r="B8" i="2" a="1"/>
  <c r="B8" i="2" s="1"/>
  <c r="B10" i="2"/>
  <c r="B13" i="2"/>
  <c r="B9" i="2"/>
  <c r="J19" i="2" l="1"/>
  <c r="K19" i="2" s="1"/>
  <c r="L19" i="2" s="1" a="1"/>
  <c r="L19" i="2" s="1"/>
  <c r="J24" i="2"/>
  <c r="K24" i="2" s="1"/>
  <c r="L24" i="2" s="1" a="1"/>
  <c r="L24" i="2" s="1"/>
  <c r="J23" i="2"/>
  <c r="K23" i="2" s="1"/>
  <c r="L23" i="2" s="1" a="1"/>
  <c r="L23" i="2" s="1"/>
  <c r="J25" i="2"/>
  <c r="K25" i="2" s="1"/>
  <c r="L25" i="2" s="1" a="1"/>
  <c r="L25" i="2" s="1"/>
  <c r="J20" i="2"/>
  <c r="K20" i="2" s="1"/>
  <c r="L20" i="2" s="1" a="1"/>
  <c r="L20" i="2" s="1"/>
  <c r="J18" i="2"/>
  <c r="K18" i="2" s="1"/>
  <c r="L18" i="2" s="1" a="1"/>
  <c r="L18" i="2" s="1"/>
  <c r="J22" i="2"/>
  <c r="K22" i="2" s="1"/>
  <c r="L22" i="2" s="1" a="1"/>
  <c r="L22" i="2" s="1"/>
  <c r="J21" i="2"/>
  <c r="K21" i="2" s="1"/>
  <c r="L21" i="2" s="1" a="1"/>
  <c r="L21" i="2" s="1"/>
  <c r="A13" i="3" l="1"/>
  <c r="A41" i="2"/>
  <c r="A14" i="3"/>
  <c r="A42" i="2"/>
  <c r="A10" i="3"/>
  <c r="A38" i="2"/>
  <c r="B38" i="2" s="1" a="1"/>
  <c r="A16" i="3"/>
  <c r="A44" i="2"/>
  <c r="A17" i="3"/>
  <c r="A45" i="2"/>
  <c r="A15" i="3"/>
  <c r="A43" i="2"/>
  <c r="A12" i="3"/>
  <c r="A40" i="2"/>
  <c r="A11" i="3"/>
  <c r="A39" i="2"/>
  <c r="N22" i="2" a="1"/>
  <c r="N22" i="2" s="1"/>
  <c r="B14" i="3" s="1"/>
  <c r="O22" i="2" a="1"/>
  <c r="O22" i="2" s="1"/>
  <c r="C14" i="3" s="1"/>
  <c r="P22" i="2" a="1"/>
  <c r="P22" i="2" s="1"/>
  <c r="D14" i="3" s="1"/>
  <c r="Q22" i="2" a="1"/>
  <c r="Q22" i="2" s="1"/>
  <c r="E14" i="3" s="1"/>
  <c r="F14" i="3" s="1"/>
  <c r="P23" i="2" a="1"/>
  <c r="P23" i="2" s="1"/>
  <c r="D15" i="3" s="1"/>
  <c r="N23" i="2" a="1"/>
  <c r="N23" i="2" s="1"/>
  <c r="B15" i="3" s="1"/>
  <c r="Q23" i="2" a="1"/>
  <c r="Q23" i="2" s="1"/>
  <c r="E15" i="3" s="1"/>
  <c r="F15" i="3" s="1"/>
  <c r="O23" i="2" a="1"/>
  <c r="O23" i="2" s="1"/>
  <c r="C15" i="3" s="1"/>
  <c r="N25" i="2" a="1"/>
  <c r="N25" i="2" s="1"/>
  <c r="B17" i="3" s="1"/>
  <c r="Q25" i="2" a="1"/>
  <c r="Q25" i="2" s="1"/>
  <c r="E17" i="3" s="1"/>
  <c r="F17" i="3" s="1"/>
  <c r="P25" i="2" a="1"/>
  <c r="P25" i="2" s="1"/>
  <c r="D17" i="3" s="1"/>
  <c r="O25" i="2" a="1"/>
  <c r="O25" i="2" s="1"/>
  <c r="C17" i="3" s="1"/>
  <c r="O18" i="2" a="1"/>
  <c r="O18" i="2" s="1"/>
  <c r="C10" i="3" s="1"/>
  <c r="P18" i="2" a="1"/>
  <c r="P18" i="2" s="1"/>
  <c r="D10" i="3" s="1"/>
  <c r="N18" i="2" a="1"/>
  <c r="N18" i="2" s="1"/>
  <c r="B10" i="3" s="1"/>
  <c r="Q18" i="2" a="1"/>
  <c r="Q18" i="2" s="1"/>
  <c r="E10" i="3" s="1"/>
  <c r="F10" i="3" s="1"/>
  <c r="P24" i="2" a="1"/>
  <c r="P24" i="2" s="1"/>
  <c r="D16" i="3" s="1"/>
  <c r="O24" i="2" a="1"/>
  <c r="O24" i="2" s="1"/>
  <c r="C16" i="3" s="1"/>
  <c r="N24" i="2" a="1"/>
  <c r="N24" i="2" s="1"/>
  <c r="B16" i="3" s="1"/>
  <c r="Q24" i="2" a="1"/>
  <c r="Q24" i="2" s="1"/>
  <c r="E16" i="3" s="1"/>
  <c r="F16" i="3" s="1"/>
  <c r="Q21" i="2" a="1"/>
  <c r="Q21" i="2" s="1"/>
  <c r="E13" i="3" s="1"/>
  <c r="F13" i="3" s="1"/>
  <c r="O21" i="2" a="1"/>
  <c r="O21" i="2" s="1"/>
  <c r="C13" i="3" s="1"/>
  <c r="P21" i="2" a="1"/>
  <c r="P21" i="2" s="1"/>
  <c r="D13" i="3" s="1"/>
  <c r="N21" i="2" a="1"/>
  <c r="N21" i="2" s="1"/>
  <c r="B13" i="3" s="1"/>
  <c r="Q20" i="2" a="1"/>
  <c r="Q20" i="2" s="1"/>
  <c r="E12" i="3" s="1"/>
  <c r="F12" i="3" s="1"/>
  <c r="P20" i="2" a="1"/>
  <c r="P20" i="2" s="1"/>
  <c r="D12" i="3" s="1"/>
  <c r="O20" i="2" a="1"/>
  <c r="O20" i="2" s="1"/>
  <c r="C12" i="3" s="1"/>
  <c r="N20" i="2" a="1"/>
  <c r="N20" i="2" s="1"/>
  <c r="B12" i="3" s="1"/>
  <c r="O19" i="2" a="1"/>
  <c r="O19" i="2" s="1"/>
  <c r="C11" i="3" s="1"/>
  <c r="N19" i="2" a="1"/>
  <c r="N19" i="2" s="1"/>
  <c r="B11" i="3" s="1"/>
  <c r="Q19" i="2" a="1"/>
  <c r="Q19" i="2" s="1"/>
  <c r="E11" i="3" s="1"/>
  <c r="F11" i="3" s="1"/>
  <c r="P19" i="2" a="1"/>
  <c r="P19" i="2" s="1"/>
  <c r="D11" i="3" s="1"/>
  <c r="B38" i="2" l="1"/>
  <c r="B39" i="2" a="1"/>
  <c r="B39" i="2" s="1"/>
  <c r="B40" i="2" a="1"/>
  <c r="B40" i="2" s="1"/>
  <c r="B44" i="2" a="1"/>
  <c r="B44" i="2" s="1"/>
  <c r="B42" i="2" a="1"/>
  <c r="B42" i="2" s="1"/>
  <c r="B43" i="2" a="1"/>
  <c r="B43" i="2" s="1"/>
  <c r="B45" i="2" a="1"/>
  <c r="B45" i="2" s="1"/>
  <c r="B41" i="2" a="1"/>
  <c r="B41" i="2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<sst xmlns="http://schemas.openxmlformats.org/spreadsheetml/2006/main" count="27936" uniqueCount="5072">
  <si>
    <t>Call ID</t>
  </si>
  <si>
    <t>ID0001</t>
  </si>
  <si>
    <t>ID0002</t>
  </si>
  <si>
    <t>ID0003</t>
  </si>
  <si>
    <t>ID0004</t>
  </si>
  <si>
    <t>ID0005</t>
  </si>
  <si>
    <t>ID0006</t>
  </si>
  <si>
    <t>ID0007</t>
  </si>
  <si>
    <t>ID0008</t>
  </si>
  <si>
    <t>ID0009</t>
  </si>
  <si>
    <t>ID0010</t>
  </si>
  <si>
    <t>ID0011</t>
  </si>
  <si>
    <t>ID0012</t>
  </si>
  <si>
    <t>ID0013</t>
  </si>
  <si>
    <t>ID0014</t>
  </si>
  <si>
    <t>ID0015</t>
  </si>
  <si>
    <t>ID0016</t>
  </si>
  <si>
    <t>ID0017</t>
  </si>
  <si>
    <t>ID0018</t>
  </si>
  <si>
    <t>ID0019</t>
  </si>
  <si>
    <t>ID0020</t>
  </si>
  <si>
    <t>ID0021</t>
  </si>
  <si>
    <t>ID0022</t>
  </si>
  <si>
    <t>ID0023</t>
  </si>
  <si>
    <t>ID0024</t>
  </si>
  <si>
    <t>ID0025</t>
  </si>
  <si>
    <t>ID0026</t>
  </si>
  <si>
    <t>ID0027</t>
  </si>
  <si>
    <t>ID0028</t>
  </si>
  <si>
    <t>ID0029</t>
  </si>
  <si>
    <t>ID0030</t>
  </si>
  <si>
    <t>ID0031</t>
  </si>
  <si>
    <t>ID0032</t>
  </si>
  <si>
    <t>ID0033</t>
  </si>
  <si>
    <t>ID0034</t>
  </si>
  <si>
    <t>ID0035</t>
  </si>
  <si>
    <t>ID0036</t>
  </si>
  <si>
    <t>ID0037</t>
  </si>
  <si>
    <t>ID0038</t>
  </si>
  <si>
    <t>ID0039</t>
  </si>
  <si>
    <t>ID0040</t>
  </si>
  <si>
    <t>ID0041</t>
  </si>
  <si>
    <t>ID0042</t>
  </si>
  <si>
    <t>ID0043</t>
  </si>
  <si>
    <t>ID0044</t>
  </si>
  <si>
    <t>ID0045</t>
  </si>
  <si>
    <t>ID0046</t>
  </si>
  <si>
    <t>ID0047</t>
  </si>
  <si>
    <t>ID0048</t>
  </si>
  <si>
    <t>ID0049</t>
  </si>
  <si>
    <t>ID0050</t>
  </si>
  <si>
    <t>ID0051</t>
  </si>
  <si>
    <t>ID0052</t>
  </si>
  <si>
    <t>ID0053</t>
  </si>
  <si>
    <t>ID0054</t>
  </si>
  <si>
    <t>ID0055</t>
  </si>
  <si>
    <t>ID0056</t>
  </si>
  <si>
    <t>ID0057</t>
  </si>
  <si>
    <t>ID0058</t>
  </si>
  <si>
    <t>ID0059</t>
  </si>
  <si>
    <t>ID0060</t>
  </si>
  <si>
    <t>ID0061</t>
  </si>
  <si>
    <t>ID0062</t>
  </si>
  <si>
    <t>ID0063</t>
  </si>
  <si>
    <t>ID0064</t>
  </si>
  <si>
    <t>ID0065</t>
  </si>
  <si>
    <t>ID0066</t>
  </si>
  <si>
    <t>ID0067</t>
  </si>
  <si>
    <t>ID0068</t>
  </si>
  <si>
    <t>ID0069</t>
  </si>
  <si>
    <t>ID0070</t>
  </si>
  <si>
    <t>ID0071</t>
  </si>
  <si>
    <t>ID0072</t>
  </si>
  <si>
    <t>ID0073</t>
  </si>
  <si>
    <t>ID0074</t>
  </si>
  <si>
    <t>ID0075</t>
  </si>
  <si>
    <t>ID0076</t>
  </si>
  <si>
    <t>ID0077</t>
  </si>
  <si>
    <t>ID0078</t>
  </si>
  <si>
    <t>ID0079</t>
  </si>
  <si>
    <t>ID0080</t>
  </si>
  <si>
    <t>ID0081</t>
  </si>
  <si>
    <t>ID0082</t>
  </si>
  <si>
    <t>ID0083</t>
  </si>
  <si>
    <t>ID0084</t>
  </si>
  <si>
    <t>ID0085</t>
  </si>
  <si>
    <t>ID0086</t>
  </si>
  <si>
    <t>ID0087</t>
  </si>
  <si>
    <t>ID0088</t>
  </si>
  <si>
    <t>ID0089</t>
  </si>
  <si>
    <t>ID0090</t>
  </si>
  <si>
    <t>ID0091</t>
  </si>
  <si>
    <t>ID0092</t>
  </si>
  <si>
    <t>ID0093</t>
  </si>
  <si>
    <t>ID0094</t>
  </si>
  <si>
    <t>ID0095</t>
  </si>
  <si>
    <t>ID0096</t>
  </si>
  <si>
    <t>ID0097</t>
  </si>
  <si>
    <t>ID0098</t>
  </si>
  <si>
    <t>ID0099</t>
  </si>
  <si>
    <t>ID0100</t>
  </si>
  <si>
    <t>ID0101</t>
  </si>
  <si>
    <t>ID0102</t>
  </si>
  <si>
    <t>ID0103</t>
  </si>
  <si>
    <t>ID0104</t>
  </si>
  <si>
    <t>ID0105</t>
  </si>
  <si>
    <t>ID0106</t>
  </si>
  <si>
    <t>ID0107</t>
  </si>
  <si>
    <t>ID0108</t>
  </si>
  <si>
    <t>ID0109</t>
  </si>
  <si>
    <t>ID0110</t>
  </si>
  <si>
    <t>ID0111</t>
  </si>
  <si>
    <t>ID0112</t>
  </si>
  <si>
    <t>ID0113</t>
  </si>
  <si>
    <t>ID0114</t>
  </si>
  <si>
    <t>ID0115</t>
  </si>
  <si>
    <t>ID0116</t>
  </si>
  <si>
    <t>ID0117</t>
  </si>
  <si>
    <t>ID0118</t>
  </si>
  <si>
    <t>ID0119</t>
  </si>
  <si>
    <t>ID0120</t>
  </si>
  <si>
    <t>ID0121</t>
  </si>
  <si>
    <t>ID0122</t>
  </si>
  <si>
    <t>ID0123</t>
  </si>
  <si>
    <t>ID0124</t>
  </si>
  <si>
    <t>ID0125</t>
  </si>
  <si>
    <t>ID0126</t>
  </si>
  <si>
    <t>ID0127</t>
  </si>
  <si>
    <t>ID0128</t>
  </si>
  <si>
    <t>ID0129</t>
  </si>
  <si>
    <t>ID0130</t>
  </si>
  <si>
    <t>ID0131</t>
  </si>
  <si>
    <t>ID0132</t>
  </si>
  <si>
    <t>ID0133</t>
  </si>
  <si>
    <t>ID0134</t>
  </si>
  <si>
    <t>ID0135</t>
  </si>
  <si>
    <t>ID0136</t>
  </si>
  <si>
    <t>ID0137</t>
  </si>
  <si>
    <t>ID0138</t>
  </si>
  <si>
    <t>ID0139</t>
  </si>
  <si>
    <t>ID0140</t>
  </si>
  <si>
    <t>ID0141</t>
  </si>
  <si>
    <t>ID0142</t>
  </si>
  <si>
    <t>ID0143</t>
  </si>
  <si>
    <t>ID0144</t>
  </si>
  <si>
    <t>ID0145</t>
  </si>
  <si>
    <t>ID0146</t>
  </si>
  <si>
    <t>ID0147</t>
  </si>
  <si>
    <t>ID0148</t>
  </si>
  <si>
    <t>ID0149</t>
  </si>
  <si>
    <t>ID0150</t>
  </si>
  <si>
    <t>ID0151</t>
  </si>
  <si>
    <t>ID0152</t>
  </si>
  <si>
    <t>ID0153</t>
  </si>
  <si>
    <t>ID0154</t>
  </si>
  <si>
    <t>ID0155</t>
  </si>
  <si>
    <t>ID0156</t>
  </si>
  <si>
    <t>ID0157</t>
  </si>
  <si>
    <t>ID0158</t>
  </si>
  <si>
    <t>ID0159</t>
  </si>
  <si>
    <t>ID0160</t>
  </si>
  <si>
    <t>ID0161</t>
  </si>
  <si>
    <t>ID0162</t>
  </si>
  <si>
    <t>ID0163</t>
  </si>
  <si>
    <t>ID0164</t>
  </si>
  <si>
    <t>ID0165</t>
  </si>
  <si>
    <t>ID0166</t>
  </si>
  <si>
    <t>ID0167</t>
  </si>
  <si>
    <t>ID0168</t>
  </si>
  <si>
    <t>ID0169</t>
  </si>
  <si>
    <t>ID0170</t>
  </si>
  <si>
    <t>ID0171</t>
  </si>
  <si>
    <t>ID0172</t>
  </si>
  <si>
    <t>ID0173</t>
  </si>
  <si>
    <t>ID0174</t>
  </si>
  <si>
    <t>ID0175</t>
  </si>
  <si>
    <t>ID0176</t>
  </si>
  <si>
    <t>ID0177</t>
  </si>
  <si>
    <t>ID0178</t>
  </si>
  <si>
    <t>ID0179</t>
  </si>
  <si>
    <t>ID0180</t>
  </si>
  <si>
    <t>ID0181</t>
  </si>
  <si>
    <t>ID0182</t>
  </si>
  <si>
    <t>ID0183</t>
  </si>
  <si>
    <t>ID0184</t>
  </si>
  <si>
    <t>ID0185</t>
  </si>
  <si>
    <t>ID0186</t>
  </si>
  <si>
    <t>ID0187</t>
  </si>
  <si>
    <t>ID0188</t>
  </si>
  <si>
    <t>ID0189</t>
  </si>
  <si>
    <t>ID0190</t>
  </si>
  <si>
    <t>ID0191</t>
  </si>
  <si>
    <t>ID0192</t>
  </si>
  <si>
    <t>ID0193</t>
  </si>
  <si>
    <t>ID0194</t>
  </si>
  <si>
    <t>ID0195</t>
  </si>
  <si>
    <t>ID0196</t>
  </si>
  <si>
    <t>ID0197</t>
  </si>
  <si>
    <t>ID0198</t>
  </si>
  <si>
    <t>ID0199</t>
  </si>
  <si>
    <t>ID0200</t>
  </si>
  <si>
    <t>ID0201</t>
  </si>
  <si>
    <t>ID0202</t>
  </si>
  <si>
    <t>ID0203</t>
  </si>
  <si>
    <t>ID0204</t>
  </si>
  <si>
    <t>ID0205</t>
  </si>
  <si>
    <t>ID0206</t>
  </si>
  <si>
    <t>ID0207</t>
  </si>
  <si>
    <t>ID0208</t>
  </si>
  <si>
    <t>ID0209</t>
  </si>
  <si>
    <t>ID0210</t>
  </si>
  <si>
    <t>ID0211</t>
  </si>
  <si>
    <t>ID0212</t>
  </si>
  <si>
    <t>ID0213</t>
  </si>
  <si>
    <t>ID0214</t>
  </si>
  <si>
    <t>ID0215</t>
  </si>
  <si>
    <t>ID0216</t>
  </si>
  <si>
    <t>ID0217</t>
  </si>
  <si>
    <t>ID0218</t>
  </si>
  <si>
    <t>ID0219</t>
  </si>
  <si>
    <t>ID0220</t>
  </si>
  <si>
    <t>ID0221</t>
  </si>
  <si>
    <t>ID0222</t>
  </si>
  <si>
    <t>ID0223</t>
  </si>
  <si>
    <t>ID0224</t>
  </si>
  <si>
    <t>ID0225</t>
  </si>
  <si>
    <t>ID0226</t>
  </si>
  <si>
    <t>ID0227</t>
  </si>
  <si>
    <t>ID0228</t>
  </si>
  <si>
    <t>ID0229</t>
  </si>
  <si>
    <t>ID0230</t>
  </si>
  <si>
    <t>ID0231</t>
  </si>
  <si>
    <t>ID0232</t>
  </si>
  <si>
    <t>ID0233</t>
  </si>
  <si>
    <t>ID0234</t>
  </si>
  <si>
    <t>ID0235</t>
  </si>
  <si>
    <t>ID0236</t>
  </si>
  <si>
    <t>ID0237</t>
  </si>
  <si>
    <t>ID0238</t>
  </si>
  <si>
    <t>ID0239</t>
  </si>
  <si>
    <t>ID0240</t>
  </si>
  <si>
    <t>ID0241</t>
  </si>
  <si>
    <t>ID0242</t>
  </si>
  <si>
    <t>ID0243</t>
  </si>
  <si>
    <t>ID0244</t>
  </si>
  <si>
    <t>ID0245</t>
  </si>
  <si>
    <t>ID0246</t>
  </si>
  <si>
    <t>ID0247</t>
  </si>
  <si>
    <t>ID0248</t>
  </si>
  <si>
    <t>ID0249</t>
  </si>
  <si>
    <t>ID0250</t>
  </si>
  <si>
    <t>ID0251</t>
  </si>
  <si>
    <t>ID0252</t>
  </si>
  <si>
    <t>ID0253</t>
  </si>
  <si>
    <t>ID0254</t>
  </si>
  <si>
    <t>ID0255</t>
  </si>
  <si>
    <t>ID0256</t>
  </si>
  <si>
    <t>ID0257</t>
  </si>
  <si>
    <t>ID0258</t>
  </si>
  <si>
    <t>ID0259</t>
  </si>
  <si>
    <t>ID0260</t>
  </si>
  <si>
    <t>ID0261</t>
  </si>
  <si>
    <t>ID0262</t>
  </si>
  <si>
    <t>ID0263</t>
  </si>
  <si>
    <t>ID0264</t>
  </si>
  <si>
    <t>ID0265</t>
  </si>
  <si>
    <t>ID0266</t>
  </si>
  <si>
    <t>ID0267</t>
  </si>
  <si>
    <t>ID0268</t>
  </si>
  <si>
    <t>ID0269</t>
  </si>
  <si>
    <t>ID0270</t>
  </si>
  <si>
    <t>ID0271</t>
  </si>
  <si>
    <t>ID0272</t>
  </si>
  <si>
    <t>ID0273</t>
  </si>
  <si>
    <t>ID0274</t>
  </si>
  <si>
    <t>ID0275</t>
  </si>
  <si>
    <t>ID0276</t>
  </si>
  <si>
    <t>ID0277</t>
  </si>
  <si>
    <t>ID0278</t>
  </si>
  <si>
    <t>ID0279</t>
  </si>
  <si>
    <t>ID0280</t>
  </si>
  <si>
    <t>ID0281</t>
  </si>
  <si>
    <t>ID0282</t>
  </si>
  <si>
    <t>ID0283</t>
  </si>
  <si>
    <t>ID0284</t>
  </si>
  <si>
    <t>ID0285</t>
  </si>
  <si>
    <t>ID0286</t>
  </si>
  <si>
    <t>ID0287</t>
  </si>
  <si>
    <t>ID0288</t>
  </si>
  <si>
    <t>ID0289</t>
  </si>
  <si>
    <t>ID0290</t>
  </si>
  <si>
    <t>ID0291</t>
  </si>
  <si>
    <t>ID0292</t>
  </si>
  <si>
    <t>ID0293</t>
  </si>
  <si>
    <t>ID0294</t>
  </si>
  <si>
    <t>ID0295</t>
  </si>
  <si>
    <t>ID0296</t>
  </si>
  <si>
    <t>ID0297</t>
  </si>
  <si>
    <t>ID0298</t>
  </si>
  <si>
    <t>ID0299</t>
  </si>
  <si>
    <t>ID0300</t>
  </si>
  <si>
    <t>ID0301</t>
  </si>
  <si>
    <t>ID0302</t>
  </si>
  <si>
    <t>ID0303</t>
  </si>
  <si>
    <t>ID0304</t>
  </si>
  <si>
    <t>ID0305</t>
  </si>
  <si>
    <t>ID0306</t>
  </si>
  <si>
    <t>ID0307</t>
  </si>
  <si>
    <t>ID0308</t>
  </si>
  <si>
    <t>ID0309</t>
  </si>
  <si>
    <t>ID0310</t>
  </si>
  <si>
    <t>ID0311</t>
  </si>
  <si>
    <t>ID0312</t>
  </si>
  <si>
    <t>ID0313</t>
  </si>
  <si>
    <t>ID0314</t>
  </si>
  <si>
    <t>ID0315</t>
  </si>
  <si>
    <t>ID0316</t>
  </si>
  <si>
    <t>ID0317</t>
  </si>
  <si>
    <t>ID0318</t>
  </si>
  <si>
    <t>ID0319</t>
  </si>
  <si>
    <t>ID0320</t>
  </si>
  <si>
    <t>ID0321</t>
  </si>
  <si>
    <t>ID0322</t>
  </si>
  <si>
    <t>ID0323</t>
  </si>
  <si>
    <t>ID0324</t>
  </si>
  <si>
    <t>ID0325</t>
  </si>
  <si>
    <t>ID0326</t>
  </si>
  <si>
    <t>ID0327</t>
  </si>
  <si>
    <t>ID0328</t>
  </si>
  <si>
    <t>ID0329</t>
  </si>
  <si>
    <t>ID0330</t>
  </si>
  <si>
    <t>ID0331</t>
  </si>
  <si>
    <t>ID0332</t>
  </si>
  <si>
    <t>ID0333</t>
  </si>
  <si>
    <t>ID0334</t>
  </si>
  <si>
    <t>ID0335</t>
  </si>
  <si>
    <t>ID0336</t>
  </si>
  <si>
    <t>ID0337</t>
  </si>
  <si>
    <t>ID0338</t>
  </si>
  <si>
    <t>ID0339</t>
  </si>
  <si>
    <t>ID0340</t>
  </si>
  <si>
    <t>ID0341</t>
  </si>
  <si>
    <t>ID0342</t>
  </si>
  <si>
    <t>ID0343</t>
  </si>
  <si>
    <t>ID0344</t>
  </si>
  <si>
    <t>ID0345</t>
  </si>
  <si>
    <t>ID0346</t>
  </si>
  <si>
    <t>ID0347</t>
  </si>
  <si>
    <t>ID0348</t>
  </si>
  <si>
    <t>ID0349</t>
  </si>
  <si>
    <t>ID0350</t>
  </si>
  <si>
    <t>ID0351</t>
  </si>
  <si>
    <t>ID0352</t>
  </si>
  <si>
    <t>ID0353</t>
  </si>
  <si>
    <t>ID0354</t>
  </si>
  <si>
    <t>ID0355</t>
  </si>
  <si>
    <t>ID0356</t>
  </si>
  <si>
    <t>ID0357</t>
  </si>
  <si>
    <t>ID0358</t>
  </si>
  <si>
    <t>ID0359</t>
  </si>
  <si>
    <t>ID0360</t>
  </si>
  <si>
    <t>ID0361</t>
  </si>
  <si>
    <t>ID0362</t>
  </si>
  <si>
    <t>ID0363</t>
  </si>
  <si>
    <t>ID0364</t>
  </si>
  <si>
    <t>ID0365</t>
  </si>
  <si>
    <t>ID0366</t>
  </si>
  <si>
    <t>ID0367</t>
  </si>
  <si>
    <t>ID0368</t>
  </si>
  <si>
    <t>ID0369</t>
  </si>
  <si>
    <t>ID0370</t>
  </si>
  <si>
    <t>ID0371</t>
  </si>
  <si>
    <t>ID0372</t>
  </si>
  <si>
    <t>ID0373</t>
  </si>
  <si>
    <t>ID0374</t>
  </si>
  <si>
    <t>ID0375</t>
  </si>
  <si>
    <t>ID0376</t>
  </si>
  <si>
    <t>ID0377</t>
  </si>
  <si>
    <t>ID0378</t>
  </si>
  <si>
    <t>ID0379</t>
  </si>
  <si>
    <t>ID0380</t>
  </si>
  <si>
    <t>ID0381</t>
  </si>
  <si>
    <t>ID0382</t>
  </si>
  <si>
    <t>ID0383</t>
  </si>
  <si>
    <t>ID0384</t>
  </si>
  <si>
    <t>ID0385</t>
  </si>
  <si>
    <t>ID0386</t>
  </si>
  <si>
    <t>ID0387</t>
  </si>
  <si>
    <t>ID0388</t>
  </si>
  <si>
    <t>ID0389</t>
  </si>
  <si>
    <t>ID0390</t>
  </si>
  <si>
    <t>ID0391</t>
  </si>
  <si>
    <t>ID0392</t>
  </si>
  <si>
    <t>ID0393</t>
  </si>
  <si>
    <t>ID0394</t>
  </si>
  <si>
    <t>ID0395</t>
  </si>
  <si>
    <t>ID0396</t>
  </si>
  <si>
    <t>ID0397</t>
  </si>
  <si>
    <t>ID0398</t>
  </si>
  <si>
    <t>ID0399</t>
  </si>
  <si>
    <t>ID0400</t>
  </si>
  <si>
    <t>ID0401</t>
  </si>
  <si>
    <t>ID0402</t>
  </si>
  <si>
    <t>ID0403</t>
  </si>
  <si>
    <t>ID0404</t>
  </si>
  <si>
    <t>ID0405</t>
  </si>
  <si>
    <t>ID0406</t>
  </si>
  <si>
    <t>ID0407</t>
  </si>
  <si>
    <t>ID0408</t>
  </si>
  <si>
    <t>ID0409</t>
  </si>
  <si>
    <t>ID0410</t>
  </si>
  <si>
    <t>ID0411</t>
  </si>
  <si>
    <t>ID0412</t>
  </si>
  <si>
    <t>ID0413</t>
  </si>
  <si>
    <t>ID0414</t>
  </si>
  <si>
    <t>ID0415</t>
  </si>
  <si>
    <t>ID0416</t>
  </si>
  <si>
    <t>ID0417</t>
  </si>
  <si>
    <t>ID0418</t>
  </si>
  <si>
    <t>ID0419</t>
  </si>
  <si>
    <t>ID0420</t>
  </si>
  <si>
    <t>ID0421</t>
  </si>
  <si>
    <t>ID0422</t>
  </si>
  <si>
    <t>ID0423</t>
  </si>
  <si>
    <t>ID0424</t>
  </si>
  <si>
    <t>ID0425</t>
  </si>
  <si>
    <t>ID0426</t>
  </si>
  <si>
    <t>ID0427</t>
  </si>
  <si>
    <t>ID0428</t>
  </si>
  <si>
    <t>ID0429</t>
  </si>
  <si>
    <t>ID0430</t>
  </si>
  <si>
    <t>ID0431</t>
  </si>
  <si>
    <t>ID0432</t>
  </si>
  <si>
    <t>ID0433</t>
  </si>
  <si>
    <t>ID0434</t>
  </si>
  <si>
    <t>ID0435</t>
  </si>
  <si>
    <t>ID0436</t>
  </si>
  <si>
    <t>ID0437</t>
  </si>
  <si>
    <t>ID0438</t>
  </si>
  <si>
    <t>ID0439</t>
  </si>
  <si>
    <t>ID0440</t>
  </si>
  <si>
    <t>ID0441</t>
  </si>
  <si>
    <t>ID0442</t>
  </si>
  <si>
    <t>ID0443</t>
  </si>
  <si>
    <t>ID0444</t>
  </si>
  <si>
    <t>ID0445</t>
  </si>
  <si>
    <t>ID0446</t>
  </si>
  <si>
    <t>ID0447</t>
  </si>
  <si>
    <t>ID0448</t>
  </si>
  <si>
    <t>ID0449</t>
  </si>
  <si>
    <t>ID0450</t>
  </si>
  <si>
    <t>ID0451</t>
  </si>
  <si>
    <t>ID0452</t>
  </si>
  <si>
    <t>ID0453</t>
  </si>
  <si>
    <t>ID0454</t>
  </si>
  <si>
    <t>ID0455</t>
  </si>
  <si>
    <t>ID0456</t>
  </si>
  <si>
    <t>ID0457</t>
  </si>
  <si>
    <t>ID0458</t>
  </si>
  <si>
    <t>ID0459</t>
  </si>
  <si>
    <t>ID0460</t>
  </si>
  <si>
    <t>ID0461</t>
  </si>
  <si>
    <t>ID0462</t>
  </si>
  <si>
    <t>ID0463</t>
  </si>
  <si>
    <t>ID0464</t>
  </si>
  <si>
    <t>ID0465</t>
  </si>
  <si>
    <t>ID0466</t>
  </si>
  <si>
    <t>ID0467</t>
  </si>
  <si>
    <t>ID0468</t>
  </si>
  <si>
    <t>ID0469</t>
  </si>
  <si>
    <t>ID0470</t>
  </si>
  <si>
    <t>ID0471</t>
  </si>
  <si>
    <t>ID0472</t>
  </si>
  <si>
    <t>ID0473</t>
  </si>
  <si>
    <t>ID0474</t>
  </si>
  <si>
    <t>ID0475</t>
  </si>
  <si>
    <t>ID0476</t>
  </si>
  <si>
    <t>ID0477</t>
  </si>
  <si>
    <t>ID0478</t>
  </si>
  <si>
    <t>ID0479</t>
  </si>
  <si>
    <t>ID0480</t>
  </si>
  <si>
    <t>ID0481</t>
  </si>
  <si>
    <t>ID0482</t>
  </si>
  <si>
    <t>ID0483</t>
  </si>
  <si>
    <t>ID0484</t>
  </si>
  <si>
    <t>ID0485</t>
  </si>
  <si>
    <t>ID0486</t>
  </si>
  <si>
    <t>ID0487</t>
  </si>
  <si>
    <t>ID0488</t>
  </si>
  <si>
    <t>ID0489</t>
  </si>
  <si>
    <t>ID0490</t>
  </si>
  <si>
    <t>ID0491</t>
  </si>
  <si>
    <t>ID0492</t>
  </si>
  <si>
    <t>ID0493</t>
  </si>
  <si>
    <t>ID0494</t>
  </si>
  <si>
    <t>ID0495</t>
  </si>
  <si>
    <t>ID0496</t>
  </si>
  <si>
    <t>ID0497</t>
  </si>
  <si>
    <t>ID0498</t>
  </si>
  <si>
    <t>ID0499</t>
  </si>
  <si>
    <t>ID0500</t>
  </si>
  <si>
    <t>ID0501</t>
  </si>
  <si>
    <t>ID0502</t>
  </si>
  <si>
    <t>ID0503</t>
  </si>
  <si>
    <t>ID0504</t>
  </si>
  <si>
    <t>ID0505</t>
  </si>
  <si>
    <t>ID0506</t>
  </si>
  <si>
    <t>ID0507</t>
  </si>
  <si>
    <t>ID0508</t>
  </si>
  <si>
    <t>ID0509</t>
  </si>
  <si>
    <t>ID0510</t>
  </si>
  <si>
    <t>ID0511</t>
  </si>
  <si>
    <t>ID0512</t>
  </si>
  <si>
    <t>ID0513</t>
  </si>
  <si>
    <t>ID0514</t>
  </si>
  <si>
    <t>ID0515</t>
  </si>
  <si>
    <t>ID0516</t>
  </si>
  <si>
    <t>ID0517</t>
  </si>
  <si>
    <t>ID0518</t>
  </si>
  <si>
    <t>ID0519</t>
  </si>
  <si>
    <t>ID0520</t>
  </si>
  <si>
    <t>ID0521</t>
  </si>
  <si>
    <t>ID0522</t>
  </si>
  <si>
    <t>ID0523</t>
  </si>
  <si>
    <t>ID0524</t>
  </si>
  <si>
    <t>ID0525</t>
  </si>
  <si>
    <t>ID0526</t>
  </si>
  <si>
    <t>ID0527</t>
  </si>
  <si>
    <t>ID0528</t>
  </si>
  <si>
    <t>ID0529</t>
  </si>
  <si>
    <t>ID0530</t>
  </si>
  <si>
    <t>ID0531</t>
  </si>
  <si>
    <t>ID0532</t>
  </si>
  <si>
    <t>ID0533</t>
  </si>
  <si>
    <t>ID0534</t>
  </si>
  <si>
    <t>ID0535</t>
  </si>
  <si>
    <t>ID0536</t>
  </si>
  <si>
    <t>ID0537</t>
  </si>
  <si>
    <t>ID0538</t>
  </si>
  <si>
    <t>ID0539</t>
  </si>
  <si>
    <t>ID0540</t>
  </si>
  <si>
    <t>ID0541</t>
  </si>
  <si>
    <t>ID0542</t>
  </si>
  <si>
    <t>ID0543</t>
  </si>
  <si>
    <t>ID0544</t>
  </si>
  <si>
    <t>ID0545</t>
  </si>
  <si>
    <t>ID0546</t>
  </si>
  <si>
    <t>ID0547</t>
  </si>
  <si>
    <t>ID0548</t>
  </si>
  <si>
    <t>ID0549</t>
  </si>
  <si>
    <t>ID0550</t>
  </si>
  <si>
    <t>ID0551</t>
  </si>
  <si>
    <t>ID0552</t>
  </si>
  <si>
    <t>ID0553</t>
  </si>
  <si>
    <t>ID0554</t>
  </si>
  <si>
    <t>ID0555</t>
  </si>
  <si>
    <t>ID0556</t>
  </si>
  <si>
    <t>ID0557</t>
  </si>
  <si>
    <t>ID0558</t>
  </si>
  <si>
    <t>ID0559</t>
  </si>
  <si>
    <t>ID0560</t>
  </si>
  <si>
    <t>ID0561</t>
  </si>
  <si>
    <t>ID0562</t>
  </si>
  <si>
    <t>ID0563</t>
  </si>
  <si>
    <t>ID0564</t>
  </si>
  <si>
    <t>ID0565</t>
  </si>
  <si>
    <t>ID0566</t>
  </si>
  <si>
    <t>ID0567</t>
  </si>
  <si>
    <t>ID0568</t>
  </si>
  <si>
    <t>ID0569</t>
  </si>
  <si>
    <t>ID0570</t>
  </si>
  <si>
    <t>ID0571</t>
  </si>
  <si>
    <t>ID0572</t>
  </si>
  <si>
    <t>ID0573</t>
  </si>
  <si>
    <t>ID0574</t>
  </si>
  <si>
    <t>ID0575</t>
  </si>
  <si>
    <t>ID0576</t>
  </si>
  <si>
    <t>ID0577</t>
  </si>
  <si>
    <t>ID0578</t>
  </si>
  <si>
    <t>ID0579</t>
  </si>
  <si>
    <t>ID0580</t>
  </si>
  <si>
    <t>ID0581</t>
  </si>
  <si>
    <t>ID0582</t>
  </si>
  <si>
    <t>ID0583</t>
  </si>
  <si>
    <t>ID0584</t>
  </si>
  <si>
    <t>ID0585</t>
  </si>
  <si>
    <t>ID0586</t>
  </si>
  <si>
    <t>ID0587</t>
  </si>
  <si>
    <t>ID0588</t>
  </si>
  <si>
    <t>ID0589</t>
  </si>
  <si>
    <t>ID0590</t>
  </si>
  <si>
    <t>ID0591</t>
  </si>
  <si>
    <t>ID0592</t>
  </si>
  <si>
    <t>ID0593</t>
  </si>
  <si>
    <t>ID0594</t>
  </si>
  <si>
    <t>ID0595</t>
  </si>
  <si>
    <t>ID0596</t>
  </si>
  <si>
    <t>ID0597</t>
  </si>
  <si>
    <t>ID0598</t>
  </si>
  <si>
    <t>ID0599</t>
  </si>
  <si>
    <t>ID0600</t>
  </si>
  <si>
    <t>ID0601</t>
  </si>
  <si>
    <t>ID0602</t>
  </si>
  <si>
    <t>ID0603</t>
  </si>
  <si>
    <t>ID0604</t>
  </si>
  <si>
    <t>ID0605</t>
  </si>
  <si>
    <t>ID0606</t>
  </si>
  <si>
    <t>ID0607</t>
  </si>
  <si>
    <t>ID0608</t>
  </si>
  <si>
    <t>ID0609</t>
  </si>
  <si>
    <t>ID0610</t>
  </si>
  <si>
    <t>ID0611</t>
  </si>
  <si>
    <t>ID0612</t>
  </si>
  <si>
    <t>ID0613</t>
  </si>
  <si>
    <t>ID0614</t>
  </si>
  <si>
    <t>ID0615</t>
  </si>
  <si>
    <t>ID0616</t>
  </si>
  <si>
    <t>ID0617</t>
  </si>
  <si>
    <t>ID0618</t>
  </si>
  <si>
    <t>ID0619</t>
  </si>
  <si>
    <t>ID0620</t>
  </si>
  <si>
    <t>ID0621</t>
  </si>
  <si>
    <t>ID0622</t>
  </si>
  <si>
    <t>ID0623</t>
  </si>
  <si>
    <t>ID0624</t>
  </si>
  <si>
    <t>ID0625</t>
  </si>
  <si>
    <t>ID0626</t>
  </si>
  <si>
    <t>ID0627</t>
  </si>
  <si>
    <t>ID0628</t>
  </si>
  <si>
    <t>ID0629</t>
  </si>
  <si>
    <t>ID0630</t>
  </si>
  <si>
    <t>ID0631</t>
  </si>
  <si>
    <t>ID0632</t>
  </si>
  <si>
    <t>ID0633</t>
  </si>
  <si>
    <t>ID0634</t>
  </si>
  <si>
    <t>ID0635</t>
  </si>
  <si>
    <t>ID0636</t>
  </si>
  <si>
    <t>ID0637</t>
  </si>
  <si>
    <t>ID0638</t>
  </si>
  <si>
    <t>ID0639</t>
  </si>
  <si>
    <t>ID0640</t>
  </si>
  <si>
    <t>ID0641</t>
  </si>
  <si>
    <t>ID0642</t>
  </si>
  <si>
    <t>ID0643</t>
  </si>
  <si>
    <t>ID0644</t>
  </si>
  <si>
    <t>ID0645</t>
  </si>
  <si>
    <t>ID0646</t>
  </si>
  <si>
    <t>ID0647</t>
  </si>
  <si>
    <t>ID0648</t>
  </si>
  <si>
    <t>ID0649</t>
  </si>
  <si>
    <t>ID0650</t>
  </si>
  <si>
    <t>ID0651</t>
  </si>
  <si>
    <t>ID0652</t>
  </si>
  <si>
    <t>ID0653</t>
  </si>
  <si>
    <t>ID0654</t>
  </si>
  <si>
    <t>ID0655</t>
  </si>
  <si>
    <t>ID0656</t>
  </si>
  <si>
    <t>ID0657</t>
  </si>
  <si>
    <t>ID0658</t>
  </si>
  <si>
    <t>ID0659</t>
  </si>
  <si>
    <t>ID0660</t>
  </si>
  <si>
    <t>ID0661</t>
  </si>
  <si>
    <t>ID0662</t>
  </si>
  <si>
    <t>ID0663</t>
  </si>
  <si>
    <t>ID0664</t>
  </si>
  <si>
    <t>ID0665</t>
  </si>
  <si>
    <t>ID0666</t>
  </si>
  <si>
    <t>ID0667</t>
  </si>
  <si>
    <t>ID0668</t>
  </si>
  <si>
    <t>ID0669</t>
  </si>
  <si>
    <t>ID0670</t>
  </si>
  <si>
    <t>ID0671</t>
  </si>
  <si>
    <t>ID0672</t>
  </si>
  <si>
    <t>ID0673</t>
  </si>
  <si>
    <t>ID0674</t>
  </si>
  <si>
    <t>ID0675</t>
  </si>
  <si>
    <t>ID0676</t>
  </si>
  <si>
    <t>ID0677</t>
  </si>
  <si>
    <t>ID0678</t>
  </si>
  <si>
    <t>ID0679</t>
  </si>
  <si>
    <t>ID0680</t>
  </si>
  <si>
    <t>ID0681</t>
  </si>
  <si>
    <t>ID0682</t>
  </si>
  <si>
    <t>ID0683</t>
  </si>
  <si>
    <t>ID0684</t>
  </si>
  <si>
    <t>ID0685</t>
  </si>
  <si>
    <t>ID0686</t>
  </si>
  <si>
    <t>ID0687</t>
  </si>
  <si>
    <t>ID0688</t>
  </si>
  <si>
    <t>ID0689</t>
  </si>
  <si>
    <t>ID0690</t>
  </si>
  <si>
    <t>ID0691</t>
  </si>
  <si>
    <t>ID0692</t>
  </si>
  <si>
    <t>ID0693</t>
  </si>
  <si>
    <t>ID0694</t>
  </si>
  <si>
    <t>ID0695</t>
  </si>
  <si>
    <t>ID0696</t>
  </si>
  <si>
    <t>ID0697</t>
  </si>
  <si>
    <t>ID0698</t>
  </si>
  <si>
    <t>ID0699</t>
  </si>
  <si>
    <t>ID0700</t>
  </si>
  <si>
    <t>ID0701</t>
  </si>
  <si>
    <t>ID0702</t>
  </si>
  <si>
    <t>ID0703</t>
  </si>
  <si>
    <t>ID0704</t>
  </si>
  <si>
    <t>ID0705</t>
  </si>
  <si>
    <t>ID0706</t>
  </si>
  <si>
    <t>ID0707</t>
  </si>
  <si>
    <t>ID0708</t>
  </si>
  <si>
    <t>ID0709</t>
  </si>
  <si>
    <t>ID0710</t>
  </si>
  <si>
    <t>ID0711</t>
  </si>
  <si>
    <t>ID0712</t>
  </si>
  <si>
    <t>ID0713</t>
  </si>
  <si>
    <t>ID0714</t>
  </si>
  <si>
    <t>ID0715</t>
  </si>
  <si>
    <t>ID0716</t>
  </si>
  <si>
    <t>ID0717</t>
  </si>
  <si>
    <t>ID0718</t>
  </si>
  <si>
    <t>ID0719</t>
  </si>
  <si>
    <t>ID0720</t>
  </si>
  <si>
    <t>ID0721</t>
  </si>
  <si>
    <t>ID0722</t>
  </si>
  <si>
    <t>ID0723</t>
  </si>
  <si>
    <t>ID0724</t>
  </si>
  <si>
    <t>ID0725</t>
  </si>
  <si>
    <t>ID0726</t>
  </si>
  <si>
    <t>ID0727</t>
  </si>
  <si>
    <t>ID0728</t>
  </si>
  <si>
    <t>ID0729</t>
  </si>
  <si>
    <t>ID0730</t>
  </si>
  <si>
    <t>ID0731</t>
  </si>
  <si>
    <t>ID0732</t>
  </si>
  <si>
    <t>ID0733</t>
  </si>
  <si>
    <t>ID0734</t>
  </si>
  <si>
    <t>ID0735</t>
  </si>
  <si>
    <t>ID0736</t>
  </si>
  <si>
    <t>ID0737</t>
  </si>
  <si>
    <t>ID0738</t>
  </si>
  <si>
    <t>ID0739</t>
  </si>
  <si>
    <t>ID0740</t>
  </si>
  <si>
    <t>ID0741</t>
  </si>
  <si>
    <t>ID0742</t>
  </si>
  <si>
    <t>ID0743</t>
  </si>
  <si>
    <t>ID0744</t>
  </si>
  <si>
    <t>ID0745</t>
  </si>
  <si>
    <t>ID0746</t>
  </si>
  <si>
    <t>ID0747</t>
  </si>
  <si>
    <t>ID0748</t>
  </si>
  <si>
    <t>ID0749</t>
  </si>
  <si>
    <t>ID0750</t>
  </si>
  <si>
    <t>ID0751</t>
  </si>
  <si>
    <t>ID0752</t>
  </si>
  <si>
    <t>ID0753</t>
  </si>
  <si>
    <t>ID0754</t>
  </si>
  <si>
    <t>ID0755</t>
  </si>
  <si>
    <t>ID0756</t>
  </si>
  <si>
    <t>ID0757</t>
  </si>
  <si>
    <t>ID0758</t>
  </si>
  <si>
    <t>ID0759</t>
  </si>
  <si>
    <t>ID0760</t>
  </si>
  <si>
    <t>ID0761</t>
  </si>
  <si>
    <t>ID0762</t>
  </si>
  <si>
    <t>ID0763</t>
  </si>
  <si>
    <t>ID0764</t>
  </si>
  <si>
    <t>ID0765</t>
  </si>
  <si>
    <t>ID0766</t>
  </si>
  <si>
    <t>ID0767</t>
  </si>
  <si>
    <t>ID0768</t>
  </si>
  <si>
    <t>ID0769</t>
  </si>
  <si>
    <t>ID0770</t>
  </si>
  <si>
    <t>ID0771</t>
  </si>
  <si>
    <t>ID0772</t>
  </si>
  <si>
    <t>ID0773</t>
  </si>
  <si>
    <t>ID0774</t>
  </si>
  <si>
    <t>ID0775</t>
  </si>
  <si>
    <t>ID0776</t>
  </si>
  <si>
    <t>ID0777</t>
  </si>
  <si>
    <t>ID0778</t>
  </si>
  <si>
    <t>ID0779</t>
  </si>
  <si>
    <t>ID0780</t>
  </si>
  <si>
    <t>ID0781</t>
  </si>
  <si>
    <t>ID0782</t>
  </si>
  <si>
    <t>ID0783</t>
  </si>
  <si>
    <t>ID0784</t>
  </si>
  <si>
    <t>ID0785</t>
  </si>
  <si>
    <t>ID0786</t>
  </si>
  <si>
    <t>ID0787</t>
  </si>
  <si>
    <t>ID0788</t>
  </si>
  <si>
    <t>ID0789</t>
  </si>
  <si>
    <t>ID0790</t>
  </si>
  <si>
    <t>ID0791</t>
  </si>
  <si>
    <t>ID0792</t>
  </si>
  <si>
    <t>ID0793</t>
  </si>
  <si>
    <t>ID0794</t>
  </si>
  <si>
    <t>ID0795</t>
  </si>
  <si>
    <t>ID0796</t>
  </si>
  <si>
    <t>ID0797</t>
  </si>
  <si>
    <t>ID0798</t>
  </si>
  <si>
    <t>ID0799</t>
  </si>
  <si>
    <t>ID0800</t>
  </si>
  <si>
    <t>ID0801</t>
  </si>
  <si>
    <t>ID0802</t>
  </si>
  <si>
    <t>ID0803</t>
  </si>
  <si>
    <t>ID0804</t>
  </si>
  <si>
    <t>ID0805</t>
  </si>
  <si>
    <t>ID0806</t>
  </si>
  <si>
    <t>ID0807</t>
  </si>
  <si>
    <t>ID0808</t>
  </si>
  <si>
    <t>ID0809</t>
  </si>
  <si>
    <t>ID0810</t>
  </si>
  <si>
    <t>ID0811</t>
  </si>
  <si>
    <t>ID0812</t>
  </si>
  <si>
    <t>ID0813</t>
  </si>
  <si>
    <t>ID0814</t>
  </si>
  <si>
    <t>ID0815</t>
  </si>
  <si>
    <t>ID0816</t>
  </si>
  <si>
    <t>ID0817</t>
  </si>
  <si>
    <t>ID0818</t>
  </si>
  <si>
    <t>ID0819</t>
  </si>
  <si>
    <t>ID0820</t>
  </si>
  <si>
    <t>ID0821</t>
  </si>
  <si>
    <t>ID0822</t>
  </si>
  <si>
    <t>ID0823</t>
  </si>
  <si>
    <t>ID0824</t>
  </si>
  <si>
    <t>ID0825</t>
  </si>
  <si>
    <t>ID0826</t>
  </si>
  <si>
    <t>ID0827</t>
  </si>
  <si>
    <t>ID0828</t>
  </si>
  <si>
    <t>ID0829</t>
  </si>
  <si>
    <t>ID0830</t>
  </si>
  <si>
    <t>ID0831</t>
  </si>
  <si>
    <t>ID0832</t>
  </si>
  <si>
    <t>ID0833</t>
  </si>
  <si>
    <t>ID0834</t>
  </si>
  <si>
    <t>ID0835</t>
  </si>
  <si>
    <t>ID0836</t>
  </si>
  <si>
    <t>ID0837</t>
  </si>
  <si>
    <t>ID0838</t>
  </si>
  <si>
    <t>ID0839</t>
  </si>
  <si>
    <t>ID0840</t>
  </si>
  <si>
    <t>ID0841</t>
  </si>
  <si>
    <t>ID0842</t>
  </si>
  <si>
    <t>ID0843</t>
  </si>
  <si>
    <t>ID0844</t>
  </si>
  <si>
    <t>ID0845</t>
  </si>
  <si>
    <t>ID0846</t>
  </si>
  <si>
    <t>ID0847</t>
  </si>
  <si>
    <t>ID0848</t>
  </si>
  <si>
    <t>ID0849</t>
  </si>
  <si>
    <t>ID0850</t>
  </si>
  <si>
    <t>ID0851</t>
  </si>
  <si>
    <t>ID0852</t>
  </si>
  <si>
    <t>ID0853</t>
  </si>
  <si>
    <t>ID0854</t>
  </si>
  <si>
    <t>ID0855</t>
  </si>
  <si>
    <t>ID0856</t>
  </si>
  <si>
    <t>ID0857</t>
  </si>
  <si>
    <t>ID0858</t>
  </si>
  <si>
    <t>ID0859</t>
  </si>
  <si>
    <t>ID0860</t>
  </si>
  <si>
    <t>ID0861</t>
  </si>
  <si>
    <t>ID0862</t>
  </si>
  <si>
    <t>ID0863</t>
  </si>
  <si>
    <t>ID0864</t>
  </si>
  <si>
    <t>ID0865</t>
  </si>
  <si>
    <t>ID0866</t>
  </si>
  <si>
    <t>ID0867</t>
  </si>
  <si>
    <t>ID0868</t>
  </si>
  <si>
    <t>ID0869</t>
  </si>
  <si>
    <t>ID0870</t>
  </si>
  <si>
    <t>ID0871</t>
  </si>
  <si>
    <t>ID0872</t>
  </si>
  <si>
    <t>ID0873</t>
  </si>
  <si>
    <t>ID0874</t>
  </si>
  <si>
    <t>ID0875</t>
  </si>
  <si>
    <t>ID0876</t>
  </si>
  <si>
    <t>ID0877</t>
  </si>
  <si>
    <t>ID0878</t>
  </si>
  <si>
    <t>ID0879</t>
  </si>
  <si>
    <t>ID0880</t>
  </si>
  <si>
    <t>ID0881</t>
  </si>
  <si>
    <t>ID0882</t>
  </si>
  <si>
    <t>ID0883</t>
  </si>
  <si>
    <t>ID0884</t>
  </si>
  <si>
    <t>ID0885</t>
  </si>
  <si>
    <t>ID0886</t>
  </si>
  <si>
    <t>ID0887</t>
  </si>
  <si>
    <t>ID0888</t>
  </si>
  <si>
    <t>ID0889</t>
  </si>
  <si>
    <t>ID0890</t>
  </si>
  <si>
    <t>ID0891</t>
  </si>
  <si>
    <t>ID0892</t>
  </si>
  <si>
    <t>ID0893</t>
  </si>
  <si>
    <t>ID0894</t>
  </si>
  <si>
    <t>ID0895</t>
  </si>
  <si>
    <t>ID0896</t>
  </si>
  <si>
    <t>ID0897</t>
  </si>
  <si>
    <t>ID0898</t>
  </si>
  <si>
    <t>ID0899</t>
  </si>
  <si>
    <t>ID0900</t>
  </si>
  <si>
    <t>ID0901</t>
  </si>
  <si>
    <t>ID0902</t>
  </si>
  <si>
    <t>ID0903</t>
  </si>
  <si>
    <t>ID0904</t>
  </si>
  <si>
    <t>ID0905</t>
  </si>
  <si>
    <t>ID0906</t>
  </si>
  <si>
    <t>ID0907</t>
  </si>
  <si>
    <t>ID0908</t>
  </si>
  <si>
    <t>ID0909</t>
  </si>
  <si>
    <t>ID0910</t>
  </si>
  <si>
    <t>ID0911</t>
  </si>
  <si>
    <t>ID0912</t>
  </si>
  <si>
    <t>ID0913</t>
  </si>
  <si>
    <t>ID0914</t>
  </si>
  <si>
    <t>ID0915</t>
  </si>
  <si>
    <t>ID0916</t>
  </si>
  <si>
    <t>ID0917</t>
  </si>
  <si>
    <t>ID0918</t>
  </si>
  <si>
    <t>ID0919</t>
  </si>
  <si>
    <t>ID0920</t>
  </si>
  <si>
    <t>ID0921</t>
  </si>
  <si>
    <t>ID0922</t>
  </si>
  <si>
    <t>ID0923</t>
  </si>
  <si>
    <t>ID0924</t>
  </si>
  <si>
    <t>ID0925</t>
  </si>
  <si>
    <t>ID0926</t>
  </si>
  <si>
    <t>ID0927</t>
  </si>
  <si>
    <t>ID0928</t>
  </si>
  <si>
    <t>ID0929</t>
  </si>
  <si>
    <t>ID0930</t>
  </si>
  <si>
    <t>ID0931</t>
  </si>
  <si>
    <t>ID0932</t>
  </si>
  <si>
    <t>ID0933</t>
  </si>
  <si>
    <t>ID0934</t>
  </si>
  <si>
    <t>ID0935</t>
  </si>
  <si>
    <t>ID0936</t>
  </si>
  <si>
    <t>ID0937</t>
  </si>
  <si>
    <t>ID0938</t>
  </si>
  <si>
    <t>ID0939</t>
  </si>
  <si>
    <t>ID0940</t>
  </si>
  <si>
    <t>ID0941</t>
  </si>
  <si>
    <t>ID0942</t>
  </si>
  <si>
    <t>ID0943</t>
  </si>
  <si>
    <t>ID0944</t>
  </si>
  <si>
    <t>ID0945</t>
  </si>
  <si>
    <t>ID0946</t>
  </si>
  <si>
    <t>ID0947</t>
  </si>
  <si>
    <t>ID0948</t>
  </si>
  <si>
    <t>ID0949</t>
  </si>
  <si>
    <t>ID0950</t>
  </si>
  <si>
    <t>ID0951</t>
  </si>
  <si>
    <t>ID0952</t>
  </si>
  <si>
    <t>ID0953</t>
  </si>
  <si>
    <t>ID0954</t>
  </si>
  <si>
    <t>ID0955</t>
  </si>
  <si>
    <t>ID0956</t>
  </si>
  <si>
    <t>ID0957</t>
  </si>
  <si>
    <t>ID0958</t>
  </si>
  <si>
    <t>ID0959</t>
  </si>
  <si>
    <t>ID0960</t>
  </si>
  <si>
    <t>ID0961</t>
  </si>
  <si>
    <t>ID0962</t>
  </si>
  <si>
    <t>ID0963</t>
  </si>
  <si>
    <t>ID0964</t>
  </si>
  <si>
    <t>ID0965</t>
  </si>
  <si>
    <t>ID0966</t>
  </si>
  <si>
    <t>ID0967</t>
  </si>
  <si>
    <t>ID0968</t>
  </si>
  <si>
    <t>ID0969</t>
  </si>
  <si>
    <t>ID0970</t>
  </si>
  <si>
    <t>ID0971</t>
  </si>
  <si>
    <t>ID0972</t>
  </si>
  <si>
    <t>ID0973</t>
  </si>
  <si>
    <t>ID0974</t>
  </si>
  <si>
    <t>ID0975</t>
  </si>
  <si>
    <t>ID0976</t>
  </si>
  <si>
    <t>ID0977</t>
  </si>
  <si>
    <t>ID0978</t>
  </si>
  <si>
    <t>ID0979</t>
  </si>
  <si>
    <t>ID0980</t>
  </si>
  <si>
    <t>ID0981</t>
  </si>
  <si>
    <t>ID0982</t>
  </si>
  <si>
    <t>ID0983</t>
  </si>
  <si>
    <t>ID0984</t>
  </si>
  <si>
    <t>ID0985</t>
  </si>
  <si>
    <t>ID0986</t>
  </si>
  <si>
    <t>ID0987</t>
  </si>
  <si>
    <t>ID0988</t>
  </si>
  <si>
    <t>ID0989</t>
  </si>
  <si>
    <t>ID0990</t>
  </si>
  <si>
    <t>ID0991</t>
  </si>
  <si>
    <t>ID0992</t>
  </si>
  <si>
    <t>ID0993</t>
  </si>
  <si>
    <t>ID0994</t>
  </si>
  <si>
    <t>ID0995</t>
  </si>
  <si>
    <t>ID0996</t>
  </si>
  <si>
    <t>ID0997</t>
  </si>
  <si>
    <t>ID0998</t>
  </si>
  <si>
    <t>ID0999</t>
  </si>
  <si>
    <t>ID1000</t>
  </si>
  <si>
    <t>ID1001</t>
  </si>
  <si>
    <t>ID1002</t>
  </si>
  <si>
    <t>ID1003</t>
  </si>
  <si>
    <t>ID1004</t>
  </si>
  <si>
    <t>ID1005</t>
  </si>
  <si>
    <t>ID1006</t>
  </si>
  <si>
    <t>ID1007</t>
  </si>
  <si>
    <t>ID1008</t>
  </si>
  <si>
    <t>ID1009</t>
  </si>
  <si>
    <t>ID1010</t>
  </si>
  <si>
    <t>ID1011</t>
  </si>
  <si>
    <t>ID1012</t>
  </si>
  <si>
    <t>ID1013</t>
  </si>
  <si>
    <t>ID1014</t>
  </si>
  <si>
    <t>ID1015</t>
  </si>
  <si>
    <t>ID1016</t>
  </si>
  <si>
    <t>ID1017</t>
  </si>
  <si>
    <t>ID1018</t>
  </si>
  <si>
    <t>ID1019</t>
  </si>
  <si>
    <t>ID1020</t>
  </si>
  <si>
    <t>ID1021</t>
  </si>
  <si>
    <t>ID1022</t>
  </si>
  <si>
    <t>ID1023</t>
  </si>
  <si>
    <t>ID1024</t>
  </si>
  <si>
    <t>ID1025</t>
  </si>
  <si>
    <t>ID1026</t>
  </si>
  <si>
    <t>ID1027</t>
  </si>
  <si>
    <t>ID1028</t>
  </si>
  <si>
    <t>ID1029</t>
  </si>
  <si>
    <t>ID1030</t>
  </si>
  <si>
    <t>ID1031</t>
  </si>
  <si>
    <t>ID1032</t>
  </si>
  <si>
    <t>ID1033</t>
  </si>
  <si>
    <t>ID1034</t>
  </si>
  <si>
    <t>ID1035</t>
  </si>
  <si>
    <t>ID1036</t>
  </si>
  <si>
    <t>ID1037</t>
  </si>
  <si>
    <t>ID1038</t>
  </si>
  <si>
    <t>ID1039</t>
  </si>
  <si>
    <t>ID1040</t>
  </si>
  <si>
    <t>ID1041</t>
  </si>
  <si>
    <t>ID1042</t>
  </si>
  <si>
    <t>ID1043</t>
  </si>
  <si>
    <t>ID1044</t>
  </si>
  <si>
    <t>ID1045</t>
  </si>
  <si>
    <t>ID1046</t>
  </si>
  <si>
    <t>ID1047</t>
  </si>
  <si>
    <t>ID1048</t>
  </si>
  <si>
    <t>ID1049</t>
  </si>
  <si>
    <t>ID1050</t>
  </si>
  <si>
    <t>ID1051</t>
  </si>
  <si>
    <t>ID1052</t>
  </si>
  <si>
    <t>ID1053</t>
  </si>
  <si>
    <t>ID1054</t>
  </si>
  <si>
    <t>ID1055</t>
  </si>
  <si>
    <t>ID1056</t>
  </si>
  <si>
    <t>ID1057</t>
  </si>
  <si>
    <t>ID1058</t>
  </si>
  <si>
    <t>ID1059</t>
  </si>
  <si>
    <t>ID1060</t>
  </si>
  <si>
    <t>ID1061</t>
  </si>
  <si>
    <t>ID1062</t>
  </si>
  <si>
    <t>ID1063</t>
  </si>
  <si>
    <t>ID1064</t>
  </si>
  <si>
    <t>ID1065</t>
  </si>
  <si>
    <t>ID1066</t>
  </si>
  <si>
    <t>ID1067</t>
  </si>
  <si>
    <t>ID1068</t>
  </si>
  <si>
    <t>ID1069</t>
  </si>
  <si>
    <t>ID1070</t>
  </si>
  <si>
    <t>ID1071</t>
  </si>
  <si>
    <t>ID1072</t>
  </si>
  <si>
    <t>ID1073</t>
  </si>
  <si>
    <t>ID1074</t>
  </si>
  <si>
    <t>ID1075</t>
  </si>
  <si>
    <t>ID1076</t>
  </si>
  <si>
    <t>ID1077</t>
  </si>
  <si>
    <t>ID1078</t>
  </si>
  <si>
    <t>ID1079</t>
  </si>
  <si>
    <t>ID1080</t>
  </si>
  <si>
    <t>ID1081</t>
  </si>
  <si>
    <t>ID1082</t>
  </si>
  <si>
    <t>ID1083</t>
  </si>
  <si>
    <t>ID1084</t>
  </si>
  <si>
    <t>ID1085</t>
  </si>
  <si>
    <t>ID1086</t>
  </si>
  <si>
    <t>ID1087</t>
  </si>
  <si>
    <t>ID1088</t>
  </si>
  <si>
    <t>ID1089</t>
  </si>
  <si>
    <t>ID1090</t>
  </si>
  <si>
    <t>ID1091</t>
  </si>
  <si>
    <t>ID1092</t>
  </si>
  <si>
    <t>ID1093</t>
  </si>
  <si>
    <t>ID1094</t>
  </si>
  <si>
    <t>ID1095</t>
  </si>
  <si>
    <t>ID1096</t>
  </si>
  <si>
    <t>ID1097</t>
  </si>
  <si>
    <t>ID1098</t>
  </si>
  <si>
    <t>ID1099</t>
  </si>
  <si>
    <t>ID1100</t>
  </si>
  <si>
    <t>ID1101</t>
  </si>
  <si>
    <t>ID1102</t>
  </si>
  <si>
    <t>ID1103</t>
  </si>
  <si>
    <t>ID1104</t>
  </si>
  <si>
    <t>ID1105</t>
  </si>
  <si>
    <t>ID1106</t>
  </si>
  <si>
    <t>ID1107</t>
  </si>
  <si>
    <t>ID1108</t>
  </si>
  <si>
    <t>ID1109</t>
  </si>
  <si>
    <t>ID1110</t>
  </si>
  <si>
    <t>ID1111</t>
  </si>
  <si>
    <t>ID1112</t>
  </si>
  <si>
    <t>ID1113</t>
  </si>
  <si>
    <t>ID1114</t>
  </si>
  <si>
    <t>ID1115</t>
  </si>
  <si>
    <t>ID1116</t>
  </si>
  <si>
    <t>ID1117</t>
  </si>
  <si>
    <t>ID1118</t>
  </si>
  <si>
    <t>ID1119</t>
  </si>
  <si>
    <t>ID1120</t>
  </si>
  <si>
    <t>ID1121</t>
  </si>
  <si>
    <t>ID1122</t>
  </si>
  <si>
    <t>ID1123</t>
  </si>
  <si>
    <t>ID1124</t>
  </si>
  <si>
    <t>ID1125</t>
  </si>
  <si>
    <t>ID1126</t>
  </si>
  <si>
    <t>ID1127</t>
  </si>
  <si>
    <t>ID1128</t>
  </si>
  <si>
    <t>ID1129</t>
  </si>
  <si>
    <t>ID1130</t>
  </si>
  <si>
    <t>ID1131</t>
  </si>
  <si>
    <t>ID1132</t>
  </si>
  <si>
    <t>ID1133</t>
  </si>
  <si>
    <t>ID1134</t>
  </si>
  <si>
    <t>ID1135</t>
  </si>
  <si>
    <t>ID1136</t>
  </si>
  <si>
    <t>ID1137</t>
  </si>
  <si>
    <t>ID1138</t>
  </si>
  <si>
    <t>ID1139</t>
  </si>
  <si>
    <t>ID1140</t>
  </si>
  <si>
    <t>ID1141</t>
  </si>
  <si>
    <t>ID1142</t>
  </si>
  <si>
    <t>ID1143</t>
  </si>
  <si>
    <t>ID1144</t>
  </si>
  <si>
    <t>ID1145</t>
  </si>
  <si>
    <t>ID1146</t>
  </si>
  <si>
    <t>ID1147</t>
  </si>
  <si>
    <t>ID1148</t>
  </si>
  <si>
    <t>ID1149</t>
  </si>
  <si>
    <t>ID1150</t>
  </si>
  <si>
    <t>ID1151</t>
  </si>
  <si>
    <t>ID1152</t>
  </si>
  <si>
    <t>ID1153</t>
  </si>
  <si>
    <t>ID1154</t>
  </si>
  <si>
    <t>ID1155</t>
  </si>
  <si>
    <t>ID1156</t>
  </si>
  <si>
    <t>ID1157</t>
  </si>
  <si>
    <t>ID1158</t>
  </si>
  <si>
    <t>ID1159</t>
  </si>
  <si>
    <t>ID1160</t>
  </si>
  <si>
    <t>ID1161</t>
  </si>
  <si>
    <t>ID1162</t>
  </si>
  <si>
    <t>ID1163</t>
  </si>
  <si>
    <t>ID1164</t>
  </si>
  <si>
    <t>ID1165</t>
  </si>
  <si>
    <t>ID1166</t>
  </si>
  <si>
    <t>ID1167</t>
  </si>
  <si>
    <t>ID1168</t>
  </si>
  <si>
    <t>ID1169</t>
  </si>
  <si>
    <t>ID1170</t>
  </si>
  <si>
    <t>ID1171</t>
  </si>
  <si>
    <t>ID1172</t>
  </si>
  <si>
    <t>ID1173</t>
  </si>
  <si>
    <t>ID1174</t>
  </si>
  <si>
    <t>ID1175</t>
  </si>
  <si>
    <t>ID1176</t>
  </si>
  <si>
    <t>ID1177</t>
  </si>
  <si>
    <t>ID1178</t>
  </si>
  <si>
    <t>ID1179</t>
  </si>
  <si>
    <t>ID1180</t>
  </si>
  <si>
    <t>ID1181</t>
  </si>
  <si>
    <t>ID1182</t>
  </si>
  <si>
    <t>ID1183</t>
  </si>
  <si>
    <t>ID1184</t>
  </si>
  <si>
    <t>ID1185</t>
  </si>
  <si>
    <t>ID1186</t>
  </si>
  <si>
    <t>ID1187</t>
  </si>
  <si>
    <t>ID1188</t>
  </si>
  <si>
    <t>ID1189</t>
  </si>
  <si>
    <t>ID1190</t>
  </si>
  <si>
    <t>ID1191</t>
  </si>
  <si>
    <t>ID1192</t>
  </si>
  <si>
    <t>ID1193</t>
  </si>
  <si>
    <t>ID1194</t>
  </si>
  <si>
    <t>ID1195</t>
  </si>
  <si>
    <t>ID1196</t>
  </si>
  <si>
    <t>ID1197</t>
  </si>
  <si>
    <t>ID1198</t>
  </si>
  <si>
    <t>ID1199</t>
  </si>
  <si>
    <t>ID1200</t>
  </si>
  <si>
    <t>ID1201</t>
  </si>
  <si>
    <t>ID1202</t>
  </si>
  <si>
    <t>ID1203</t>
  </si>
  <si>
    <t>ID1204</t>
  </si>
  <si>
    <t>ID1205</t>
  </si>
  <si>
    <t>ID1206</t>
  </si>
  <si>
    <t>ID1207</t>
  </si>
  <si>
    <t>ID1208</t>
  </si>
  <si>
    <t>ID1209</t>
  </si>
  <si>
    <t>ID1210</t>
  </si>
  <si>
    <t>ID1211</t>
  </si>
  <si>
    <t>ID1212</t>
  </si>
  <si>
    <t>ID1213</t>
  </si>
  <si>
    <t>ID1214</t>
  </si>
  <si>
    <t>ID1215</t>
  </si>
  <si>
    <t>ID1216</t>
  </si>
  <si>
    <t>ID1217</t>
  </si>
  <si>
    <t>ID1218</t>
  </si>
  <si>
    <t>ID1219</t>
  </si>
  <si>
    <t>ID1220</t>
  </si>
  <si>
    <t>ID1221</t>
  </si>
  <si>
    <t>ID1222</t>
  </si>
  <si>
    <t>ID1223</t>
  </si>
  <si>
    <t>ID1224</t>
  </si>
  <si>
    <t>ID1225</t>
  </si>
  <si>
    <t>ID1226</t>
  </si>
  <si>
    <t>ID1227</t>
  </si>
  <si>
    <t>ID1228</t>
  </si>
  <si>
    <t>ID1229</t>
  </si>
  <si>
    <t>ID1230</t>
  </si>
  <si>
    <t>ID1231</t>
  </si>
  <si>
    <t>ID1232</t>
  </si>
  <si>
    <t>ID1233</t>
  </si>
  <si>
    <t>ID1234</t>
  </si>
  <si>
    <t>ID1235</t>
  </si>
  <si>
    <t>ID1236</t>
  </si>
  <si>
    <t>ID1237</t>
  </si>
  <si>
    <t>ID1238</t>
  </si>
  <si>
    <t>ID1239</t>
  </si>
  <si>
    <t>ID1240</t>
  </si>
  <si>
    <t>ID1241</t>
  </si>
  <si>
    <t>ID1242</t>
  </si>
  <si>
    <t>ID1243</t>
  </si>
  <si>
    <t>ID1244</t>
  </si>
  <si>
    <t>ID1245</t>
  </si>
  <si>
    <t>ID1246</t>
  </si>
  <si>
    <t>ID1247</t>
  </si>
  <si>
    <t>ID1248</t>
  </si>
  <si>
    <t>ID1249</t>
  </si>
  <si>
    <t>ID1250</t>
  </si>
  <si>
    <t>ID1251</t>
  </si>
  <si>
    <t>ID1252</t>
  </si>
  <si>
    <t>ID1253</t>
  </si>
  <si>
    <t>ID1254</t>
  </si>
  <si>
    <t>ID1255</t>
  </si>
  <si>
    <t>ID1256</t>
  </si>
  <si>
    <t>ID1257</t>
  </si>
  <si>
    <t>ID1258</t>
  </si>
  <si>
    <t>ID1259</t>
  </si>
  <si>
    <t>ID1260</t>
  </si>
  <si>
    <t>ID1261</t>
  </si>
  <si>
    <t>ID1262</t>
  </si>
  <si>
    <t>ID1263</t>
  </si>
  <si>
    <t>ID1264</t>
  </si>
  <si>
    <t>ID1265</t>
  </si>
  <si>
    <t>ID1266</t>
  </si>
  <si>
    <t>ID1267</t>
  </si>
  <si>
    <t>ID1268</t>
  </si>
  <si>
    <t>ID1269</t>
  </si>
  <si>
    <t>ID1270</t>
  </si>
  <si>
    <t>ID1271</t>
  </si>
  <si>
    <t>ID1272</t>
  </si>
  <si>
    <t>ID1273</t>
  </si>
  <si>
    <t>ID1274</t>
  </si>
  <si>
    <t>ID1275</t>
  </si>
  <si>
    <t>ID1276</t>
  </si>
  <si>
    <t>ID1277</t>
  </si>
  <si>
    <t>ID1278</t>
  </si>
  <si>
    <t>ID1279</t>
  </si>
  <si>
    <t>ID1280</t>
  </si>
  <si>
    <t>ID1281</t>
  </si>
  <si>
    <t>ID1282</t>
  </si>
  <si>
    <t>ID1283</t>
  </si>
  <si>
    <t>ID1284</t>
  </si>
  <si>
    <t>ID1285</t>
  </si>
  <si>
    <t>ID1286</t>
  </si>
  <si>
    <t>ID1287</t>
  </si>
  <si>
    <t>ID1288</t>
  </si>
  <si>
    <t>ID1289</t>
  </si>
  <si>
    <t>ID1290</t>
  </si>
  <si>
    <t>ID1291</t>
  </si>
  <si>
    <t>ID1292</t>
  </si>
  <si>
    <t>ID1293</t>
  </si>
  <si>
    <t>ID1294</t>
  </si>
  <si>
    <t>ID1295</t>
  </si>
  <si>
    <t>ID1296</t>
  </si>
  <si>
    <t>ID1297</t>
  </si>
  <si>
    <t>ID1298</t>
  </si>
  <si>
    <t>ID1299</t>
  </si>
  <si>
    <t>ID1300</t>
  </si>
  <si>
    <t>ID1301</t>
  </si>
  <si>
    <t>ID1302</t>
  </si>
  <si>
    <t>ID1303</t>
  </si>
  <si>
    <t>ID1304</t>
  </si>
  <si>
    <t>ID1305</t>
  </si>
  <si>
    <t>ID1306</t>
  </si>
  <si>
    <t>ID1307</t>
  </si>
  <si>
    <t>ID1308</t>
  </si>
  <si>
    <t>ID1309</t>
  </si>
  <si>
    <t>ID1310</t>
  </si>
  <si>
    <t>ID1311</t>
  </si>
  <si>
    <t>ID1312</t>
  </si>
  <si>
    <t>ID1313</t>
  </si>
  <si>
    <t>ID1314</t>
  </si>
  <si>
    <t>ID1315</t>
  </si>
  <si>
    <t>ID1316</t>
  </si>
  <si>
    <t>ID1317</t>
  </si>
  <si>
    <t>ID1318</t>
  </si>
  <si>
    <t>ID1319</t>
  </si>
  <si>
    <t>ID1320</t>
  </si>
  <si>
    <t>ID1321</t>
  </si>
  <si>
    <t>ID1322</t>
  </si>
  <si>
    <t>ID1323</t>
  </si>
  <si>
    <t>ID1324</t>
  </si>
  <si>
    <t>ID1325</t>
  </si>
  <si>
    <t>ID1326</t>
  </si>
  <si>
    <t>ID1327</t>
  </si>
  <si>
    <t>ID1328</t>
  </si>
  <si>
    <t>ID1329</t>
  </si>
  <si>
    <t>ID1330</t>
  </si>
  <si>
    <t>ID1331</t>
  </si>
  <si>
    <t>ID1332</t>
  </si>
  <si>
    <t>ID1333</t>
  </si>
  <si>
    <t>ID1334</t>
  </si>
  <si>
    <t>ID1335</t>
  </si>
  <si>
    <t>ID1336</t>
  </si>
  <si>
    <t>ID1337</t>
  </si>
  <si>
    <t>ID1338</t>
  </si>
  <si>
    <t>ID1339</t>
  </si>
  <si>
    <t>ID1340</t>
  </si>
  <si>
    <t>ID1341</t>
  </si>
  <si>
    <t>ID1342</t>
  </si>
  <si>
    <t>ID1343</t>
  </si>
  <si>
    <t>ID1344</t>
  </si>
  <si>
    <t>ID1345</t>
  </si>
  <si>
    <t>ID1346</t>
  </si>
  <si>
    <t>ID1347</t>
  </si>
  <si>
    <t>ID1348</t>
  </si>
  <si>
    <t>ID1349</t>
  </si>
  <si>
    <t>ID1350</t>
  </si>
  <si>
    <t>ID1351</t>
  </si>
  <si>
    <t>ID1352</t>
  </si>
  <si>
    <t>ID1353</t>
  </si>
  <si>
    <t>ID1354</t>
  </si>
  <si>
    <t>ID1355</t>
  </si>
  <si>
    <t>ID1356</t>
  </si>
  <si>
    <t>ID1357</t>
  </si>
  <si>
    <t>ID1358</t>
  </si>
  <si>
    <t>ID1359</t>
  </si>
  <si>
    <t>ID1360</t>
  </si>
  <si>
    <t>ID1361</t>
  </si>
  <si>
    <t>ID1362</t>
  </si>
  <si>
    <t>ID1363</t>
  </si>
  <si>
    <t>ID1364</t>
  </si>
  <si>
    <t>ID1365</t>
  </si>
  <si>
    <t>ID1366</t>
  </si>
  <si>
    <t>ID1367</t>
  </si>
  <si>
    <t>ID1368</t>
  </si>
  <si>
    <t>ID1369</t>
  </si>
  <si>
    <t>ID1370</t>
  </si>
  <si>
    <t>ID1371</t>
  </si>
  <si>
    <t>ID1372</t>
  </si>
  <si>
    <t>ID1373</t>
  </si>
  <si>
    <t>ID1374</t>
  </si>
  <si>
    <t>ID1375</t>
  </si>
  <si>
    <t>ID1376</t>
  </si>
  <si>
    <t>ID1377</t>
  </si>
  <si>
    <t>ID1378</t>
  </si>
  <si>
    <t>ID1379</t>
  </si>
  <si>
    <t>ID1380</t>
  </si>
  <si>
    <t>ID1381</t>
  </si>
  <si>
    <t>ID1382</t>
  </si>
  <si>
    <t>ID1383</t>
  </si>
  <si>
    <t>ID1384</t>
  </si>
  <si>
    <t>ID1385</t>
  </si>
  <si>
    <t>ID1386</t>
  </si>
  <si>
    <t>ID1387</t>
  </si>
  <si>
    <t>ID1388</t>
  </si>
  <si>
    <t>ID1389</t>
  </si>
  <si>
    <t>ID1390</t>
  </si>
  <si>
    <t>ID1391</t>
  </si>
  <si>
    <t>ID1392</t>
  </si>
  <si>
    <t>ID1393</t>
  </si>
  <si>
    <t>ID1394</t>
  </si>
  <si>
    <t>ID1395</t>
  </si>
  <si>
    <t>ID1396</t>
  </si>
  <si>
    <t>ID1397</t>
  </si>
  <si>
    <t>ID1398</t>
  </si>
  <si>
    <t>ID1399</t>
  </si>
  <si>
    <t>ID1400</t>
  </si>
  <si>
    <t>ID1401</t>
  </si>
  <si>
    <t>ID1402</t>
  </si>
  <si>
    <t>ID1403</t>
  </si>
  <si>
    <t>ID1404</t>
  </si>
  <si>
    <t>ID1405</t>
  </si>
  <si>
    <t>ID1406</t>
  </si>
  <si>
    <t>ID1407</t>
  </si>
  <si>
    <t>ID1408</t>
  </si>
  <si>
    <t>ID1409</t>
  </si>
  <si>
    <t>ID1410</t>
  </si>
  <si>
    <t>ID1411</t>
  </si>
  <si>
    <t>ID1412</t>
  </si>
  <si>
    <t>ID1413</t>
  </si>
  <si>
    <t>ID1414</t>
  </si>
  <si>
    <t>ID1415</t>
  </si>
  <si>
    <t>ID1416</t>
  </si>
  <si>
    <t>ID1417</t>
  </si>
  <si>
    <t>ID1418</t>
  </si>
  <si>
    <t>ID1419</t>
  </si>
  <si>
    <t>ID1420</t>
  </si>
  <si>
    <t>ID1421</t>
  </si>
  <si>
    <t>ID1422</t>
  </si>
  <si>
    <t>ID1423</t>
  </si>
  <si>
    <t>ID1424</t>
  </si>
  <si>
    <t>ID1425</t>
  </si>
  <si>
    <t>ID1426</t>
  </si>
  <si>
    <t>ID1427</t>
  </si>
  <si>
    <t>ID1428</t>
  </si>
  <si>
    <t>ID1429</t>
  </si>
  <si>
    <t>ID1430</t>
  </si>
  <si>
    <t>ID1431</t>
  </si>
  <si>
    <t>ID1432</t>
  </si>
  <si>
    <t>ID1433</t>
  </si>
  <si>
    <t>ID1434</t>
  </si>
  <si>
    <t>ID1435</t>
  </si>
  <si>
    <t>ID1436</t>
  </si>
  <si>
    <t>ID1437</t>
  </si>
  <si>
    <t>ID1438</t>
  </si>
  <si>
    <t>ID1439</t>
  </si>
  <si>
    <t>ID1440</t>
  </si>
  <si>
    <t>ID1441</t>
  </si>
  <si>
    <t>ID1442</t>
  </si>
  <si>
    <t>ID1443</t>
  </si>
  <si>
    <t>ID1444</t>
  </si>
  <si>
    <t>ID1445</t>
  </si>
  <si>
    <t>ID1446</t>
  </si>
  <si>
    <t>ID1447</t>
  </si>
  <si>
    <t>ID1448</t>
  </si>
  <si>
    <t>ID1449</t>
  </si>
  <si>
    <t>ID1450</t>
  </si>
  <si>
    <t>ID1451</t>
  </si>
  <si>
    <t>ID1452</t>
  </si>
  <si>
    <t>ID1453</t>
  </si>
  <si>
    <t>ID1454</t>
  </si>
  <si>
    <t>ID1455</t>
  </si>
  <si>
    <t>ID1456</t>
  </si>
  <si>
    <t>ID1457</t>
  </si>
  <si>
    <t>ID1458</t>
  </si>
  <si>
    <t>ID1459</t>
  </si>
  <si>
    <t>ID1460</t>
  </si>
  <si>
    <t>ID1461</t>
  </si>
  <si>
    <t>ID1462</t>
  </si>
  <si>
    <t>ID1463</t>
  </si>
  <si>
    <t>ID1464</t>
  </si>
  <si>
    <t>ID1465</t>
  </si>
  <si>
    <t>ID1466</t>
  </si>
  <si>
    <t>ID1467</t>
  </si>
  <si>
    <t>ID1468</t>
  </si>
  <si>
    <t>ID1469</t>
  </si>
  <si>
    <t>ID1470</t>
  </si>
  <si>
    <t>ID1471</t>
  </si>
  <si>
    <t>ID1472</t>
  </si>
  <si>
    <t>ID1473</t>
  </si>
  <si>
    <t>ID1474</t>
  </si>
  <si>
    <t>ID1475</t>
  </si>
  <si>
    <t>ID1476</t>
  </si>
  <si>
    <t>ID1477</t>
  </si>
  <si>
    <t>ID1478</t>
  </si>
  <si>
    <t>ID1479</t>
  </si>
  <si>
    <t>ID1480</t>
  </si>
  <si>
    <t>ID1481</t>
  </si>
  <si>
    <t>ID1482</t>
  </si>
  <si>
    <t>ID1483</t>
  </si>
  <si>
    <t>ID1484</t>
  </si>
  <si>
    <t>ID1485</t>
  </si>
  <si>
    <t>ID1486</t>
  </si>
  <si>
    <t>ID1487</t>
  </si>
  <si>
    <t>ID1488</t>
  </si>
  <si>
    <t>ID1489</t>
  </si>
  <si>
    <t>ID1490</t>
  </si>
  <si>
    <t>ID1491</t>
  </si>
  <si>
    <t>ID1492</t>
  </si>
  <si>
    <t>ID1493</t>
  </si>
  <si>
    <t>ID1494</t>
  </si>
  <si>
    <t>ID1495</t>
  </si>
  <si>
    <t>ID1496</t>
  </si>
  <si>
    <t>ID1497</t>
  </si>
  <si>
    <t>ID1498</t>
  </si>
  <si>
    <t>ID1499</t>
  </si>
  <si>
    <t>ID1500</t>
  </si>
  <si>
    <t>ID1501</t>
  </si>
  <si>
    <t>ID1502</t>
  </si>
  <si>
    <t>ID1503</t>
  </si>
  <si>
    <t>ID1504</t>
  </si>
  <si>
    <t>ID1505</t>
  </si>
  <si>
    <t>ID1506</t>
  </si>
  <si>
    <t>ID1507</t>
  </si>
  <si>
    <t>ID1508</t>
  </si>
  <si>
    <t>ID1509</t>
  </si>
  <si>
    <t>ID1510</t>
  </si>
  <si>
    <t>ID1511</t>
  </si>
  <si>
    <t>ID1512</t>
  </si>
  <si>
    <t>ID1513</t>
  </si>
  <si>
    <t>ID1514</t>
  </si>
  <si>
    <t>ID1515</t>
  </si>
  <si>
    <t>ID1516</t>
  </si>
  <si>
    <t>ID1517</t>
  </si>
  <si>
    <t>ID1518</t>
  </si>
  <si>
    <t>ID1519</t>
  </si>
  <si>
    <t>ID1520</t>
  </si>
  <si>
    <t>ID1521</t>
  </si>
  <si>
    <t>ID1522</t>
  </si>
  <si>
    <t>ID1523</t>
  </si>
  <si>
    <t>ID1524</t>
  </si>
  <si>
    <t>ID1525</t>
  </si>
  <si>
    <t>ID1526</t>
  </si>
  <si>
    <t>ID1527</t>
  </si>
  <si>
    <t>ID1528</t>
  </si>
  <si>
    <t>ID1529</t>
  </si>
  <si>
    <t>ID1530</t>
  </si>
  <si>
    <t>ID1531</t>
  </si>
  <si>
    <t>ID1532</t>
  </si>
  <si>
    <t>ID1533</t>
  </si>
  <si>
    <t>ID1534</t>
  </si>
  <si>
    <t>ID1535</t>
  </si>
  <si>
    <t>ID1536</t>
  </si>
  <si>
    <t>ID1537</t>
  </si>
  <si>
    <t>ID1538</t>
  </si>
  <si>
    <t>ID1539</t>
  </si>
  <si>
    <t>ID1540</t>
  </si>
  <si>
    <t>ID1541</t>
  </si>
  <si>
    <t>ID1542</t>
  </si>
  <si>
    <t>ID1543</t>
  </si>
  <si>
    <t>ID1544</t>
  </si>
  <si>
    <t>ID1545</t>
  </si>
  <si>
    <t>ID1546</t>
  </si>
  <si>
    <t>ID1547</t>
  </si>
  <si>
    <t>ID1548</t>
  </si>
  <si>
    <t>ID1549</t>
  </si>
  <si>
    <t>ID1550</t>
  </si>
  <si>
    <t>ID1551</t>
  </si>
  <si>
    <t>ID1552</t>
  </si>
  <si>
    <t>ID1553</t>
  </si>
  <si>
    <t>ID1554</t>
  </si>
  <si>
    <t>ID1555</t>
  </si>
  <si>
    <t>ID1556</t>
  </si>
  <si>
    <t>ID1557</t>
  </si>
  <si>
    <t>ID1558</t>
  </si>
  <si>
    <t>ID1559</t>
  </si>
  <si>
    <t>ID1560</t>
  </si>
  <si>
    <t>ID1561</t>
  </si>
  <si>
    <t>ID1562</t>
  </si>
  <si>
    <t>ID1563</t>
  </si>
  <si>
    <t>ID1564</t>
  </si>
  <si>
    <t>ID1565</t>
  </si>
  <si>
    <t>ID1566</t>
  </si>
  <si>
    <t>ID1567</t>
  </si>
  <si>
    <t>ID1568</t>
  </si>
  <si>
    <t>ID1569</t>
  </si>
  <si>
    <t>ID1570</t>
  </si>
  <si>
    <t>ID1571</t>
  </si>
  <si>
    <t>ID1572</t>
  </si>
  <si>
    <t>ID1573</t>
  </si>
  <si>
    <t>ID1574</t>
  </si>
  <si>
    <t>ID1575</t>
  </si>
  <si>
    <t>ID1576</t>
  </si>
  <si>
    <t>ID1577</t>
  </si>
  <si>
    <t>ID1578</t>
  </si>
  <si>
    <t>ID1579</t>
  </si>
  <si>
    <t>ID1580</t>
  </si>
  <si>
    <t>ID1581</t>
  </si>
  <si>
    <t>ID1582</t>
  </si>
  <si>
    <t>ID1583</t>
  </si>
  <si>
    <t>ID1584</t>
  </si>
  <si>
    <t>ID1585</t>
  </si>
  <si>
    <t>ID1586</t>
  </si>
  <si>
    <t>ID1587</t>
  </si>
  <si>
    <t>ID1588</t>
  </si>
  <si>
    <t>ID1589</t>
  </si>
  <si>
    <t>ID1590</t>
  </si>
  <si>
    <t>ID1591</t>
  </si>
  <si>
    <t>ID1592</t>
  </si>
  <si>
    <t>ID1593</t>
  </si>
  <si>
    <t>ID1594</t>
  </si>
  <si>
    <t>ID1595</t>
  </si>
  <si>
    <t>ID1596</t>
  </si>
  <si>
    <t>ID1597</t>
  </si>
  <si>
    <t>ID1598</t>
  </si>
  <si>
    <t>ID1599</t>
  </si>
  <si>
    <t>ID1600</t>
  </si>
  <si>
    <t>ID1601</t>
  </si>
  <si>
    <t>ID1602</t>
  </si>
  <si>
    <t>ID1603</t>
  </si>
  <si>
    <t>ID1604</t>
  </si>
  <si>
    <t>ID1605</t>
  </si>
  <si>
    <t>ID1606</t>
  </si>
  <si>
    <t>ID1607</t>
  </si>
  <si>
    <t>ID1608</t>
  </si>
  <si>
    <t>ID1609</t>
  </si>
  <si>
    <t>ID1610</t>
  </si>
  <si>
    <t>ID1611</t>
  </si>
  <si>
    <t>ID1612</t>
  </si>
  <si>
    <t>ID1613</t>
  </si>
  <si>
    <t>ID1614</t>
  </si>
  <si>
    <t>ID1615</t>
  </si>
  <si>
    <t>ID1616</t>
  </si>
  <si>
    <t>ID1617</t>
  </si>
  <si>
    <t>ID1618</t>
  </si>
  <si>
    <t>ID1619</t>
  </si>
  <si>
    <t>ID1620</t>
  </si>
  <si>
    <t>ID1621</t>
  </si>
  <si>
    <t>ID1622</t>
  </si>
  <si>
    <t>ID1623</t>
  </si>
  <si>
    <t>ID1624</t>
  </si>
  <si>
    <t>ID1625</t>
  </si>
  <si>
    <t>ID1626</t>
  </si>
  <si>
    <t>ID1627</t>
  </si>
  <si>
    <t>ID1628</t>
  </si>
  <si>
    <t>ID1629</t>
  </si>
  <si>
    <t>ID1630</t>
  </si>
  <si>
    <t>ID1631</t>
  </si>
  <si>
    <t>ID1632</t>
  </si>
  <si>
    <t>ID1633</t>
  </si>
  <si>
    <t>ID1634</t>
  </si>
  <si>
    <t>ID1635</t>
  </si>
  <si>
    <t>ID1636</t>
  </si>
  <si>
    <t>ID1637</t>
  </si>
  <si>
    <t>ID1638</t>
  </si>
  <si>
    <t>ID1639</t>
  </si>
  <si>
    <t>ID1640</t>
  </si>
  <si>
    <t>ID1641</t>
  </si>
  <si>
    <t>ID1642</t>
  </si>
  <si>
    <t>ID1643</t>
  </si>
  <si>
    <t>ID1644</t>
  </si>
  <si>
    <t>ID1645</t>
  </si>
  <si>
    <t>ID1646</t>
  </si>
  <si>
    <t>ID1647</t>
  </si>
  <si>
    <t>ID1648</t>
  </si>
  <si>
    <t>ID1649</t>
  </si>
  <si>
    <t>ID1650</t>
  </si>
  <si>
    <t>ID1651</t>
  </si>
  <si>
    <t>ID1652</t>
  </si>
  <si>
    <t>ID1653</t>
  </si>
  <si>
    <t>ID1654</t>
  </si>
  <si>
    <t>ID1655</t>
  </si>
  <si>
    <t>ID1656</t>
  </si>
  <si>
    <t>ID1657</t>
  </si>
  <si>
    <t>ID1658</t>
  </si>
  <si>
    <t>ID1659</t>
  </si>
  <si>
    <t>ID1660</t>
  </si>
  <si>
    <t>ID1661</t>
  </si>
  <si>
    <t>ID1662</t>
  </si>
  <si>
    <t>ID1663</t>
  </si>
  <si>
    <t>ID1664</t>
  </si>
  <si>
    <t>ID1665</t>
  </si>
  <si>
    <t>ID1666</t>
  </si>
  <si>
    <t>ID1667</t>
  </si>
  <si>
    <t>ID1668</t>
  </si>
  <si>
    <t>ID1669</t>
  </si>
  <si>
    <t>ID1670</t>
  </si>
  <si>
    <t>ID1671</t>
  </si>
  <si>
    <t>ID1672</t>
  </si>
  <si>
    <t>ID1673</t>
  </si>
  <si>
    <t>ID1674</t>
  </si>
  <si>
    <t>ID1675</t>
  </si>
  <si>
    <t>ID1676</t>
  </si>
  <si>
    <t>ID1677</t>
  </si>
  <si>
    <t>ID1678</t>
  </si>
  <si>
    <t>ID1679</t>
  </si>
  <si>
    <t>ID1680</t>
  </si>
  <si>
    <t>ID1681</t>
  </si>
  <si>
    <t>ID1682</t>
  </si>
  <si>
    <t>ID1683</t>
  </si>
  <si>
    <t>ID1684</t>
  </si>
  <si>
    <t>ID1685</t>
  </si>
  <si>
    <t>ID1686</t>
  </si>
  <si>
    <t>ID1687</t>
  </si>
  <si>
    <t>ID1688</t>
  </si>
  <si>
    <t>ID1689</t>
  </si>
  <si>
    <t>ID1690</t>
  </si>
  <si>
    <t>ID1691</t>
  </si>
  <si>
    <t>ID1692</t>
  </si>
  <si>
    <t>ID1693</t>
  </si>
  <si>
    <t>ID1694</t>
  </si>
  <si>
    <t>ID1695</t>
  </si>
  <si>
    <t>ID1696</t>
  </si>
  <si>
    <t>ID1697</t>
  </si>
  <si>
    <t>ID1698</t>
  </si>
  <si>
    <t>ID1699</t>
  </si>
  <si>
    <t>ID1700</t>
  </si>
  <si>
    <t>ID1701</t>
  </si>
  <si>
    <t>ID1702</t>
  </si>
  <si>
    <t>ID1703</t>
  </si>
  <si>
    <t>ID1704</t>
  </si>
  <si>
    <t>ID1705</t>
  </si>
  <si>
    <t>ID1706</t>
  </si>
  <si>
    <t>ID1707</t>
  </si>
  <si>
    <t>ID1708</t>
  </si>
  <si>
    <t>ID1709</t>
  </si>
  <si>
    <t>ID1710</t>
  </si>
  <si>
    <t>ID1711</t>
  </si>
  <si>
    <t>ID1712</t>
  </si>
  <si>
    <t>ID1713</t>
  </si>
  <si>
    <t>ID1714</t>
  </si>
  <si>
    <t>ID1715</t>
  </si>
  <si>
    <t>ID1716</t>
  </si>
  <si>
    <t>ID1717</t>
  </si>
  <si>
    <t>ID1718</t>
  </si>
  <si>
    <t>ID1719</t>
  </si>
  <si>
    <t>ID1720</t>
  </si>
  <si>
    <t>ID1721</t>
  </si>
  <si>
    <t>ID1722</t>
  </si>
  <si>
    <t>ID1723</t>
  </si>
  <si>
    <t>ID1724</t>
  </si>
  <si>
    <t>ID1725</t>
  </si>
  <si>
    <t>ID1726</t>
  </si>
  <si>
    <t>ID1727</t>
  </si>
  <si>
    <t>ID1728</t>
  </si>
  <si>
    <t>ID1729</t>
  </si>
  <si>
    <t>ID1730</t>
  </si>
  <si>
    <t>ID1731</t>
  </si>
  <si>
    <t>ID1732</t>
  </si>
  <si>
    <t>ID1733</t>
  </si>
  <si>
    <t>ID1734</t>
  </si>
  <si>
    <t>ID1735</t>
  </si>
  <si>
    <t>ID1736</t>
  </si>
  <si>
    <t>ID1737</t>
  </si>
  <si>
    <t>ID1738</t>
  </si>
  <si>
    <t>ID1739</t>
  </si>
  <si>
    <t>ID1740</t>
  </si>
  <si>
    <t>ID1741</t>
  </si>
  <si>
    <t>ID1742</t>
  </si>
  <si>
    <t>ID1743</t>
  </si>
  <si>
    <t>ID1744</t>
  </si>
  <si>
    <t>ID1745</t>
  </si>
  <si>
    <t>ID1746</t>
  </si>
  <si>
    <t>ID1747</t>
  </si>
  <si>
    <t>ID1748</t>
  </si>
  <si>
    <t>ID1749</t>
  </si>
  <si>
    <t>ID1750</t>
  </si>
  <si>
    <t>ID1751</t>
  </si>
  <si>
    <t>ID1752</t>
  </si>
  <si>
    <t>ID1753</t>
  </si>
  <si>
    <t>ID1754</t>
  </si>
  <si>
    <t>ID1755</t>
  </si>
  <si>
    <t>ID1756</t>
  </si>
  <si>
    <t>ID1757</t>
  </si>
  <si>
    <t>ID1758</t>
  </si>
  <si>
    <t>ID1759</t>
  </si>
  <si>
    <t>ID1760</t>
  </si>
  <si>
    <t>ID1761</t>
  </si>
  <si>
    <t>ID1762</t>
  </si>
  <si>
    <t>ID1763</t>
  </si>
  <si>
    <t>ID1764</t>
  </si>
  <si>
    <t>ID1765</t>
  </si>
  <si>
    <t>ID1766</t>
  </si>
  <si>
    <t>ID1767</t>
  </si>
  <si>
    <t>ID1768</t>
  </si>
  <si>
    <t>ID1769</t>
  </si>
  <si>
    <t>ID1770</t>
  </si>
  <si>
    <t>ID1771</t>
  </si>
  <si>
    <t>ID1772</t>
  </si>
  <si>
    <t>ID1773</t>
  </si>
  <si>
    <t>ID1774</t>
  </si>
  <si>
    <t>ID1775</t>
  </si>
  <si>
    <t>ID1776</t>
  </si>
  <si>
    <t>ID1777</t>
  </si>
  <si>
    <t>ID1778</t>
  </si>
  <si>
    <t>ID1779</t>
  </si>
  <si>
    <t>ID1780</t>
  </si>
  <si>
    <t>ID1781</t>
  </si>
  <si>
    <t>ID1782</t>
  </si>
  <si>
    <t>ID1783</t>
  </si>
  <si>
    <t>ID1784</t>
  </si>
  <si>
    <t>ID1785</t>
  </si>
  <si>
    <t>ID1786</t>
  </si>
  <si>
    <t>ID1787</t>
  </si>
  <si>
    <t>ID1788</t>
  </si>
  <si>
    <t>ID1789</t>
  </si>
  <si>
    <t>ID1790</t>
  </si>
  <si>
    <t>ID1791</t>
  </si>
  <si>
    <t>ID1792</t>
  </si>
  <si>
    <t>ID1793</t>
  </si>
  <si>
    <t>ID1794</t>
  </si>
  <si>
    <t>ID1795</t>
  </si>
  <si>
    <t>ID1796</t>
  </si>
  <si>
    <t>ID1797</t>
  </si>
  <si>
    <t>ID1798</t>
  </si>
  <si>
    <t>ID1799</t>
  </si>
  <si>
    <t>ID1800</t>
  </si>
  <si>
    <t>ID1801</t>
  </si>
  <si>
    <t>ID1802</t>
  </si>
  <si>
    <t>ID1803</t>
  </si>
  <si>
    <t>ID1804</t>
  </si>
  <si>
    <t>ID1805</t>
  </si>
  <si>
    <t>ID1806</t>
  </si>
  <si>
    <t>ID1807</t>
  </si>
  <si>
    <t>ID1808</t>
  </si>
  <si>
    <t>ID1809</t>
  </si>
  <si>
    <t>ID1810</t>
  </si>
  <si>
    <t>ID1811</t>
  </si>
  <si>
    <t>ID1812</t>
  </si>
  <si>
    <t>ID1813</t>
  </si>
  <si>
    <t>ID1814</t>
  </si>
  <si>
    <t>ID1815</t>
  </si>
  <si>
    <t>ID1816</t>
  </si>
  <si>
    <t>ID1817</t>
  </si>
  <si>
    <t>ID1818</t>
  </si>
  <si>
    <t>ID1819</t>
  </si>
  <si>
    <t>ID1820</t>
  </si>
  <si>
    <t>ID1821</t>
  </si>
  <si>
    <t>ID1822</t>
  </si>
  <si>
    <t>ID1823</t>
  </si>
  <si>
    <t>ID1824</t>
  </si>
  <si>
    <t>ID1825</t>
  </si>
  <si>
    <t>ID1826</t>
  </si>
  <si>
    <t>ID1827</t>
  </si>
  <si>
    <t>ID1828</t>
  </si>
  <si>
    <t>ID1829</t>
  </si>
  <si>
    <t>ID1830</t>
  </si>
  <si>
    <t>ID1831</t>
  </si>
  <si>
    <t>ID1832</t>
  </si>
  <si>
    <t>ID1833</t>
  </si>
  <si>
    <t>ID1834</t>
  </si>
  <si>
    <t>ID1835</t>
  </si>
  <si>
    <t>ID1836</t>
  </si>
  <si>
    <t>ID1837</t>
  </si>
  <si>
    <t>ID1838</t>
  </si>
  <si>
    <t>ID1839</t>
  </si>
  <si>
    <t>ID1840</t>
  </si>
  <si>
    <t>ID1841</t>
  </si>
  <si>
    <t>ID1842</t>
  </si>
  <si>
    <t>ID1843</t>
  </si>
  <si>
    <t>ID1844</t>
  </si>
  <si>
    <t>ID1845</t>
  </si>
  <si>
    <t>ID1846</t>
  </si>
  <si>
    <t>ID1847</t>
  </si>
  <si>
    <t>ID1848</t>
  </si>
  <si>
    <t>ID1849</t>
  </si>
  <si>
    <t>ID1850</t>
  </si>
  <si>
    <t>ID1851</t>
  </si>
  <si>
    <t>ID1852</t>
  </si>
  <si>
    <t>ID1853</t>
  </si>
  <si>
    <t>ID1854</t>
  </si>
  <si>
    <t>ID1855</t>
  </si>
  <si>
    <t>ID1856</t>
  </si>
  <si>
    <t>ID1857</t>
  </si>
  <si>
    <t>ID1858</t>
  </si>
  <si>
    <t>ID1859</t>
  </si>
  <si>
    <t>ID1860</t>
  </si>
  <si>
    <t>ID1861</t>
  </si>
  <si>
    <t>ID1862</t>
  </si>
  <si>
    <t>ID1863</t>
  </si>
  <si>
    <t>ID1864</t>
  </si>
  <si>
    <t>ID1865</t>
  </si>
  <si>
    <t>ID1866</t>
  </si>
  <si>
    <t>ID1867</t>
  </si>
  <si>
    <t>ID1868</t>
  </si>
  <si>
    <t>ID1869</t>
  </si>
  <si>
    <t>ID1870</t>
  </si>
  <si>
    <t>ID1871</t>
  </si>
  <si>
    <t>ID1872</t>
  </si>
  <si>
    <t>ID1873</t>
  </si>
  <si>
    <t>ID1874</t>
  </si>
  <si>
    <t>ID1875</t>
  </si>
  <si>
    <t>ID1876</t>
  </si>
  <si>
    <t>ID1877</t>
  </si>
  <si>
    <t>ID1878</t>
  </si>
  <si>
    <t>ID1879</t>
  </si>
  <si>
    <t>ID1880</t>
  </si>
  <si>
    <t>ID1881</t>
  </si>
  <si>
    <t>ID1882</t>
  </si>
  <si>
    <t>ID1883</t>
  </si>
  <si>
    <t>ID1884</t>
  </si>
  <si>
    <t>ID1885</t>
  </si>
  <si>
    <t>ID1886</t>
  </si>
  <si>
    <t>ID1887</t>
  </si>
  <si>
    <t>ID1888</t>
  </si>
  <si>
    <t>ID1889</t>
  </si>
  <si>
    <t>ID1890</t>
  </si>
  <si>
    <t>ID1891</t>
  </si>
  <si>
    <t>ID1892</t>
  </si>
  <si>
    <t>ID1893</t>
  </si>
  <si>
    <t>ID1894</t>
  </si>
  <si>
    <t>ID1895</t>
  </si>
  <si>
    <t>ID1896</t>
  </si>
  <si>
    <t>ID1897</t>
  </si>
  <si>
    <t>ID1898</t>
  </si>
  <si>
    <t>ID1899</t>
  </si>
  <si>
    <t>ID1900</t>
  </si>
  <si>
    <t>ID1901</t>
  </si>
  <si>
    <t>ID1902</t>
  </si>
  <si>
    <t>ID1903</t>
  </si>
  <si>
    <t>ID1904</t>
  </si>
  <si>
    <t>ID1905</t>
  </si>
  <si>
    <t>ID1906</t>
  </si>
  <si>
    <t>ID1907</t>
  </si>
  <si>
    <t>ID1908</t>
  </si>
  <si>
    <t>ID1909</t>
  </si>
  <si>
    <t>ID1910</t>
  </si>
  <si>
    <t>ID1911</t>
  </si>
  <si>
    <t>ID1912</t>
  </si>
  <si>
    <t>ID1913</t>
  </si>
  <si>
    <t>ID1914</t>
  </si>
  <si>
    <t>ID1915</t>
  </si>
  <si>
    <t>ID1916</t>
  </si>
  <si>
    <t>ID1917</t>
  </si>
  <si>
    <t>ID1918</t>
  </si>
  <si>
    <t>ID1919</t>
  </si>
  <si>
    <t>ID1920</t>
  </si>
  <si>
    <t>ID1921</t>
  </si>
  <si>
    <t>ID1922</t>
  </si>
  <si>
    <t>ID1923</t>
  </si>
  <si>
    <t>ID1924</t>
  </si>
  <si>
    <t>ID1925</t>
  </si>
  <si>
    <t>ID1926</t>
  </si>
  <si>
    <t>ID1927</t>
  </si>
  <si>
    <t>ID1928</t>
  </si>
  <si>
    <t>ID1929</t>
  </si>
  <si>
    <t>ID1930</t>
  </si>
  <si>
    <t>ID1931</t>
  </si>
  <si>
    <t>ID1932</t>
  </si>
  <si>
    <t>ID1933</t>
  </si>
  <si>
    <t>ID1934</t>
  </si>
  <si>
    <t>ID1935</t>
  </si>
  <si>
    <t>ID1936</t>
  </si>
  <si>
    <t>ID1937</t>
  </si>
  <si>
    <t>ID1938</t>
  </si>
  <si>
    <t>ID1939</t>
  </si>
  <si>
    <t>ID1940</t>
  </si>
  <si>
    <t>ID1941</t>
  </si>
  <si>
    <t>ID1942</t>
  </si>
  <si>
    <t>ID1943</t>
  </si>
  <si>
    <t>ID1944</t>
  </si>
  <si>
    <t>ID1945</t>
  </si>
  <si>
    <t>ID1946</t>
  </si>
  <si>
    <t>ID1947</t>
  </si>
  <si>
    <t>ID1948</t>
  </si>
  <si>
    <t>ID1949</t>
  </si>
  <si>
    <t>ID1950</t>
  </si>
  <si>
    <t>ID1951</t>
  </si>
  <si>
    <t>ID1952</t>
  </si>
  <si>
    <t>ID1953</t>
  </si>
  <si>
    <t>ID1954</t>
  </si>
  <si>
    <t>ID1955</t>
  </si>
  <si>
    <t>ID1956</t>
  </si>
  <si>
    <t>ID1957</t>
  </si>
  <si>
    <t>ID1958</t>
  </si>
  <si>
    <t>ID1959</t>
  </si>
  <si>
    <t>ID1960</t>
  </si>
  <si>
    <t>ID1961</t>
  </si>
  <si>
    <t>ID1962</t>
  </si>
  <si>
    <t>ID1963</t>
  </si>
  <si>
    <t>ID1964</t>
  </si>
  <si>
    <t>ID1965</t>
  </si>
  <si>
    <t>ID1966</t>
  </si>
  <si>
    <t>ID1967</t>
  </si>
  <si>
    <t>ID1968</t>
  </si>
  <si>
    <t>ID1969</t>
  </si>
  <si>
    <t>ID1970</t>
  </si>
  <si>
    <t>ID1971</t>
  </si>
  <si>
    <t>ID1972</t>
  </si>
  <si>
    <t>ID1973</t>
  </si>
  <si>
    <t>ID1974</t>
  </si>
  <si>
    <t>ID1975</t>
  </si>
  <si>
    <t>ID1976</t>
  </si>
  <si>
    <t>ID1977</t>
  </si>
  <si>
    <t>ID1978</t>
  </si>
  <si>
    <t>ID1979</t>
  </si>
  <si>
    <t>ID1980</t>
  </si>
  <si>
    <t>ID1981</t>
  </si>
  <si>
    <t>ID1982</t>
  </si>
  <si>
    <t>ID1983</t>
  </si>
  <si>
    <t>ID1984</t>
  </si>
  <si>
    <t>ID1985</t>
  </si>
  <si>
    <t>ID1986</t>
  </si>
  <si>
    <t>ID1987</t>
  </si>
  <si>
    <t>ID1988</t>
  </si>
  <si>
    <t>ID1989</t>
  </si>
  <si>
    <t>ID1990</t>
  </si>
  <si>
    <t>ID1991</t>
  </si>
  <si>
    <t>ID1992</t>
  </si>
  <si>
    <t>ID1993</t>
  </si>
  <si>
    <t>ID1994</t>
  </si>
  <si>
    <t>ID1995</t>
  </si>
  <si>
    <t>ID1996</t>
  </si>
  <si>
    <t>ID1997</t>
  </si>
  <si>
    <t>ID1998</t>
  </si>
  <si>
    <t>ID1999</t>
  </si>
  <si>
    <t>ID2000</t>
  </si>
  <si>
    <t>ID2001</t>
  </si>
  <si>
    <t>ID2002</t>
  </si>
  <si>
    <t>ID2003</t>
  </si>
  <si>
    <t>ID2004</t>
  </si>
  <si>
    <t>ID2005</t>
  </si>
  <si>
    <t>ID2006</t>
  </si>
  <si>
    <t>ID2007</t>
  </si>
  <si>
    <t>ID2008</t>
  </si>
  <si>
    <t>ID2009</t>
  </si>
  <si>
    <t>ID2010</t>
  </si>
  <si>
    <t>ID2011</t>
  </si>
  <si>
    <t>ID2012</t>
  </si>
  <si>
    <t>ID2013</t>
  </si>
  <si>
    <t>ID2014</t>
  </si>
  <si>
    <t>ID2015</t>
  </si>
  <si>
    <t>ID2016</t>
  </si>
  <si>
    <t>ID2017</t>
  </si>
  <si>
    <t>ID2018</t>
  </si>
  <si>
    <t>ID2019</t>
  </si>
  <si>
    <t>ID2020</t>
  </si>
  <si>
    <t>ID2021</t>
  </si>
  <si>
    <t>ID2022</t>
  </si>
  <si>
    <t>ID2023</t>
  </si>
  <si>
    <t>ID2024</t>
  </si>
  <si>
    <t>ID2025</t>
  </si>
  <si>
    <t>ID2026</t>
  </si>
  <si>
    <t>ID2027</t>
  </si>
  <si>
    <t>ID2028</t>
  </si>
  <si>
    <t>ID2029</t>
  </si>
  <si>
    <t>ID2030</t>
  </si>
  <si>
    <t>ID2031</t>
  </si>
  <si>
    <t>ID2032</t>
  </si>
  <si>
    <t>ID2033</t>
  </si>
  <si>
    <t>ID2034</t>
  </si>
  <si>
    <t>ID2035</t>
  </si>
  <si>
    <t>ID2036</t>
  </si>
  <si>
    <t>ID2037</t>
  </si>
  <si>
    <t>ID2038</t>
  </si>
  <si>
    <t>ID2039</t>
  </si>
  <si>
    <t>ID2040</t>
  </si>
  <si>
    <t>ID2041</t>
  </si>
  <si>
    <t>ID2042</t>
  </si>
  <si>
    <t>ID2043</t>
  </si>
  <si>
    <t>ID2044</t>
  </si>
  <si>
    <t>ID2045</t>
  </si>
  <si>
    <t>ID2046</t>
  </si>
  <si>
    <t>ID2047</t>
  </si>
  <si>
    <t>ID2048</t>
  </si>
  <si>
    <t>ID2049</t>
  </si>
  <si>
    <t>ID2050</t>
  </si>
  <si>
    <t>ID2051</t>
  </si>
  <si>
    <t>ID2052</t>
  </si>
  <si>
    <t>ID2053</t>
  </si>
  <si>
    <t>ID2054</t>
  </si>
  <si>
    <t>ID2055</t>
  </si>
  <si>
    <t>ID2056</t>
  </si>
  <si>
    <t>ID2057</t>
  </si>
  <si>
    <t>ID2058</t>
  </si>
  <si>
    <t>ID2059</t>
  </si>
  <si>
    <t>ID2060</t>
  </si>
  <si>
    <t>ID2061</t>
  </si>
  <si>
    <t>ID2062</t>
  </si>
  <si>
    <t>ID2063</t>
  </si>
  <si>
    <t>ID2064</t>
  </si>
  <si>
    <t>ID2065</t>
  </si>
  <si>
    <t>ID2066</t>
  </si>
  <si>
    <t>ID2067</t>
  </si>
  <si>
    <t>ID2068</t>
  </si>
  <si>
    <t>ID2069</t>
  </si>
  <si>
    <t>ID2070</t>
  </si>
  <si>
    <t>ID2071</t>
  </si>
  <si>
    <t>ID2072</t>
  </si>
  <si>
    <t>ID2073</t>
  </si>
  <si>
    <t>ID2074</t>
  </si>
  <si>
    <t>ID2075</t>
  </si>
  <si>
    <t>ID2076</t>
  </si>
  <si>
    <t>ID2077</t>
  </si>
  <si>
    <t>ID2078</t>
  </si>
  <si>
    <t>ID2079</t>
  </si>
  <si>
    <t>ID2080</t>
  </si>
  <si>
    <t>ID2081</t>
  </si>
  <si>
    <t>ID2082</t>
  </si>
  <si>
    <t>ID2083</t>
  </si>
  <si>
    <t>ID2084</t>
  </si>
  <si>
    <t>ID2085</t>
  </si>
  <si>
    <t>ID2086</t>
  </si>
  <si>
    <t>ID2087</t>
  </si>
  <si>
    <t>ID2088</t>
  </si>
  <si>
    <t>ID2089</t>
  </si>
  <si>
    <t>ID2090</t>
  </si>
  <si>
    <t>ID2091</t>
  </si>
  <si>
    <t>ID2092</t>
  </si>
  <si>
    <t>ID2093</t>
  </si>
  <si>
    <t>ID2094</t>
  </si>
  <si>
    <t>ID2095</t>
  </si>
  <si>
    <t>ID2096</t>
  </si>
  <si>
    <t>ID2097</t>
  </si>
  <si>
    <t>ID2098</t>
  </si>
  <si>
    <t>ID2099</t>
  </si>
  <si>
    <t>ID2100</t>
  </si>
  <si>
    <t>ID2101</t>
  </si>
  <si>
    <t>ID2102</t>
  </si>
  <si>
    <t>ID2103</t>
  </si>
  <si>
    <t>ID2104</t>
  </si>
  <si>
    <t>ID2105</t>
  </si>
  <si>
    <t>ID2106</t>
  </si>
  <si>
    <t>ID2107</t>
  </si>
  <si>
    <t>ID2108</t>
  </si>
  <si>
    <t>ID2109</t>
  </si>
  <si>
    <t>ID2110</t>
  </si>
  <si>
    <t>ID2111</t>
  </si>
  <si>
    <t>ID2112</t>
  </si>
  <si>
    <t>ID2113</t>
  </si>
  <si>
    <t>ID2114</t>
  </si>
  <si>
    <t>ID2115</t>
  </si>
  <si>
    <t>ID2116</t>
  </si>
  <si>
    <t>ID2117</t>
  </si>
  <si>
    <t>ID2118</t>
  </si>
  <si>
    <t>ID2119</t>
  </si>
  <si>
    <t>ID2120</t>
  </si>
  <si>
    <t>ID2121</t>
  </si>
  <si>
    <t>ID2122</t>
  </si>
  <si>
    <t>ID2123</t>
  </si>
  <si>
    <t>ID2124</t>
  </si>
  <si>
    <t>ID2125</t>
  </si>
  <si>
    <t>ID2126</t>
  </si>
  <si>
    <t>ID2127</t>
  </si>
  <si>
    <t>ID2128</t>
  </si>
  <si>
    <t>ID2129</t>
  </si>
  <si>
    <t>ID2130</t>
  </si>
  <si>
    <t>ID2131</t>
  </si>
  <si>
    <t>ID2132</t>
  </si>
  <si>
    <t>ID2133</t>
  </si>
  <si>
    <t>ID2134</t>
  </si>
  <si>
    <t>ID2135</t>
  </si>
  <si>
    <t>ID2136</t>
  </si>
  <si>
    <t>ID2137</t>
  </si>
  <si>
    <t>ID2138</t>
  </si>
  <si>
    <t>ID2139</t>
  </si>
  <si>
    <t>ID2140</t>
  </si>
  <si>
    <t>ID2141</t>
  </si>
  <si>
    <t>ID2142</t>
  </si>
  <si>
    <t>ID2143</t>
  </si>
  <si>
    <t>ID2144</t>
  </si>
  <si>
    <t>ID2145</t>
  </si>
  <si>
    <t>ID2146</t>
  </si>
  <si>
    <t>ID2147</t>
  </si>
  <si>
    <t>ID2148</t>
  </si>
  <si>
    <t>ID2149</t>
  </si>
  <si>
    <t>ID2150</t>
  </si>
  <si>
    <t>ID2151</t>
  </si>
  <si>
    <t>ID2152</t>
  </si>
  <si>
    <t>ID2153</t>
  </si>
  <si>
    <t>ID2154</t>
  </si>
  <si>
    <t>ID2155</t>
  </si>
  <si>
    <t>ID2156</t>
  </si>
  <si>
    <t>ID2157</t>
  </si>
  <si>
    <t>ID2158</t>
  </si>
  <si>
    <t>ID2159</t>
  </si>
  <si>
    <t>ID2160</t>
  </si>
  <si>
    <t>ID2161</t>
  </si>
  <si>
    <t>ID2162</t>
  </si>
  <si>
    <t>ID2163</t>
  </si>
  <si>
    <t>ID2164</t>
  </si>
  <si>
    <t>ID2165</t>
  </si>
  <si>
    <t>ID2166</t>
  </si>
  <si>
    <t>ID2167</t>
  </si>
  <si>
    <t>ID2168</t>
  </si>
  <si>
    <t>ID2169</t>
  </si>
  <si>
    <t>ID2170</t>
  </si>
  <si>
    <t>ID2171</t>
  </si>
  <si>
    <t>ID2172</t>
  </si>
  <si>
    <t>ID2173</t>
  </si>
  <si>
    <t>ID2174</t>
  </si>
  <si>
    <t>ID2175</t>
  </si>
  <si>
    <t>ID2176</t>
  </si>
  <si>
    <t>ID2177</t>
  </si>
  <si>
    <t>ID2178</t>
  </si>
  <si>
    <t>ID2179</t>
  </si>
  <si>
    <t>ID2180</t>
  </si>
  <si>
    <t>ID2181</t>
  </si>
  <si>
    <t>ID2182</t>
  </si>
  <si>
    <t>ID2183</t>
  </si>
  <si>
    <t>ID2184</t>
  </si>
  <si>
    <t>ID2185</t>
  </si>
  <si>
    <t>ID2186</t>
  </si>
  <si>
    <t>ID2187</t>
  </si>
  <si>
    <t>ID2188</t>
  </si>
  <si>
    <t>ID2189</t>
  </si>
  <si>
    <t>ID2190</t>
  </si>
  <si>
    <t>ID2191</t>
  </si>
  <si>
    <t>ID2192</t>
  </si>
  <si>
    <t>ID2193</t>
  </si>
  <si>
    <t>ID2194</t>
  </si>
  <si>
    <t>ID2195</t>
  </si>
  <si>
    <t>ID2196</t>
  </si>
  <si>
    <t>ID2197</t>
  </si>
  <si>
    <t>ID2198</t>
  </si>
  <si>
    <t>ID2199</t>
  </si>
  <si>
    <t>ID2200</t>
  </si>
  <si>
    <t>ID2201</t>
  </si>
  <si>
    <t>ID2202</t>
  </si>
  <si>
    <t>ID2203</t>
  </si>
  <si>
    <t>ID2204</t>
  </si>
  <si>
    <t>ID2205</t>
  </si>
  <si>
    <t>ID2206</t>
  </si>
  <si>
    <t>ID2207</t>
  </si>
  <si>
    <t>ID2208</t>
  </si>
  <si>
    <t>ID2209</t>
  </si>
  <si>
    <t>ID2210</t>
  </si>
  <si>
    <t>ID2211</t>
  </si>
  <si>
    <t>ID2212</t>
  </si>
  <si>
    <t>ID2213</t>
  </si>
  <si>
    <t>ID2214</t>
  </si>
  <si>
    <t>ID2215</t>
  </si>
  <si>
    <t>ID2216</t>
  </si>
  <si>
    <t>ID2217</t>
  </si>
  <si>
    <t>ID2218</t>
  </si>
  <si>
    <t>ID2219</t>
  </si>
  <si>
    <t>ID2220</t>
  </si>
  <si>
    <t>ID2221</t>
  </si>
  <si>
    <t>ID2222</t>
  </si>
  <si>
    <t>ID2223</t>
  </si>
  <si>
    <t>ID2224</t>
  </si>
  <si>
    <t>ID2225</t>
  </si>
  <si>
    <t>ID2226</t>
  </si>
  <si>
    <t>ID2227</t>
  </si>
  <si>
    <t>ID2228</t>
  </si>
  <si>
    <t>ID2229</t>
  </si>
  <si>
    <t>ID2230</t>
  </si>
  <si>
    <t>ID2231</t>
  </si>
  <si>
    <t>ID2232</t>
  </si>
  <si>
    <t>ID2233</t>
  </si>
  <si>
    <t>ID2234</t>
  </si>
  <si>
    <t>ID2235</t>
  </si>
  <si>
    <t>ID2236</t>
  </si>
  <si>
    <t>ID2237</t>
  </si>
  <si>
    <t>ID2238</t>
  </si>
  <si>
    <t>ID2239</t>
  </si>
  <si>
    <t>ID2240</t>
  </si>
  <si>
    <t>ID2241</t>
  </si>
  <si>
    <t>ID2242</t>
  </si>
  <si>
    <t>ID2243</t>
  </si>
  <si>
    <t>ID2244</t>
  </si>
  <si>
    <t>ID2245</t>
  </si>
  <si>
    <t>ID2246</t>
  </si>
  <si>
    <t>ID2247</t>
  </si>
  <si>
    <t>ID2248</t>
  </si>
  <si>
    <t>ID2249</t>
  </si>
  <si>
    <t>ID2250</t>
  </si>
  <si>
    <t>ID2251</t>
  </si>
  <si>
    <t>ID2252</t>
  </si>
  <si>
    <t>ID2253</t>
  </si>
  <si>
    <t>ID2254</t>
  </si>
  <si>
    <t>ID2255</t>
  </si>
  <si>
    <t>ID2256</t>
  </si>
  <si>
    <t>ID2257</t>
  </si>
  <si>
    <t>ID2258</t>
  </si>
  <si>
    <t>ID2259</t>
  </si>
  <si>
    <t>ID2260</t>
  </si>
  <si>
    <t>ID2261</t>
  </si>
  <si>
    <t>ID2262</t>
  </si>
  <si>
    <t>ID2263</t>
  </si>
  <si>
    <t>ID2264</t>
  </si>
  <si>
    <t>ID2265</t>
  </si>
  <si>
    <t>ID2266</t>
  </si>
  <si>
    <t>ID2267</t>
  </si>
  <si>
    <t>ID2268</t>
  </si>
  <si>
    <t>ID2269</t>
  </si>
  <si>
    <t>ID2270</t>
  </si>
  <si>
    <t>ID2271</t>
  </si>
  <si>
    <t>ID2272</t>
  </si>
  <si>
    <t>ID2273</t>
  </si>
  <si>
    <t>ID2274</t>
  </si>
  <si>
    <t>ID2275</t>
  </si>
  <si>
    <t>ID2276</t>
  </si>
  <si>
    <t>ID2277</t>
  </si>
  <si>
    <t>ID2278</t>
  </si>
  <si>
    <t>ID2279</t>
  </si>
  <si>
    <t>ID2280</t>
  </si>
  <si>
    <t>ID2281</t>
  </si>
  <si>
    <t>ID2282</t>
  </si>
  <si>
    <t>ID2283</t>
  </si>
  <si>
    <t>ID2284</t>
  </si>
  <si>
    <t>ID2285</t>
  </si>
  <si>
    <t>ID2286</t>
  </si>
  <si>
    <t>ID2287</t>
  </si>
  <si>
    <t>ID2288</t>
  </si>
  <si>
    <t>ID2289</t>
  </si>
  <si>
    <t>ID2290</t>
  </si>
  <si>
    <t>ID2291</t>
  </si>
  <si>
    <t>ID2292</t>
  </si>
  <si>
    <t>ID2293</t>
  </si>
  <si>
    <t>ID2294</t>
  </si>
  <si>
    <t>ID2295</t>
  </si>
  <si>
    <t>ID2296</t>
  </si>
  <si>
    <t>ID2297</t>
  </si>
  <si>
    <t>ID2298</t>
  </si>
  <si>
    <t>ID2299</t>
  </si>
  <si>
    <t>ID2300</t>
  </si>
  <si>
    <t>ID2301</t>
  </si>
  <si>
    <t>ID2302</t>
  </si>
  <si>
    <t>ID2303</t>
  </si>
  <si>
    <t>ID2304</t>
  </si>
  <si>
    <t>ID2305</t>
  </si>
  <si>
    <t>ID2306</t>
  </si>
  <si>
    <t>ID2307</t>
  </si>
  <si>
    <t>ID2308</t>
  </si>
  <si>
    <t>ID2309</t>
  </si>
  <si>
    <t>ID2310</t>
  </si>
  <si>
    <t>ID2311</t>
  </si>
  <si>
    <t>ID2312</t>
  </si>
  <si>
    <t>ID2313</t>
  </si>
  <si>
    <t>ID2314</t>
  </si>
  <si>
    <t>ID2315</t>
  </si>
  <si>
    <t>ID2316</t>
  </si>
  <si>
    <t>ID2317</t>
  </si>
  <si>
    <t>ID2318</t>
  </si>
  <si>
    <t>ID2319</t>
  </si>
  <si>
    <t>ID2320</t>
  </si>
  <si>
    <t>ID2321</t>
  </si>
  <si>
    <t>ID2322</t>
  </si>
  <si>
    <t>ID2323</t>
  </si>
  <si>
    <t>ID2324</t>
  </si>
  <si>
    <t>ID2325</t>
  </si>
  <si>
    <t>ID2326</t>
  </si>
  <si>
    <t>ID2327</t>
  </si>
  <si>
    <t>ID2328</t>
  </si>
  <si>
    <t>ID2329</t>
  </si>
  <si>
    <t>ID2330</t>
  </si>
  <si>
    <t>ID2331</t>
  </si>
  <si>
    <t>ID2332</t>
  </si>
  <si>
    <t>ID2333</t>
  </si>
  <si>
    <t>ID2334</t>
  </si>
  <si>
    <t>ID2335</t>
  </si>
  <si>
    <t>ID2336</t>
  </si>
  <si>
    <t>ID2337</t>
  </si>
  <si>
    <t>ID2338</t>
  </si>
  <si>
    <t>ID2339</t>
  </si>
  <si>
    <t>ID2340</t>
  </si>
  <si>
    <t>ID2341</t>
  </si>
  <si>
    <t>ID2342</t>
  </si>
  <si>
    <t>ID2343</t>
  </si>
  <si>
    <t>ID2344</t>
  </si>
  <si>
    <t>ID2345</t>
  </si>
  <si>
    <t>ID2346</t>
  </si>
  <si>
    <t>ID2347</t>
  </si>
  <si>
    <t>ID2348</t>
  </si>
  <si>
    <t>ID2349</t>
  </si>
  <si>
    <t>ID2350</t>
  </si>
  <si>
    <t>ID2351</t>
  </si>
  <si>
    <t>ID2352</t>
  </si>
  <si>
    <t>ID2353</t>
  </si>
  <si>
    <t>ID2354</t>
  </si>
  <si>
    <t>ID2355</t>
  </si>
  <si>
    <t>ID2356</t>
  </si>
  <si>
    <t>ID2357</t>
  </si>
  <si>
    <t>ID2358</t>
  </si>
  <si>
    <t>ID2359</t>
  </si>
  <si>
    <t>ID2360</t>
  </si>
  <si>
    <t>ID2361</t>
  </si>
  <si>
    <t>ID2362</t>
  </si>
  <si>
    <t>ID2363</t>
  </si>
  <si>
    <t>ID2364</t>
  </si>
  <si>
    <t>ID2365</t>
  </si>
  <si>
    <t>ID2366</t>
  </si>
  <si>
    <t>ID2367</t>
  </si>
  <si>
    <t>ID2368</t>
  </si>
  <si>
    <t>ID2369</t>
  </si>
  <si>
    <t>ID2370</t>
  </si>
  <si>
    <t>ID2371</t>
  </si>
  <si>
    <t>ID2372</t>
  </si>
  <si>
    <t>ID2373</t>
  </si>
  <si>
    <t>ID2374</t>
  </si>
  <si>
    <t>ID2375</t>
  </si>
  <si>
    <t>ID2376</t>
  </si>
  <si>
    <t>ID2377</t>
  </si>
  <si>
    <t>ID2378</t>
  </si>
  <si>
    <t>ID2379</t>
  </si>
  <si>
    <t>ID2380</t>
  </si>
  <si>
    <t>ID2381</t>
  </si>
  <si>
    <t>ID2382</t>
  </si>
  <si>
    <t>ID2383</t>
  </si>
  <si>
    <t>ID2384</t>
  </si>
  <si>
    <t>ID2385</t>
  </si>
  <si>
    <t>ID2386</t>
  </si>
  <si>
    <t>ID2387</t>
  </si>
  <si>
    <t>ID2388</t>
  </si>
  <si>
    <t>ID2389</t>
  </si>
  <si>
    <t>ID2390</t>
  </si>
  <si>
    <t>ID2391</t>
  </si>
  <si>
    <t>ID2392</t>
  </si>
  <si>
    <t>ID2393</t>
  </si>
  <si>
    <t>ID2394</t>
  </si>
  <si>
    <t>ID2395</t>
  </si>
  <si>
    <t>ID2396</t>
  </si>
  <si>
    <t>ID2397</t>
  </si>
  <si>
    <t>ID2398</t>
  </si>
  <si>
    <t>ID2399</t>
  </si>
  <si>
    <t>ID2400</t>
  </si>
  <si>
    <t>ID2401</t>
  </si>
  <si>
    <t>ID2402</t>
  </si>
  <si>
    <t>ID2403</t>
  </si>
  <si>
    <t>ID2404</t>
  </si>
  <si>
    <t>ID2405</t>
  </si>
  <si>
    <t>ID2406</t>
  </si>
  <si>
    <t>ID2407</t>
  </si>
  <si>
    <t>ID2408</t>
  </si>
  <si>
    <t>ID2409</t>
  </si>
  <si>
    <t>ID2410</t>
  </si>
  <si>
    <t>ID2411</t>
  </si>
  <si>
    <t>ID2412</t>
  </si>
  <si>
    <t>ID2413</t>
  </si>
  <si>
    <t>ID2414</t>
  </si>
  <si>
    <t>ID2415</t>
  </si>
  <si>
    <t>ID2416</t>
  </si>
  <si>
    <t>ID2417</t>
  </si>
  <si>
    <t>ID2418</t>
  </si>
  <si>
    <t>ID2419</t>
  </si>
  <si>
    <t>ID2420</t>
  </si>
  <si>
    <t>ID2421</t>
  </si>
  <si>
    <t>ID2422</t>
  </si>
  <si>
    <t>ID2423</t>
  </si>
  <si>
    <t>ID2424</t>
  </si>
  <si>
    <t>ID2425</t>
  </si>
  <si>
    <t>ID2426</t>
  </si>
  <si>
    <t>ID2427</t>
  </si>
  <si>
    <t>ID2428</t>
  </si>
  <si>
    <t>ID2429</t>
  </si>
  <si>
    <t>ID2430</t>
  </si>
  <si>
    <t>ID2431</t>
  </si>
  <si>
    <t>ID2432</t>
  </si>
  <si>
    <t>ID2433</t>
  </si>
  <si>
    <t>ID2434</t>
  </si>
  <si>
    <t>ID2435</t>
  </si>
  <si>
    <t>ID2436</t>
  </si>
  <si>
    <t>ID2437</t>
  </si>
  <si>
    <t>ID2438</t>
  </si>
  <si>
    <t>ID2439</t>
  </si>
  <si>
    <t>ID2440</t>
  </si>
  <si>
    <t>ID2441</t>
  </si>
  <si>
    <t>ID2442</t>
  </si>
  <si>
    <t>ID2443</t>
  </si>
  <si>
    <t>ID2444</t>
  </si>
  <si>
    <t>ID2445</t>
  </si>
  <si>
    <t>ID2446</t>
  </si>
  <si>
    <t>ID2447</t>
  </si>
  <si>
    <t>ID2448</t>
  </si>
  <si>
    <t>ID2449</t>
  </si>
  <si>
    <t>ID2450</t>
  </si>
  <si>
    <t>ID2451</t>
  </si>
  <si>
    <t>ID2452</t>
  </si>
  <si>
    <t>ID2453</t>
  </si>
  <si>
    <t>ID2454</t>
  </si>
  <si>
    <t>ID2455</t>
  </si>
  <si>
    <t>ID2456</t>
  </si>
  <si>
    <t>ID2457</t>
  </si>
  <si>
    <t>ID2458</t>
  </si>
  <si>
    <t>ID2459</t>
  </si>
  <si>
    <t>ID2460</t>
  </si>
  <si>
    <t>ID2461</t>
  </si>
  <si>
    <t>ID2462</t>
  </si>
  <si>
    <t>ID2463</t>
  </si>
  <si>
    <t>ID2464</t>
  </si>
  <si>
    <t>ID2465</t>
  </si>
  <si>
    <t>ID2466</t>
  </si>
  <si>
    <t>ID2467</t>
  </si>
  <si>
    <t>ID2468</t>
  </si>
  <si>
    <t>ID2469</t>
  </si>
  <si>
    <t>ID2470</t>
  </si>
  <si>
    <t>ID2471</t>
  </si>
  <si>
    <t>ID2472</t>
  </si>
  <si>
    <t>ID2473</t>
  </si>
  <si>
    <t>ID2474</t>
  </si>
  <si>
    <t>ID2475</t>
  </si>
  <si>
    <t>ID2476</t>
  </si>
  <si>
    <t>ID2477</t>
  </si>
  <si>
    <t>ID2478</t>
  </si>
  <si>
    <t>ID2479</t>
  </si>
  <si>
    <t>ID2480</t>
  </si>
  <si>
    <t>ID2481</t>
  </si>
  <si>
    <t>ID2482</t>
  </si>
  <si>
    <t>ID2483</t>
  </si>
  <si>
    <t>ID2484</t>
  </si>
  <si>
    <t>ID2485</t>
  </si>
  <si>
    <t>ID2486</t>
  </si>
  <si>
    <t>ID2487</t>
  </si>
  <si>
    <t>ID2488</t>
  </si>
  <si>
    <t>ID2489</t>
  </si>
  <si>
    <t>ID2490</t>
  </si>
  <si>
    <t>ID2491</t>
  </si>
  <si>
    <t>ID2492</t>
  </si>
  <si>
    <t>ID2493</t>
  </si>
  <si>
    <t>ID2494</t>
  </si>
  <si>
    <t>ID2495</t>
  </si>
  <si>
    <t>ID2496</t>
  </si>
  <si>
    <t>ID2497</t>
  </si>
  <si>
    <t>ID2498</t>
  </si>
  <si>
    <t>ID2499</t>
  </si>
  <si>
    <t>ID2500</t>
  </si>
  <si>
    <t>ID2501</t>
  </si>
  <si>
    <t>ID2502</t>
  </si>
  <si>
    <t>ID2503</t>
  </si>
  <si>
    <t>ID2504</t>
  </si>
  <si>
    <t>ID2505</t>
  </si>
  <si>
    <t>ID2506</t>
  </si>
  <si>
    <t>ID2507</t>
  </si>
  <si>
    <t>ID2508</t>
  </si>
  <si>
    <t>ID2509</t>
  </si>
  <si>
    <t>ID2510</t>
  </si>
  <si>
    <t>ID2511</t>
  </si>
  <si>
    <t>ID2512</t>
  </si>
  <si>
    <t>ID2513</t>
  </si>
  <si>
    <t>ID2514</t>
  </si>
  <si>
    <t>ID2515</t>
  </si>
  <si>
    <t>ID2516</t>
  </si>
  <si>
    <t>ID2517</t>
  </si>
  <si>
    <t>ID2518</t>
  </si>
  <si>
    <t>ID2519</t>
  </si>
  <si>
    <t>ID2520</t>
  </si>
  <si>
    <t>ID2521</t>
  </si>
  <si>
    <t>ID2522</t>
  </si>
  <si>
    <t>ID2523</t>
  </si>
  <si>
    <t>ID2524</t>
  </si>
  <si>
    <t>ID2525</t>
  </si>
  <si>
    <t>ID2526</t>
  </si>
  <si>
    <t>ID2527</t>
  </si>
  <si>
    <t>ID2528</t>
  </si>
  <si>
    <t>ID2529</t>
  </si>
  <si>
    <t>ID2530</t>
  </si>
  <si>
    <t>ID2531</t>
  </si>
  <si>
    <t>ID2532</t>
  </si>
  <si>
    <t>ID2533</t>
  </si>
  <si>
    <t>ID2534</t>
  </si>
  <si>
    <t>ID2535</t>
  </si>
  <si>
    <t>ID2536</t>
  </si>
  <si>
    <t>ID2537</t>
  </si>
  <si>
    <t>ID2538</t>
  </si>
  <si>
    <t>ID2539</t>
  </si>
  <si>
    <t>ID2540</t>
  </si>
  <si>
    <t>ID2541</t>
  </si>
  <si>
    <t>ID2542</t>
  </si>
  <si>
    <t>ID2543</t>
  </si>
  <si>
    <t>ID2544</t>
  </si>
  <si>
    <t>ID2545</t>
  </si>
  <si>
    <t>ID2546</t>
  </si>
  <si>
    <t>ID2547</t>
  </si>
  <si>
    <t>ID2548</t>
  </si>
  <si>
    <t>ID2549</t>
  </si>
  <si>
    <t>ID2550</t>
  </si>
  <si>
    <t>ID2551</t>
  </si>
  <si>
    <t>ID2552</t>
  </si>
  <si>
    <t>ID2553</t>
  </si>
  <si>
    <t>ID2554</t>
  </si>
  <si>
    <t>ID2555</t>
  </si>
  <si>
    <t>ID2556</t>
  </si>
  <si>
    <t>ID2557</t>
  </si>
  <si>
    <t>ID2558</t>
  </si>
  <si>
    <t>ID2559</t>
  </si>
  <si>
    <t>ID2560</t>
  </si>
  <si>
    <t>ID2561</t>
  </si>
  <si>
    <t>ID2562</t>
  </si>
  <si>
    <t>ID2563</t>
  </si>
  <si>
    <t>ID2564</t>
  </si>
  <si>
    <t>ID2565</t>
  </si>
  <si>
    <t>ID2566</t>
  </si>
  <si>
    <t>ID2567</t>
  </si>
  <si>
    <t>ID2568</t>
  </si>
  <si>
    <t>ID2569</t>
  </si>
  <si>
    <t>ID2570</t>
  </si>
  <si>
    <t>ID2571</t>
  </si>
  <si>
    <t>ID2572</t>
  </si>
  <si>
    <t>ID2573</t>
  </si>
  <si>
    <t>ID2574</t>
  </si>
  <si>
    <t>ID2575</t>
  </si>
  <si>
    <t>ID2576</t>
  </si>
  <si>
    <t>ID2577</t>
  </si>
  <si>
    <t>ID2578</t>
  </si>
  <si>
    <t>ID2579</t>
  </si>
  <si>
    <t>ID2580</t>
  </si>
  <si>
    <t>ID2581</t>
  </si>
  <si>
    <t>ID2582</t>
  </si>
  <si>
    <t>ID2583</t>
  </si>
  <si>
    <t>ID2584</t>
  </si>
  <si>
    <t>ID2585</t>
  </si>
  <si>
    <t>ID2586</t>
  </si>
  <si>
    <t>ID2587</t>
  </si>
  <si>
    <t>ID2588</t>
  </si>
  <si>
    <t>ID2589</t>
  </si>
  <si>
    <t>ID2590</t>
  </si>
  <si>
    <t>ID2591</t>
  </si>
  <si>
    <t>ID2592</t>
  </si>
  <si>
    <t>ID2593</t>
  </si>
  <si>
    <t>ID2594</t>
  </si>
  <si>
    <t>ID2595</t>
  </si>
  <si>
    <t>ID2596</t>
  </si>
  <si>
    <t>ID2597</t>
  </si>
  <si>
    <t>ID2598</t>
  </si>
  <si>
    <t>ID2599</t>
  </si>
  <si>
    <t>ID2600</t>
  </si>
  <si>
    <t>ID2601</t>
  </si>
  <si>
    <t>ID2602</t>
  </si>
  <si>
    <t>ID2603</t>
  </si>
  <si>
    <t>ID2604</t>
  </si>
  <si>
    <t>ID2605</t>
  </si>
  <si>
    <t>ID2606</t>
  </si>
  <si>
    <t>ID2607</t>
  </si>
  <si>
    <t>ID2608</t>
  </si>
  <si>
    <t>ID2609</t>
  </si>
  <si>
    <t>ID2610</t>
  </si>
  <si>
    <t>ID2611</t>
  </si>
  <si>
    <t>ID2612</t>
  </si>
  <si>
    <t>ID2613</t>
  </si>
  <si>
    <t>ID2614</t>
  </si>
  <si>
    <t>ID2615</t>
  </si>
  <si>
    <t>ID2616</t>
  </si>
  <si>
    <t>ID2617</t>
  </si>
  <si>
    <t>ID2618</t>
  </si>
  <si>
    <t>ID2619</t>
  </si>
  <si>
    <t>ID2620</t>
  </si>
  <si>
    <t>ID2621</t>
  </si>
  <si>
    <t>ID2622</t>
  </si>
  <si>
    <t>ID2623</t>
  </si>
  <si>
    <t>ID2624</t>
  </si>
  <si>
    <t>ID2625</t>
  </si>
  <si>
    <t>ID2626</t>
  </si>
  <si>
    <t>ID2627</t>
  </si>
  <si>
    <t>ID2628</t>
  </si>
  <si>
    <t>ID2629</t>
  </si>
  <si>
    <t>ID2630</t>
  </si>
  <si>
    <t>ID2631</t>
  </si>
  <si>
    <t>ID2632</t>
  </si>
  <si>
    <t>ID2633</t>
  </si>
  <si>
    <t>ID2634</t>
  </si>
  <si>
    <t>ID2635</t>
  </si>
  <si>
    <t>ID2636</t>
  </si>
  <si>
    <t>ID2637</t>
  </si>
  <si>
    <t>ID2638</t>
  </si>
  <si>
    <t>ID2639</t>
  </si>
  <si>
    <t>ID2640</t>
  </si>
  <si>
    <t>ID2641</t>
  </si>
  <si>
    <t>ID2642</t>
  </si>
  <si>
    <t>ID2643</t>
  </si>
  <si>
    <t>ID2644</t>
  </si>
  <si>
    <t>ID2645</t>
  </si>
  <si>
    <t>ID2646</t>
  </si>
  <si>
    <t>ID2647</t>
  </si>
  <si>
    <t>ID2648</t>
  </si>
  <si>
    <t>ID2649</t>
  </si>
  <si>
    <t>ID2650</t>
  </si>
  <si>
    <t>ID2651</t>
  </si>
  <si>
    <t>ID2652</t>
  </si>
  <si>
    <t>ID2653</t>
  </si>
  <si>
    <t>ID2654</t>
  </si>
  <si>
    <t>ID2655</t>
  </si>
  <si>
    <t>ID2656</t>
  </si>
  <si>
    <t>ID2657</t>
  </si>
  <si>
    <t>ID2658</t>
  </si>
  <si>
    <t>ID2659</t>
  </si>
  <si>
    <t>ID2660</t>
  </si>
  <si>
    <t>ID2661</t>
  </si>
  <si>
    <t>ID2662</t>
  </si>
  <si>
    <t>ID2663</t>
  </si>
  <si>
    <t>ID2664</t>
  </si>
  <si>
    <t>ID2665</t>
  </si>
  <si>
    <t>ID2666</t>
  </si>
  <si>
    <t>ID2667</t>
  </si>
  <si>
    <t>ID2668</t>
  </si>
  <si>
    <t>ID2669</t>
  </si>
  <si>
    <t>ID2670</t>
  </si>
  <si>
    <t>ID2671</t>
  </si>
  <si>
    <t>ID2672</t>
  </si>
  <si>
    <t>ID2673</t>
  </si>
  <si>
    <t>ID2674</t>
  </si>
  <si>
    <t>ID2675</t>
  </si>
  <si>
    <t>ID2676</t>
  </si>
  <si>
    <t>ID2677</t>
  </si>
  <si>
    <t>ID2678</t>
  </si>
  <si>
    <t>ID2679</t>
  </si>
  <si>
    <t>ID2680</t>
  </si>
  <si>
    <t>ID2681</t>
  </si>
  <si>
    <t>ID2682</t>
  </si>
  <si>
    <t>ID2683</t>
  </si>
  <si>
    <t>ID2684</t>
  </si>
  <si>
    <t>ID2685</t>
  </si>
  <si>
    <t>ID2686</t>
  </si>
  <si>
    <t>ID2687</t>
  </si>
  <si>
    <t>ID2688</t>
  </si>
  <si>
    <t>ID2689</t>
  </si>
  <si>
    <t>ID2690</t>
  </si>
  <si>
    <t>ID2691</t>
  </si>
  <si>
    <t>ID2692</t>
  </si>
  <si>
    <t>ID2693</t>
  </si>
  <si>
    <t>ID2694</t>
  </si>
  <si>
    <t>ID2695</t>
  </si>
  <si>
    <t>ID2696</t>
  </si>
  <si>
    <t>ID2697</t>
  </si>
  <si>
    <t>ID2698</t>
  </si>
  <si>
    <t>ID2699</t>
  </si>
  <si>
    <t>ID2700</t>
  </si>
  <si>
    <t>ID2701</t>
  </si>
  <si>
    <t>ID2702</t>
  </si>
  <si>
    <t>ID2703</t>
  </si>
  <si>
    <t>ID2704</t>
  </si>
  <si>
    <t>ID2705</t>
  </si>
  <si>
    <t>ID2706</t>
  </si>
  <si>
    <t>ID2707</t>
  </si>
  <si>
    <t>ID2708</t>
  </si>
  <si>
    <t>ID2709</t>
  </si>
  <si>
    <t>ID2710</t>
  </si>
  <si>
    <t>ID2711</t>
  </si>
  <si>
    <t>ID2712</t>
  </si>
  <si>
    <t>ID2713</t>
  </si>
  <si>
    <t>ID2714</t>
  </si>
  <si>
    <t>ID2715</t>
  </si>
  <si>
    <t>ID2716</t>
  </si>
  <si>
    <t>ID2717</t>
  </si>
  <si>
    <t>ID2718</t>
  </si>
  <si>
    <t>ID2719</t>
  </si>
  <si>
    <t>ID2720</t>
  </si>
  <si>
    <t>ID2721</t>
  </si>
  <si>
    <t>ID2722</t>
  </si>
  <si>
    <t>ID2723</t>
  </si>
  <si>
    <t>ID2724</t>
  </si>
  <si>
    <t>ID2725</t>
  </si>
  <si>
    <t>ID2726</t>
  </si>
  <si>
    <t>ID2727</t>
  </si>
  <si>
    <t>ID2728</t>
  </si>
  <si>
    <t>ID2729</t>
  </si>
  <si>
    <t>ID2730</t>
  </si>
  <si>
    <t>ID2731</t>
  </si>
  <si>
    <t>ID2732</t>
  </si>
  <si>
    <t>ID2733</t>
  </si>
  <si>
    <t>ID2734</t>
  </si>
  <si>
    <t>ID2735</t>
  </si>
  <si>
    <t>ID2736</t>
  </si>
  <si>
    <t>ID2737</t>
  </si>
  <si>
    <t>ID2738</t>
  </si>
  <si>
    <t>ID2739</t>
  </si>
  <si>
    <t>ID2740</t>
  </si>
  <si>
    <t>ID2741</t>
  </si>
  <si>
    <t>ID2742</t>
  </si>
  <si>
    <t>ID2743</t>
  </si>
  <si>
    <t>ID2744</t>
  </si>
  <si>
    <t>ID2745</t>
  </si>
  <si>
    <t>ID2746</t>
  </si>
  <si>
    <t>ID2747</t>
  </si>
  <si>
    <t>ID2748</t>
  </si>
  <si>
    <t>ID2749</t>
  </si>
  <si>
    <t>ID2750</t>
  </si>
  <si>
    <t>ID2751</t>
  </si>
  <si>
    <t>ID2752</t>
  </si>
  <si>
    <t>ID2753</t>
  </si>
  <si>
    <t>ID2754</t>
  </si>
  <si>
    <t>ID2755</t>
  </si>
  <si>
    <t>ID2756</t>
  </si>
  <si>
    <t>ID2757</t>
  </si>
  <si>
    <t>ID2758</t>
  </si>
  <si>
    <t>ID2759</t>
  </si>
  <si>
    <t>ID2760</t>
  </si>
  <si>
    <t>ID2761</t>
  </si>
  <si>
    <t>ID2762</t>
  </si>
  <si>
    <t>ID2763</t>
  </si>
  <si>
    <t>ID2764</t>
  </si>
  <si>
    <t>ID2765</t>
  </si>
  <si>
    <t>ID2766</t>
  </si>
  <si>
    <t>ID2767</t>
  </si>
  <si>
    <t>ID2768</t>
  </si>
  <si>
    <t>ID2769</t>
  </si>
  <si>
    <t>ID2770</t>
  </si>
  <si>
    <t>ID2771</t>
  </si>
  <si>
    <t>ID2772</t>
  </si>
  <si>
    <t>ID2773</t>
  </si>
  <si>
    <t>ID2774</t>
  </si>
  <si>
    <t>ID2775</t>
  </si>
  <si>
    <t>ID2776</t>
  </si>
  <si>
    <t>ID2777</t>
  </si>
  <si>
    <t>ID2778</t>
  </si>
  <si>
    <t>ID2779</t>
  </si>
  <si>
    <t>ID2780</t>
  </si>
  <si>
    <t>ID2781</t>
  </si>
  <si>
    <t>ID2782</t>
  </si>
  <si>
    <t>ID2783</t>
  </si>
  <si>
    <t>ID2784</t>
  </si>
  <si>
    <t>ID2785</t>
  </si>
  <si>
    <t>ID2786</t>
  </si>
  <si>
    <t>ID2787</t>
  </si>
  <si>
    <t>ID2788</t>
  </si>
  <si>
    <t>ID2789</t>
  </si>
  <si>
    <t>ID2790</t>
  </si>
  <si>
    <t>ID2791</t>
  </si>
  <si>
    <t>ID2792</t>
  </si>
  <si>
    <t>ID2793</t>
  </si>
  <si>
    <t>ID2794</t>
  </si>
  <si>
    <t>ID2795</t>
  </si>
  <si>
    <t>ID2796</t>
  </si>
  <si>
    <t>ID2797</t>
  </si>
  <si>
    <t>ID2798</t>
  </si>
  <si>
    <t>ID2799</t>
  </si>
  <si>
    <t>ID2800</t>
  </si>
  <si>
    <t>ID2801</t>
  </si>
  <si>
    <t>ID2802</t>
  </si>
  <si>
    <t>ID2803</t>
  </si>
  <si>
    <t>ID2804</t>
  </si>
  <si>
    <t>ID2805</t>
  </si>
  <si>
    <t>ID2806</t>
  </si>
  <si>
    <t>ID2807</t>
  </si>
  <si>
    <t>ID2808</t>
  </si>
  <si>
    <t>ID2809</t>
  </si>
  <si>
    <t>ID2810</t>
  </si>
  <si>
    <t>ID2811</t>
  </si>
  <si>
    <t>ID2812</t>
  </si>
  <si>
    <t>ID2813</t>
  </si>
  <si>
    <t>ID2814</t>
  </si>
  <si>
    <t>ID2815</t>
  </si>
  <si>
    <t>ID2816</t>
  </si>
  <si>
    <t>ID2817</t>
  </si>
  <si>
    <t>ID2818</t>
  </si>
  <si>
    <t>ID2819</t>
  </si>
  <si>
    <t>ID2820</t>
  </si>
  <si>
    <t>ID2821</t>
  </si>
  <si>
    <t>ID2822</t>
  </si>
  <si>
    <t>ID2823</t>
  </si>
  <si>
    <t>ID2824</t>
  </si>
  <si>
    <t>ID2825</t>
  </si>
  <si>
    <t>ID2826</t>
  </si>
  <si>
    <t>ID2827</t>
  </si>
  <si>
    <t>ID2828</t>
  </si>
  <si>
    <t>ID2829</t>
  </si>
  <si>
    <t>ID2830</t>
  </si>
  <si>
    <t>ID2831</t>
  </si>
  <si>
    <t>ID2832</t>
  </si>
  <si>
    <t>ID2833</t>
  </si>
  <si>
    <t>ID2834</t>
  </si>
  <si>
    <t>ID2835</t>
  </si>
  <si>
    <t>ID2836</t>
  </si>
  <si>
    <t>ID2837</t>
  </si>
  <si>
    <t>ID2838</t>
  </si>
  <si>
    <t>ID2839</t>
  </si>
  <si>
    <t>ID2840</t>
  </si>
  <si>
    <t>ID2841</t>
  </si>
  <si>
    <t>ID2842</t>
  </si>
  <si>
    <t>ID2843</t>
  </si>
  <si>
    <t>ID2844</t>
  </si>
  <si>
    <t>ID2845</t>
  </si>
  <si>
    <t>ID2846</t>
  </si>
  <si>
    <t>ID2847</t>
  </si>
  <si>
    <t>ID2848</t>
  </si>
  <si>
    <t>ID2849</t>
  </si>
  <si>
    <t>ID2850</t>
  </si>
  <si>
    <t>ID2851</t>
  </si>
  <si>
    <t>ID2852</t>
  </si>
  <si>
    <t>ID2853</t>
  </si>
  <si>
    <t>ID2854</t>
  </si>
  <si>
    <t>ID2855</t>
  </si>
  <si>
    <t>ID2856</t>
  </si>
  <si>
    <t>ID2857</t>
  </si>
  <si>
    <t>ID2858</t>
  </si>
  <si>
    <t>ID2859</t>
  </si>
  <si>
    <t>ID2860</t>
  </si>
  <si>
    <t>ID2861</t>
  </si>
  <si>
    <t>ID2862</t>
  </si>
  <si>
    <t>ID2863</t>
  </si>
  <si>
    <t>ID2864</t>
  </si>
  <si>
    <t>ID2865</t>
  </si>
  <si>
    <t>ID2866</t>
  </si>
  <si>
    <t>ID2867</t>
  </si>
  <si>
    <t>ID2868</t>
  </si>
  <si>
    <t>ID2869</t>
  </si>
  <si>
    <t>ID2870</t>
  </si>
  <si>
    <t>ID2871</t>
  </si>
  <si>
    <t>ID2872</t>
  </si>
  <si>
    <t>ID2873</t>
  </si>
  <si>
    <t>ID2874</t>
  </si>
  <si>
    <t>ID2875</t>
  </si>
  <si>
    <t>ID2876</t>
  </si>
  <si>
    <t>ID2877</t>
  </si>
  <si>
    <t>ID2878</t>
  </si>
  <si>
    <t>ID2879</t>
  </si>
  <si>
    <t>ID2880</t>
  </si>
  <si>
    <t>ID2881</t>
  </si>
  <si>
    <t>ID2882</t>
  </si>
  <si>
    <t>ID2883</t>
  </si>
  <si>
    <t>ID2884</t>
  </si>
  <si>
    <t>ID2885</t>
  </si>
  <si>
    <t>ID2886</t>
  </si>
  <si>
    <t>ID2887</t>
  </si>
  <si>
    <t>ID2888</t>
  </si>
  <si>
    <t>ID2889</t>
  </si>
  <si>
    <t>ID2890</t>
  </si>
  <si>
    <t>ID2891</t>
  </si>
  <si>
    <t>ID2892</t>
  </si>
  <si>
    <t>ID2893</t>
  </si>
  <si>
    <t>ID2894</t>
  </si>
  <si>
    <t>ID2895</t>
  </si>
  <si>
    <t>ID2896</t>
  </si>
  <si>
    <t>ID2897</t>
  </si>
  <si>
    <t>ID2898</t>
  </si>
  <si>
    <t>ID2899</t>
  </si>
  <si>
    <t>ID2900</t>
  </si>
  <si>
    <t>ID2901</t>
  </si>
  <si>
    <t>ID2902</t>
  </si>
  <si>
    <t>ID2903</t>
  </si>
  <si>
    <t>ID2904</t>
  </si>
  <si>
    <t>ID2905</t>
  </si>
  <si>
    <t>ID2906</t>
  </si>
  <si>
    <t>ID2907</t>
  </si>
  <si>
    <t>ID2908</t>
  </si>
  <si>
    <t>ID2909</t>
  </si>
  <si>
    <t>ID2910</t>
  </si>
  <si>
    <t>ID2911</t>
  </si>
  <si>
    <t>ID2912</t>
  </si>
  <si>
    <t>ID2913</t>
  </si>
  <si>
    <t>ID2914</t>
  </si>
  <si>
    <t>ID2915</t>
  </si>
  <si>
    <t>ID2916</t>
  </si>
  <si>
    <t>ID2917</t>
  </si>
  <si>
    <t>ID2918</t>
  </si>
  <si>
    <t>ID2919</t>
  </si>
  <si>
    <t>ID2920</t>
  </si>
  <si>
    <t>ID2921</t>
  </si>
  <si>
    <t>ID2922</t>
  </si>
  <si>
    <t>ID2923</t>
  </si>
  <si>
    <t>ID2924</t>
  </si>
  <si>
    <t>ID2925</t>
  </si>
  <si>
    <t>ID2926</t>
  </si>
  <si>
    <t>ID2927</t>
  </si>
  <si>
    <t>ID2928</t>
  </si>
  <si>
    <t>ID2929</t>
  </si>
  <si>
    <t>ID2930</t>
  </si>
  <si>
    <t>ID2931</t>
  </si>
  <si>
    <t>ID2932</t>
  </si>
  <si>
    <t>ID2933</t>
  </si>
  <si>
    <t>ID2934</t>
  </si>
  <si>
    <t>ID2935</t>
  </si>
  <si>
    <t>ID2936</t>
  </si>
  <si>
    <t>ID2937</t>
  </si>
  <si>
    <t>ID2938</t>
  </si>
  <si>
    <t>ID2939</t>
  </si>
  <si>
    <t>ID2940</t>
  </si>
  <si>
    <t>ID2941</t>
  </si>
  <si>
    <t>ID2942</t>
  </si>
  <si>
    <t>ID2943</t>
  </si>
  <si>
    <t>ID2944</t>
  </si>
  <si>
    <t>ID2945</t>
  </si>
  <si>
    <t>ID2946</t>
  </si>
  <si>
    <t>ID2947</t>
  </si>
  <si>
    <t>ID2948</t>
  </si>
  <si>
    <t>ID2949</t>
  </si>
  <si>
    <t>ID2950</t>
  </si>
  <si>
    <t>ID2951</t>
  </si>
  <si>
    <t>ID2952</t>
  </si>
  <si>
    <t>ID2953</t>
  </si>
  <si>
    <t>ID2954</t>
  </si>
  <si>
    <t>ID2955</t>
  </si>
  <si>
    <t>ID2956</t>
  </si>
  <si>
    <t>ID2957</t>
  </si>
  <si>
    <t>ID2958</t>
  </si>
  <si>
    <t>ID2959</t>
  </si>
  <si>
    <t>ID2960</t>
  </si>
  <si>
    <t>ID2961</t>
  </si>
  <si>
    <t>ID2962</t>
  </si>
  <si>
    <t>ID2963</t>
  </si>
  <si>
    <t>ID2964</t>
  </si>
  <si>
    <t>ID2965</t>
  </si>
  <si>
    <t>ID2966</t>
  </si>
  <si>
    <t>ID2967</t>
  </si>
  <si>
    <t>ID2968</t>
  </si>
  <si>
    <t>ID2969</t>
  </si>
  <si>
    <t>ID2970</t>
  </si>
  <si>
    <t>ID2971</t>
  </si>
  <si>
    <t>ID2972</t>
  </si>
  <si>
    <t>ID2973</t>
  </si>
  <si>
    <t>ID2974</t>
  </si>
  <si>
    <t>ID2975</t>
  </si>
  <si>
    <t>ID2976</t>
  </si>
  <si>
    <t>ID2977</t>
  </si>
  <si>
    <t>ID2978</t>
  </si>
  <si>
    <t>ID2979</t>
  </si>
  <si>
    <t>ID2980</t>
  </si>
  <si>
    <t>ID2981</t>
  </si>
  <si>
    <t>ID2982</t>
  </si>
  <si>
    <t>ID2983</t>
  </si>
  <si>
    <t>ID2984</t>
  </si>
  <si>
    <t>ID2985</t>
  </si>
  <si>
    <t>ID2986</t>
  </si>
  <si>
    <t>ID2987</t>
  </si>
  <si>
    <t>ID2988</t>
  </si>
  <si>
    <t>ID2989</t>
  </si>
  <si>
    <t>ID2990</t>
  </si>
  <si>
    <t>ID2991</t>
  </si>
  <si>
    <t>ID2992</t>
  </si>
  <si>
    <t>ID2993</t>
  </si>
  <si>
    <t>ID2994</t>
  </si>
  <si>
    <t>ID2995</t>
  </si>
  <si>
    <t>ID2996</t>
  </si>
  <si>
    <t>ID2997</t>
  </si>
  <si>
    <t>ID2998</t>
  </si>
  <si>
    <t>ID2999</t>
  </si>
  <si>
    <t>ID3000</t>
  </si>
  <si>
    <t>ID3001</t>
  </si>
  <si>
    <t>ID3002</t>
  </si>
  <si>
    <t>ID3003</t>
  </si>
  <si>
    <t>ID3004</t>
  </si>
  <si>
    <t>ID3005</t>
  </si>
  <si>
    <t>ID3006</t>
  </si>
  <si>
    <t>ID3007</t>
  </si>
  <si>
    <t>ID3008</t>
  </si>
  <si>
    <t>ID3009</t>
  </si>
  <si>
    <t>ID3010</t>
  </si>
  <si>
    <t>ID3011</t>
  </si>
  <si>
    <t>ID3012</t>
  </si>
  <si>
    <t>ID3013</t>
  </si>
  <si>
    <t>ID3014</t>
  </si>
  <si>
    <t>ID3015</t>
  </si>
  <si>
    <t>ID3016</t>
  </si>
  <si>
    <t>ID3017</t>
  </si>
  <si>
    <t>ID3018</t>
  </si>
  <si>
    <t>ID3019</t>
  </si>
  <si>
    <t>ID3020</t>
  </si>
  <si>
    <t>ID3021</t>
  </si>
  <si>
    <t>ID3022</t>
  </si>
  <si>
    <t>ID3023</t>
  </si>
  <si>
    <t>ID3024</t>
  </si>
  <si>
    <t>ID3025</t>
  </si>
  <si>
    <t>ID3026</t>
  </si>
  <si>
    <t>ID3027</t>
  </si>
  <si>
    <t>ID3028</t>
  </si>
  <si>
    <t>ID3029</t>
  </si>
  <si>
    <t>ID3030</t>
  </si>
  <si>
    <t>ID3031</t>
  </si>
  <si>
    <t>ID3032</t>
  </si>
  <si>
    <t>ID3033</t>
  </si>
  <si>
    <t>ID3034</t>
  </si>
  <si>
    <t>ID3035</t>
  </si>
  <si>
    <t>ID3036</t>
  </si>
  <si>
    <t>ID3037</t>
  </si>
  <si>
    <t>ID3038</t>
  </si>
  <si>
    <t>ID3039</t>
  </si>
  <si>
    <t>ID3040</t>
  </si>
  <si>
    <t>ID3041</t>
  </si>
  <si>
    <t>ID3042</t>
  </si>
  <si>
    <t>ID3043</t>
  </si>
  <si>
    <t>ID3044</t>
  </si>
  <si>
    <t>ID3045</t>
  </si>
  <si>
    <t>ID3046</t>
  </si>
  <si>
    <t>ID3047</t>
  </si>
  <si>
    <t>ID3048</t>
  </si>
  <si>
    <t>ID3049</t>
  </si>
  <si>
    <t>ID3050</t>
  </si>
  <si>
    <t>ID3051</t>
  </si>
  <si>
    <t>ID3052</t>
  </si>
  <si>
    <t>ID3053</t>
  </si>
  <si>
    <t>ID3054</t>
  </si>
  <si>
    <t>ID3055</t>
  </si>
  <si>
    <t>ID3056</t>
  </si>
  <si>
    <t>ID3057</t>
  </si>
  <si>
    <t>ID3058</t>
  </si>
  <si>
    <t>ID3059</t>
  </si>
  <si>
    <t>ID3060</t>
  </si>
  <si>
    <t>ID3061</t>
  </si>
  <si>
    <t>ID3062</t>
  </si>
  <si>
    <t>ID3063</t>
  </si>
  <si>
    <t>ID3064</t>
  </si>
  <si>
    <t>ID3065</t>
  </si>
  <si>
    <t>ID3066</t>
  </si>
  <si>
    <t>ID3067</t>
  </si>
  <si>
    <t>ID3068</t>
  </si>
  <si>
    <t>ID3069</t>
  </si>
  <si>
    <t>ID3070</t>
  </si>
  <si>
    <t>ID3071</t>
  </si>
  <si>
    <t>ID3072</t>
  </si>
  <si>
    <t>ID3073</t>
  </si>
  <si>
    <t>ID3074</t>
  </si>
  <si>
    <t>ID3075</t>
  </si>
  <si>
    <t>ID3076</t>
  </si>
  <si>
    <t>ID3077</t>
  </si>
  <si>
    <t>ID3078</t>
  </si>
  <si>
    <t>ID3079</t>
  </si>
  <si>
    <t>ID3080</t>
  </si>
  <si>
    <t>ID3081</t>
  </si>
  <si>
    <t>ID3082</t>
  </si>
  <si>
    <t>ID3083</t>
  </si>
  <si>
    <t>ID3084</t>
  </si>
  <si>
    <t>ID3085</t>
  </si>
  <si>
    <t>ID3086</t>
  </si>
  <si>
    <t>ID3087</t>
  </si>
  <si>
    <t>ID3088</t>
  </si>
  <si>
    <t>ID3089</t>
  </si>
  <si>
    <t>ID3090</t>
  </si>
  <si>
    <t>ID3091</t>
  </si>
  <si>
    <t>ID3092</t>
  </si>
  <si>
    <t>ID3093</t>
  </si>
  <si>
    <t>ID3094</t>
  </si>
  <si>
    <t>ID3095</t>
  </si>
  <si>
    <t>ID3096</t>
  </si>
  <si>
    <t>ID3097</t>
  </si>
  <si>
    <t>ID3098</t>
  </si>
  <si>
    <t>ID3099</t>
  </si>
  <si>
    <t>ID3100</t>
  </si>
  <si>
    <t>ID3101</t>
  </si>
  <si>
    <t>ID3102</t>
  </si>
  <si>
    <t>ID3103</t>
  </si>
  <si>
    <t>ID3104</t>
  </si>
  <si>
    <t>ID3105</t>
  </si>
  <si>
    <t>ID3106</t>
  </si>
  <si>
    <t>ID3107</t>
  </si>
  <si>
    <t>ID3108</t>
  </si>
  <si>
    <t>ID3109</t>
  </si>
  <si>
    <t>ID3110</t>
  </si>
  <si>
    <t>ID3111</t>
  </si>
  <si>
    <t>ID3112</t>
  </si>
  <si>
    <t>ID3113</t>
  </si>
  <si>
    <t>ID3114</t>
  </si>
  <si>
    <t>ID3115</t>
  </si>
  <si>
    <t>ID3116</t>
  </si>
  <si>
    <t>ID3117</t>
  </si>
  <si>
    <t>ID3118</t>
  </si>
  <si>
    <t>ID3119</t>
  </si>
  <si>
    <t>ID3120</t>
  </si>
  <si>
    <t>ID3121</t>
  </si>
  <si>
    <t>ID3122</t>
  </si>
  <si>
    <t>ID3123</t>
  </si>
  <si>
    <t>ID3124</t>
  </si>
  <si>
    <t>ID3125</t>
  </si>
  <si>
    <t>ID3126</t>
  </si>
  <si>
    <t>ID3127</t>
  </si>
  <si>
    <t>ID3128</t>
  </si>
  <si>
    <t>ID3129</t>
  </si>
  <si>
    <t>ID3130</t>
  </si>
  <si>
    <t>ID3131</t>
  </si>
  <si>
    <t>ID3132</t>
  </si>
  <si>
    <t>ID3133</t>
  </si>
  <si>
    <t>ID3134</t>
  </si>
  <si>
    <t>ID3135</t>
  </si>
  <si>
    <t>ID3136</t>
  </si>
  <si>
    <t>ID3137</t>
  </si>
  <si>
    <t>ID3138</t>
  </si>
  <si>
    <t>ID3139</t>
  </si>
  <si>
    <t>ID3140</t>
  </si>
  <si>
    <t>ID3141</t>
  </si>
  <si>
    <t>ID3142</t>
  </si>
  <si>
    <t>ID3143</t>
  </si>
  <si>
    <t>ID3144</t>
  </si>
  <si>
    <t>ID3145</t>
  </si>
  <si>
    <t>ID3146</t>
  </si>
  <si>
    <t>ID3147</t>
  </si>
  <si>
    <t>ID3148</t>
  </si>
  <si>
    <t>ID3149</t>
  </si>
  <si>
    <t>ID3150</t>
  </si>
  <si>
    <t>ID3151</t>
  </si>
  <si>
    <t>ID3152</t>
  </si>
  <si>
    <t>ID3153</t>
  </si>
  <si>
    <t>ID3154</t>
  </si>
  <si>
    <t>ID3155</t>
  </si>
  <si>
    <t>ID3156</t>
  </si>
  <si>
    <t>ID3157</t>
  </si>
  <si>
    <t>ID3158</t>
  </si>
  <si>
    <t>ID3159</t>
  </si>
  <si>
    <t>ID3160</t>
  </si>
  <si>
    <t>ID3161</t>
  </si>
  <si>
    <t>ID3162</t>
  </si>
  <si>
    <t>ID3163</t>
  </si>
  <si>
    <t>ID3164</t>
  </si>
  <si>
    <t>ID3165</t>
  </si>
  <si>
    <t>ID3166</t>
  </si>
  <si>
    <t>ID3167</t>
  </si>
  <si>
    <t>ID3168</t>
  </si>
  <si>
    <t>ID3169</t>
  </si>
  <si>
    <t>ID3170</t>
  </si>
  <si>
    <t>ID3171</t>
  </si>
  <si>
    <t>ID3172</t>
  </si>
  <si>
    <t>ID3173</t>
  </si>
  <si>
    <t>ID3174</t>
  </si>
  <si>
    <t>ID3175</t>
  </si>
  <si>
    <t>ID3176</t>
  </si>
  <si>
    <t>ID3177</t>
  </si>
  <si>
    <t>ID3178</t>
  </si>
  <si>
    <t>ID3179</t>
  </si>
  <si>
    <t>ID3180</t>
  </si>
  <si>
    <t>ID3181</t>
  </si>
  <si>
    <t>ID3182</t>
  </si>
  <si>
    <t>ID3183</t>
  </si>
  <si>
    <t>ID3184</t>
  </si>
  <si>
    <t>ID3185</t>
  </si>
  <si>
    <t>ID3186</t>
  </si>
  <si>
    <t>ID3187</t>
  </si>
  <si>
    <t>ID3188</t>
  </si>
  <si>
    <t>ID3189</t>
  </si>
  <si>
    <t>ID3190</t>
  </si>
  <si>
    <t>ID3191</t>
  </si>
  <si>
    <t>ID3192</t>
  </si>
  <si>
    <t>ID3193</t>
  </si>
  <si>
    <t>ID3194</t>
  </si>
  <si>
    <t>ID3195</t>
  </si>
  <si>
    <t>ID3196</t>
  </si>
  <si>
    <t>ID3197</t>
  </si>
  <si>
    <t>ID3198</t>
  </si>
  <si>
    <t>ID3199</t>
  </si>
  <si>
    <t>ID3200</t>
  </si>
  <si>
    <t>ID3201</t>
  </si>
  <si>
    <t>ID3202</t>
  </si>
  <si>
    <t>ID3203</t>
  </si>
  <si>
    <t>ID3204</t>
  </si>
  <si>
    <t>ID3205</t>
  </si>
  <si>
    <t>ID3206</t>
  </si>
  <si>
    <t>ID3207</t>
  </si>
  <si>
    <t>ID3208</t>
  </si>
  <si>
    <t>ID3209</t>
  </si>
  <si>
    <t>ID3210</t>
  </si>
  <si>
    <t>ID3211</t>
  </si>
  <si>
    <t>ID3212</t>
  </si>
  <si>
    <t>ID3213</t>
  </si>
  <si>
    <t>ID3214</t>
  </si>
  <si>
    <t>ID3215</t>
  </si>
  <si>
    <t>ID3216</t>
  </si>
  <si>
    <t>ID3217</t>
  </si>
  <si>
    <t>ID3218</t>
  </si>
  <si>
    <t>ID3219</t>
  </si>
  <si>
    <t>ID3220</t>
  </si>
  <si>
    <t>ID3221</t>
  </si>
  <si>
    <t>ID3222</t>
  </si>
  <si>
    <t>ID3223</t>
  </si>
  <si>
    <t>ID3224</t>
  </si>
  <si>
    <t>ID3225</t>
  </si>
  <si>
    <t>ID3226</t>
  </si>
  <si>
    <t>ID3227</t>
  </si>
  <si>
    <t>ID3228</t>
  </si>
  <si>
    <t>ID3229</t>
  </si>
  <si>
    <t>ID3230</t>
  </si>
  <si>
    <t>ID3231</t>
  </si>
  <si>
    <t>ID3232</t>
  </si>
  <si>
    <t>ID3233</t>
  </si>
  <si>
    <t>ID3234</t>
  </si>
  <si>
    <t>ID3235</t>
  </si>
  <si>
    <t>ID3236</t>
  </si>
  <si>
    <t>ID3237</t>
  </si>
  <si>
    <t>ID3238</t>
  </si>
  <si>
    <t>ID3239</t>
  </si>
  <si>
    <t>ID3240</t>
  </si>
  <si>
    <t>ID3241</t>
  </si>
  <si>
    <t>ID3242</t>
  </si>
  <si>
    <t>ID3243</t>
  </si>
  <si>
    <t>ID3244</t>
  </si>
  <si>
    <t>ID3245</t>
  </si>
  <si>
    <t>ID3246</t>
  </si>
  <si>
    <t>ID3247</t>
  </si>
  <si>
    <t>ID3248</t>
  </si>
  <si>
    <t>ID3249</t>
  </si>
  <si>
    <t>ID3250</t>
  </si>
  <si>
    <t>ID3251</t>
  </si>
  <si>
    <t>ID3252</t>
  </si>
  <si>
    <t>ID3253</t>
  </si>
  <si>
    <t>ID3254</t>
  </si>
  <si>
    <t>ID3255</t>
  </si>
  <si>
    <t>ID3256</t>
  </si>
  <si>
    <t>ID3257</t>
  </si>
  <si>
    <t>ID3258</t>
  </si>
  <si>
    <t>ID3259</t>
  </si>
  <si>
    <t>ID3260</t>
  </si>
  <si>
    <t>ID3261</t>
  </si>
  <si>
    <t>ID3262</t>
  </si>
  <si>
    <t>ID3263</t>
  </si>
  <si>
    <t>ID3264</t>
  </si>
  <si>
    <t>ID3265</t>
  </si>
  <si>
    <t>ID3266</t>
  </si>
  <si>
    <t>ID3267</t>
  </si>
  <si>
    <t>ID3268</t>
  </si>
  <si>
    <t>ID3269</t>
  </si>
  <si>
    <t>ID3270</t>
  </si>
  <si>
    <t>ID3271</t>
  </si>
  <si>
    <t>ID3272</t>
  </si>
  <si>
    <t>ID3273</t>
  </si>
  <si>
    <t>ID3274</t>
  </si>
  <si>
    <t>ID3275</t>
  </si>
  <si>
    <t>ID3276</t>
  </si>
  <si>
    <t>ID3277</t>
  </si>
  <si>
    <t>ID3278</t>
  </si>
  <si>
    <t>ID3279</t>
  </si>
  <si>
    <t>ID3280</t>
  </si>
  <si>
    <t>ID3281</t>
  </si>
  <si>
    <t>ID3282</t>
  </si>
  <si>
    <t>ID3283</t>
  </si>
  <si>
    <t>ID3284</t>
  </si>
  <si>
    <t>ID3285</t>
  </si>
  <si>
    <t>ID3286</t>
  </si>
  <si>
    <t>ID3287</t>
  </si>
  <si>
    <t>ID3288</t>
  </si>
  <si>
    <t>ID3289</t>
  </si>
  <si>
    <t>ID3290</t>
  </si>
  <si>
    <t>ID3291</t>
  </si>
  <si>
    <t>ID3292</t>
  </si>
  <si>
    <t>ID3293</t>
  </si>
  <si>
    <t>ID3294</t>
  </si>
  <si>
    <t>ID3295</t>
  </si>
  <si>
    <t>ID3296</t>
  </si>
  <si>
    <t>ID3297</t>
  </si>
  <si>
    <t>ID3298</t>
  </si>
  <si>
    <t>ID3299</t>
  </si>
  <si>
    <t>ID3300</t>
  </si>
  <si>
    <t>ID3301</t>
  </si>
  <si>
    <t>ID3302</t>
  </si>
  <si>
    <t>ID3303</t>
  </si>
  <si>
    <t>ID3304</t>
  </si>
  <si>
    <t>ID3305</t>
  </si>
  <si>
    <t>ID3306</t>
  </si>
  <si>
    <t>ID3307</t>
  </si>
  <si>
    <t>ID3308</t>
  </si>
  <si>
    <t>ID3309</t>
  </si>
  <si>
    <t>ID3310</t>
  </si>
  <si>
    <t>ID3311</t>
  </si>
  <si>
    <t>ID3312</t>
  </si>
  <si>
    <t>ID3313</t>
  </si>
  <si>
    <t>ID3314</t>
  </si>
  <si>
    <t>ID3315</t>
  </si>
  <si>
    <t>ID3316</t>
  </si>
  <si>
    <t>ID3317</t>
  </si>
  <si>
    <t>ID3318</t>
  </si>
  <si>
    <t>ID3319</t>
  </si>
  <si>
    <t>ID3320</t>
  </si>
  <si>
    <t>ID3321</t>
  </si>
  <si>
    <t>ID3322</t>
  </si>
  <si>
    <t>ID3323</t>
  </si>
  <si>
    <t>ID3324</t>
  </si>
  <si>
    <t>ID3325</t>
  </si>
  <si>
    <t>ID3326</t>
  </si>
  <si>
    <t>ID3327</t>
  </si>
  <si>
    <t>ID3328</t>
  </si>
  <si>
    <t>ID3329</t>
  </si>
  <si>
    <t>ID3330</t>
  </si>
  <si>
    <t>ID3331</t>
  </si>
  <si>
    <t>ID3332</t>
  </si>
  <si>
    <t>ID3333</t>
  </si>
  <si>
    <t>ID3334</t>
  </si>
  <si>
    <t>ID3335</t>
  </si>
  <si>
    <t>ID3336</t>
  </si>
  <si>
    <t>ID3337</t>
  </si>
  <si>
    <t>ID3338</t>
  </si>
  <si>
    <t>ID3339</t>
  </si>
  <si>
    <t>ID3340</t>
  </si>
  <si>
    <t>ID3341</t>
  </si>
  <si>
    <t>ID3342</t>
  </si>
  <si>
    <t>ID3343</t>
  </si>
  <si>
    <t>ID3344</t>
  </si>
  <si>
    <t>ID3345</t>
  </si>
  <si>
    <t>ID3346</t>
  </si>
  <si>
    <t>ID3347</t>
  </si>
  <si>
    <t>ID3348</t>
  </si>
  <si>
    <t>ID3349</t>
  </si>
  <si>
    <t>ID3350</t>
  </si>
  <si>
    <t>ID3351</t>
  </si>
  <si>
    <t>ID3352</t>
  </si>
  <si>
    <t>ID3353</t>
  </si>
  <si>
    <t>ID3354</t>
  </si>
  <si>
    <t>ID3355</t>
  </si>
  <si>
    <t>ID3356</t>
  </si>
  <si>
    <t>ID3357</t>
  </si>
  <si>
    <t>ID3358</t>
  </si>
  <si>
    <t>ID3359</t>
  </si>
  <si>
    <t>ID3360</t>
  </si>
  <si>
    <t>ID3361</t>
  </si>
  <si>
    <t>ID3362</t>
  </si>
  <si>
    <t>ID3363</t>
  </si>
  <si>
    <t>ID3364</t>
  </si>
  <si>
    <t>ID3365</t>
  </si>
  <si>
    <t>ID3366</t>
  </si>
  <si>
    <t>ID3367</t>
  </si>
  <si>
    <t>ID3368</t>
  </si>
  <si>
    <t>ID3369</t>
  </si>
  <si>
    <t>ID3370</t>
  </si>
  <si>
    <t>ID3371</t>
  </si>
  <si>
    <t>ID3372</t>
  </si>
  <si>
    <t>ID3373</t>
  </si>
  <si>
    <t>ID3374</t>
  </si>
  <si>
    <t>ID3375</t>
  </si>
  <si>
    <t>ID3376</t>
  </si>
  <si>
    <t>ID3377</t>
  </si>
  <si>
    <t>ID3378</t>
  </si>
  <si>
    <t>ID3379</t>
  </si>
  <si>
    <t>ID3380</t>
  </si>
  <si>
    <t>ID3381</t>
  </si>
  <si>
    <t>ID3382</t>
  </si>
  <si>
    <t>ID3383</t>
  </si>
  <si>
    <t>ID3384</t>
  </si>
  <si>
    <t>ID3385</t>
  </si>
  <si>
    <t>ID3386</t>
  </si>
  <si>
    <t>ID3387</t>
  </si>
  <si>
    <t>ID3388</t>
  </si>
  <si>
    <t>ID3389</t>
  </si>
  <si>
    <t>ID3390</t>
  </si>
  <si>
    <t>ID3391</t>
  </si>
  <si>
    <t>ID3392</t>
  </si>
  <si>
    <t>ID3393</t>
  </si>
  <si>
    <t>ID3394</t>
  </si>
  <si>
    <t>ID3395</t>
  </si>
  <si>
    <t>ID3396</t>
  </si>
  <si>
    <t>ID3397</t>
  </si>
  <si>
    <t>ID3398</t>
  </si>
  <si>
    <t>ID3399</t>
  </si>
  <si>
    <t>ID3400</t>
  </si>
  <si>
    <t>ID3401</t>
  </si>
  <si>
    <t>ID3402</t>
  </si>
  <si>
    <t>ID3403</t>
  </si>
  <si>
    <t>ID3404</t>
  </si>
  <si>
    <t>ID3405</t>
  </si>
  <si>
    <t>ID3406</t>
  </si>
  <si>
    <t>ID3407</t>
  </si>
  <si>
    <t>ID3408</t>
  </si>
  <si>
    <t>ID3409</t>
  </si>
  <si>
    <t>ID3410</t>
  </si>
  <si>
    <t>ID3411</t>
  </si>
  <si>
    <t>ID3412</t>
  </si>
  <si>
    <t>ID3413</t>
  </si>
  <si>
    <t>ID3414</t>
  </si>
  <si>
    <t>ID3415</t>
  </si>
  <si>
    <t>ID3416</t>
  </si>
  <si>
    <t>ID3417</t>
  </si>
  <si>
    <t>ID3418</t>
  </si>
  <si>
    <t>ID3419</t>
  </si>
  <si>
    <t>ID3420</t>
  </si>
  <si>
    <t>ID3421</t>
  </si>
  <si>
    <t>ID3422</t>
  </si>
  <si>
    <t>ID3423</t>
  </si>
  <si>
    <t>ID3424</t>
  </si>
  <si>
    <t>ID3425</t>
  </si>
  <si>
    <t>ID3426</t>
  </si>
  <si>
    <t>ID3427</t>
  </si>
  <si>
    <t>ID3428</t>
  </si>
  <si>
    <t>ID3429</t>
  </si>
  <si>
    <t>ID3430</t>
  </si>
  <si>
    <t>ID3431</t>
  </si>
  <si>
    <t>ID3432</t>
  </si>
  <si>
    <t>ID3433</t>
  </si>
  <si>
    <t>ID3434</t>
  </si>
  <si>
    <t>ID3435</t>
  </si>
  <si>
    <t>ID3436</t>
  </si>
  <si>
    <t>ID3437</t>
  </si>
  <si>
    <t>ID3438</t>
  </si>
  <si>
    <t>ID3439</t>
  </si>
  <si>
    <t>ID3440</t>
  </si>
  <si>
    <t>ID3441</t>
  </si>
  <si>
    <t>ID3442</t>
  </si>
  <si>
    <t>ID3443</t>
  </si>
  <si>
    <t>ID3444</t>
  </si>
  <si>
    <t>ID3445</t>
  </si>
  <si>
    <t>ID3446</t>
  </si>
  <si>
    <t>ID3447</t>
  </si>
  <si>
    <t>ID3448</t>
  </si>
  <si>
    <t>ID3449</t>
  </si>
  <si>
    <t>ID3450</t>
  </si>
  <si>
    <t>ID3451</t>
  </si>
  <si>
    <t>ID3452</t>
  </si>
  <si>
    <t>ID3453</t>
  </si>
  <si>
    <t>ID3454</t>
  </si>
  <si>
    <t>ID3455</t>
  </si>
  <si>
    <t>ID3456</t>
  </si>
  <si>
    <t>ID3457</t>
  </si>
  <si>
    <t>ID3458</t>
  </si>
  <si>
    <t>ID3459</t>
  </si>
  <si>
    <t>ID3460</t>
  </si>
  <si>
    <t>ID3461</t>
  </si>
  <si>
    <t>ID3462</t>
  </si>
  <si>
    <t>ID3463</t>
  </si>
  <si>
    <t>ID3464</t>
  </si>
  <si>
    <t>ID3465</t>
  </si>
  <si>
    <t>ID3466</t>
  </si>
  <si>
    <t>ID3467</t>
  </si>
  <si>
    <t>ID3468</t>
  </si>
  <si>
    <t>ID3469</t>
  </si>
  <si>
    <t>ID3470</t>
  </si>
  <si>
    <t>ID3471</t>
  </si>
  <si>
    <t>ID3472</t>
  </si>
  <si>
    <t>ID3473</t>
  </si>
  <si>
    <t>ID3474</t>
  </si>
  <si>
    <t>ID3475</t>
  </si>
  <si>
    <t>ID3476</t>
  </si>
  <si>
    <t>ID3477</t>
  </si>
  <si>
    <t>ID3478</t>
  </si>
  <si>
    <t>ID3479</t>
  </si>
  <si>
    <t>ID3480</t>
  </si>
  <si>
    <t>ID3481</t>
  </si>
  <si>
    <t>ID3482</t>
  </si>
  <si>
    <t>ID3483</t>
  </si>
  <si>
    <t>ID3484</t>
  </si>
  <si>
    <t>ID3485</t>
  </si>
  <si>
    <t>ID3486</t>
  </si>
  <si>
    <t>ID3487</t>
  </si>
  <si>
    <t>ID3488</t>
  </si>
  <si>
    <t>ID3489</t>
  </si>
  <si>
    <t>ID3490</t>
  </si>
  <si>
    <t>ID3491</t>
  </si>
  <si>
    <t>ID3492</t>
  </si>
  <si>
    <t>ID3493</t>
  </si>
  <si>
    <t>ID3494</t>
  </si>
  <si>
    <t>ID3495</t>
  </si>
  <si>
    <t>ID3496</t>
  </si>
  <si>
    <t>ID3497</t>
  </si>
  <si>
    <t>ID3498</t>
  </si>
  <si>
    <t>ID3499</t>
  </si>
  <si>
    <t>ID3500</t>
  </si>
  <si>
    <t>ID3501</t>
  </si>
  <si>
    <t>ID3502</t>
  </si>
  <si>
    <t>ID3503</t>
  </si>
  <si>
    <t>ID3504</t>
  </si>
  <si>
    <t>ID3505</t>
  </si>
  <si>
    <t>ID3506</t>
  </si>
  <si>
    <t>ID3507</t>
  </si>
  <si>
    <t>ID3508</t>
  </si>
  <si>
    <t>ID3509</t>
  </si>
  <si>
    <t>ID3510</t>
  </si>
  <si>
    <t>ID3511</t>
  </si>
  <si>
    <t>ID3512</t>
  </si>
  <si>
    <t>ID3513</t>
  </si>
  <si>
    <t>ID3514</t>
  </si>
  <si>
    <t>ID3515</t>
  </si>
  <si>
    <t>ID3516</t>
  </si>
  <si>
    <t>ID3517</t>
  </si>
  <si>
    <t>ID3518</t>
  </si>
  <si>
    <t>ID3519</t>
  </si>
  <si>
    <t>ID3520</t>
  </si>
  <si>
    <t>ID3521</t>
  </si>
  <si>
    <t>ID3522</t>
  </si>
  <si>
    <t>ID3523</t>
  </si>
  <si>
    <t>ID3524</t>
  </si>
  <si>
    <t>ID3525</t>
  </si>
  <si>
    <t>ID3526</t>
  </si>
  <si>
    <t>ID3527</t>
  </si>
  <si>
    <t>ID3528</t>
  </si>
  <si>
    <t>ID3529</t>
  </si>
  <si>
    <t>ID3530</t>
  </si>
  <si>
    <t>ID3531</t>
  </si>
  <si>
    <t>ID3532</t>
  </si>
  <si>
    <t>ID3533</t>
  </si>
  <si>
    <t>ID3534</t>
  </si>
  <si>
    <t>ID3535</t>
  </si>
  <si>
    <t>ID3536</t>
  </si>
  <si>
    <t>ID3537</t>
  </si>
  <si>
    <t>ID3538</t>
  </si>
  <si>
    <t>ID3539</t>
  </si>
  <si>
    <t>ID3540</t>
  </si>
  <si>
    <t>ID3541</t>
  </si>
  <si>
    <t>ID3542</t>
  </si>
  <si>
    <t>ID3543</t>
  </si>
  <si>
    <t>ID3544</t>
  </si>
  <si>
    <t>ID3545</t>
  </si>
  <si>
    <t>ID3546</t>
  </si>
  <si>
    <t>ID3547</t>
  </si>
  <si>
    <t>ID3548</t>
  </si>
  <si>
    <t>ID3549</t>
  </si>
  <si>
    <t>ID3550</t>
  </si>
  <si>
    <t>ID3551</t>
  </si>
  <si>
    <t>ID3552</t>
  </si>
  <si>
    <t>ID3553</t>
  </si>
  <si>
    <t>ID3554</t>
  </si>
  <si>
    <t>ID3555</t>
  </si>
  <si>
    <t>ID3556</t>
  </si>
  <si>
    <t>ID3557</t>
  </si>
  <si>
    <t>ID3558</t>
  </si>
  <si>
    <t>ID3559</t>
  </si>
  <si>
    <t>ID3560</t>
  </si>
  <si>
    <t>ID3561</t>
  </si>
  <si>
    <t>ID3562</t>
  </si>
  <si>
    <t>ID3563</t>
  </si>
  <si>
    <t>ID3564</t>
  </si>
  <si>
    <t>ID3565</t>
  </si>
  <si>
    <t>ID3566</t>
  </si>
  <si>
    <t>ID3567</t>
  </si>
  <si>
    <t>ID3568</t>
  </si>
  <si>
    <t>ID3569</t>
  </si>
  <si>
    <t>ID3570</t>
  </si>
  <si>
    <t>ID3571</t>
  </si>
  <si>
    <t>ID3572</t>
  </si>
  <si>
    <t>ID3573</t>
  </si>
  <si>
    <t>ID3574</t>
  </si>
  <si>
    <t>ID3575</t>
  </si>
  <si>
    <t>ID3576</t>
  </si>
  <si>
    <t>ID3577</t>
  </si>
  <si>
    <t>ID3578</t>
  </si>
  <si>
    <t>ID3579</t>
  </si>
  <si>
    <t>ID3580</t>
  </si>
  <si>
    <t>ID3581</t>
  </si>
  <si>
    <t>ID3582</t>
  </si>
  <si>
    <t>ID3583</t>
  </si>
  <si>
    <t>ID3584</t>
  </si>
  <si>
    <t>ID3585</t>
  </si>
  <si>
    <t>ID3586</t>
  </si>
  <si>
    <t>ID3587</t>
  </si>
  <si>
    <t>ID3588</t>
  </si>
  <si>
    <t>ID3589</t>
  </si>
  <si>
    <t>ID3590</t>
  </si>
  <si>
    <t>ID3591</t>
  </si>
  <si>
    <t>ID3592</t>
  </si>
  <si>
    <t>ID3593</t>
  </si>
  <si>
    <t>ID3594</t>
  </si>
  <si>
    <t>ID3595</t>
  </si>
  <si>
    <t>ID3596</t>
  </si>
  <si>
    <t>ID3597</t>
  </si>
  <si>
    <t>ID3598</t>
  </si>
  <si>
    <t>ID3599</t>
  </si>
  <si>
    <t>ID3600</t>
  </si>
  <si>
    <t>ID3601</t>
  </si>
  <si>
    <t>ID3602</t>
  </si>
  <si>
    <t>ID3603</t>
  </si>
  <si>
    <t>ID3604</t>
  </si>
  <si>
    <t>ID3605</t>
  </si>
  <si>
    <t>ID3606</t>
  </si>
  <si>
    <t>ID3607</t>
  </si>
  <si>
    <t>ID3608</t>
  </si>
  <si>
    <t>ID3609</t>
  </si>
  <si>
    <t>ID3610</t>
  </si>
  <si>
    <t>ID3611</t>
  </si>
  <si>
    <t>ID3612</t>
  </si>
  <si>
    <t>ID3613</t>
  </si>
  <si>
    <t>ID3614</t>
  </si>
  <si>
    <t>ID3615</t>
  </si>
  <si>
    <t>ID3616</t>
  </si>
  <si>
    <t>ID3617</t>
  </si>
  <si>
    <t>ID3618</t>
  </si>
  <si>
    <t>ID3619</t>
  </si>
  <si>
    <t>ID3620</t>
  </si>
  <si>
    <t>ID3621</t>
  </si>
  <si>
    <t>ID3622</t>
  </si>
  <si>
    <t>ID3623</t>
  </si>
  <si>
    <t>ID3624</t>
  </si>
  <si>
    <t>ID3625</t>
  </si>
  <si>
    <t>ID3626</t>
  </si>
  <si>
    <t>ID3627</t>
  </si>
  <si>
    <t>ID3628</t>
  </si>
  <si>
    <t>ID3629</t>
  </si>
  <si>
    <t>ID3630</t>
  </si>
  <si>
    <t>ID3631</t>
  </si>
  <si>
    <t>ID3632</t>
  </si>
  <si>
    <t>ID3633</t>
  </si>
  <si>
    <t>ID3634</t>
  </si>
  <si>
    <t>ID3635</t>
  </si>
  <si>
    <t>ID3636</t>
  </si>
  <si>
    <t>ID3637</t>
  </si>
  <si>
    <t>ID3638</t>
  </si>
  <si>
    <t>ID3639</t>
  </si>
  <si>
    <t>ID3640</t>
  </si>
  <si>
    <t>ID3641</t>
  </si>
  <si>
    <t>ID3642</t>
  </si>
  <si>
    <t>ID3643</t>
  </si>
  <si>
    <t>ID3644</t>
  </si>
  <si>
    <t>ID3645</t>
  </si>
  <si>
    <t>ID3646</t>
  </si>
  <si>
    <t>ID3647</t>
  </si>
  <si>
    <t>ID3648</t>
  </si>
  <si>
    <t>ID3649</t>
  </si>
  <si>
    <t>ID3650</t>
  </si>
  <si>
    <t>ID3651</t>
  </si>
  <si>
    <t>ID3652</t>
  </si>
  <si>
    <t>ID3653</t>
  </si>
  <si>
    <t>ID3654</t>
  </si>
  <si>
    <t>ID3655</t>
  </si>
  <si>
    <t>ID3656</t>
  </si>
  <si>
    <t>ID3657</t>
  </si>
  <si>
    <t>ID3658</t>
  </si>
  <si>
    <t>ID3659</t>
  </si>
  <si>
    <t>ID3660</t>
  </si>
  <si>
    <t>ID3661</t>
  </si>
  <si>
    <t>ID3662</t>
  </si>
  <si>
    <t>ID3663</t>
  </si>
  <si>
    <t>ID3664</t>
  </si>
  <si>
    <t>ID3665</t>
  </si>
  <si>
    <t>ID3666</t>
  </si>
  <si>
    <t>ID3667</t>
  </si>
  <si>
    <t>ID3668</t>
  </si>
  <si>
    <t>ID3669</t>
  </si>
  <si>
    <t>ID3670</t>
  </si>
  <si>
    <t>ID3671</t>
  </si>
  <si>
    <t>ID3672</t>
  </si>
  <si>
    <t>ID3673</t>
  </si>
  <si>
    <t>ID3674</t>
  </si>
  <si>
    <t>ID3675</t>
  </si>
  <si>
    <t>ID3676</t>
  </si>
  <si>
    <t>ID3677</t>
  </si>
  <si>
    <t>ID3678</t>
  </si>
  <si>
    <t>ID3679</t>
  </si>
  <si>
    <t>ID3680</t>
  </si>
  <si>
    <t>ID3681</t>
  </si>
  <si>
    <t>ID3682</t>
  </si>
  <si>
    <t>ID3683</t>
  </si>
  <si>
    <t>ID3684</t>
  </si>
  <si>
    <t>ID3685</t>
  </si>
  <si>
    <t>ID3686</t>
  </si>
  <si>
    <t>ID3687</t>
  </si>
  <si>
    <t>ID3688</t>
  </si>
  <si>
    <t>ID3689</t>
  </si>
  <si>
    <t>ID3690</t>
  </si>
  <si>
    <t>ID3691</t>
  </si>
  <si>
    <t>ID3692</t>
  </si>
  <si>
    <t>ID3693</t>
  </si>
  <si>
    <t>ID3694</t>
  </si>
  <si>
    <t>ID3695</t>
  </si>
  <si>
    <t>ID3696</t>
  </si>
  <si>
    <t>ID3697</t>
  </si>
  <si>
    <t>ID3698</t>
  </si>
  <si>
    <t>ID3699</t>
  </si>
  <si>
    <t>ID3700</t>
  </si>
  <si>
    <t>ID3701</t>
  </si>
  <si>
    <t>ID3702</t>
  </si>
  <si>
    <t>ID3703</t>
  </si>
  <si>
    <t>ID3704</t>
  </si>
  <si>
    <t>ID3705</t>
  </si>
  <si>
    <t>ID3706</t>
  </si>
  <si>
    <t>ID3707</t>
  </si>
  <si>
    <t>ID3708</t>
  </si>
  <si>
    <t>ID3709</t>
  </si>
  <si>
    <t>ID3710</t>
  </si>
  <si>
    <t>ID3711</t>
  </si>
  <si>
    <t>ID3712</t>
  </si>
  <si>
    <t>ID3713</t>
  </si>
  <si>
    <t>ID3714</t>
  </si>
  <si>
    <t>ID3715</t>
  </si>
  <si>
    <t>ID3716</t>
  </si>
  <si>
    <t>ID3717</t>
  </si>
  <si>
    <t>ID3718</t>
  </si>
  <si>
    <t>ID3719</t>
  </si>
  <si>
    <t>ID3720</t>
  </si>
  <si>
    <t>ID3721</t>
  </si>
  <si>
    <t>ID3722</t>
  </si>
  <si>
    <t>ID3723</t>
  </si>
  <si>
    <t>ID3724</t>
  </si>
  <si>
    <t>ID3725</t>
  </si>
  <si>
    <t>ID3726</t>
  </si>
  <si>
    <t>ID3727</t>
  </si>
  <si>
    <t>ID3728</t>
  </si>
  <si>
    <t>ID3729</t>
  </si>
  <si>
    <t>ID3730</t>
  </si>
  <si>
    <t>ID3731</t>
  </si>
  <si>
    <t>ID3732</t>
  </si>
  <si>
    <t>ID3733</t>
  </si>
  <si>
    <t>ID3734</t>
  </si>
  <si>
    <t>ID3735</t>
  </si>
  <si>
    <t>ID3736</t>
  </si>
  <si>
    <t>ID3737</t>
  </si>
  <si>
    <t>ID3738</t>
  </si>
  <si>
    <t>ID3739</t>
  </si>
  <si>
    <t>ID3740</t>
  </si>
  <si>
    <t>ID3741</t>
  </si>
  <si>
    <t>ID3742</t>
  </si>
  <si>
    <t>ID3743</t>
  </si>
  <si>
    <t>ID3744</t>
  </si>
  <si>
    <t>ID3745</t>
  </si>
  <si>
    <t>ID3746</t>
  </si>
  <si>
    <t>ID3747</t>
  </si>
  <si>
    <t>ID3748</t>
  </si>
  <si>
    <t>ID3749</t>
  </si>
  <si>
    <t>ID3750</t>
  </si>
  <si>
    <t>ID3751</t>
  </si>
  <si>
    <t>ID3752</t>
  </si>
  <si>
    <t>ID3753</t>
  </si>
  <si>
    <t>ID3754</t>
  </si>
  <si>
    <t>ID3755</t>
  </si>
  <si>
    <t>ID3756</t>
  </si>
  <si>
    <t>ID3757</t>
  </si>
  <si>
    <t>ID3758</t>
  </si>
  <si>
    <t>ID3759</t>
  </si>
  <si>
    <t>ID3760</t>
  </si>
  <si>
    <t>ID3761</t>
  </si>
  <si>
    <t>ID3762</t>
  </si>
  <si>
    <t>ID3763</t>
  </si>
  <si>
    <t>ID3764</t>
  </si>
  <si>
    <t>ID3765</t>
  </si>
  <si>
    <t>ID3766</t>
  </si>
  <si>
    <t>ID3767</t>
  </si>
  <si>
    <t>ID3768</t>
  </si>
  <si>
    <t>ID3769</t>
  </si>
  <si>
    <t>ID3770</t>
  </si>
  <si>
    <t>ID3771</t>
  </si>
  <si>
    <t>ID3772</t>
  </si>
  <si>
    <t>ID3773</t>
  </si>
  <si>
    <t>ID3774</t>
  </si>
  <si>
    <t>ID3775</t>
  </si>
  <si>
    <t>ID3776</t>
  </si>
  <si>
    <t>ID3777</t>
  </si>
  <si>
    <t>ID3778</t>
  </si>
  <si>
    <t>ID3779</t>
  </si>
  <si>
    <t>ID3780</t>
  </si>
  <si>
    <t>ID3781</t>
  </si>
  <si>
    <t>ID3782</t>
  </si>
  <si>
    <t>ID3783</t>
  </si>
  <si>
    <t>ID3784</t>
  </si>
  <si>
    <t>ID3785</t>
  </si>
  <si>
    <t>ID3786</t>
  </si>
  <si>
    <t>ID3787</t>
  </si>
  <si>
    <t>ID3788</t>
  </si>
  <si>
    <t>ID3789</t>
  </si>
  <si>
    <t>ID3790</t>
  </si>
  <si>
    <t>ID3791</t>
  </si>
  <si>
    <t>ID3792</t>
  </si>
  <si>
    <t>ID3793</t>
  </si>
  <si>
    <t>ID3794</t>
  </si>
  <si>
    <t>ID3795</t>
  </si>
  <si>
    <t>ID3796</t>
  </si>
  <si>
    <t>ID3797</t>
  </si>
  <si>
    <t>ID3798</t>
  </si>
  <si>
    <t>ID3799</t>
  </si>
  <si>
    <t>ID3800</t>
  </si>
  <si>
    <t>ID3801</t>
  </si>
  <si>
    <t>ID3802</t>
  </si>
  <si>
    <t>ID3803</t>
  </si>
  <si>
    <t>ID3804</t>
  </si>
  <si>
    <t>ID3805</t>
  </si>
  <si>
    <t>ID3806</t>
  </si>
  <si>
    <t>ID3807</t>
  </si>
  <si>
    <t>ID3808</t>
  </si>
  <si>
    <t>ID3809</t>
  </si>
  <si>
    <t>ID3810</t>
  </si>
  <si>
    <t>ID3811</t>
  </si>
  <si>
    <t>ID3812</t>
  </si>
  <si>
    <t>ID3813</t>
  </si>
  <si>
    <t>ID3814</t>
  </si>
  <si>
    <t>ID3815</t>
  </si>
  <si>
    <t>ID3816</t>
  </si>
  <si>
    <t>ID3817</t>
  </si>
  <si>
    <t>ID3818</t>
  </si>
  <si>
    <t>ID3819</t>
  </si>
  <si>
    <t>ID3820</t>
  </si>
  <si>
    <t>ID3821</t>
  </si>
  <si>
    <t>ID3822</t>
  </si>
  <si>
    <t>ID3823</t>
  </si>
  <si>
    <t>ID3824</t>
  </si>
  <si>
    <t>ID3825</t>
  </si>
  <si>
    <t>ID3826</t>
  </si>
  <si>
    <t>ID3827</t>
  </si>
  <si>
    <t>ID3828</t>
  </si>
  <si>
    <t>ID3829</t>
  </si>
  <si>
    <t>ID3830</t>
  </si>
  <si>
    <t>ID3831</t>
  </si>
  <si>
    <t>ID3832</t>
  </si>
  <si>
    <t>ID3833</t>
  </si>
  <si>
    <t>ID3834</t>
  </si>
  <si>
    <t>ID3835</t>
  </si>
  <si>
    <t>ID3836</t>
  </si>
  <si>
    <t>ID3837</t>
  </si>
  <si>
    <t>ID3838</t>
  </si>
  <si>
    <t>ID3839</t>
  </si>
  <si>
    <t>ID3840</t>
  </si>
  <si>
    <t>ID3841</t>
  </si>
  <si>
    <t>ID3842</t>
  </si>
  <si>
    <t>ID3843</t>
  </si>
  <si>
    <t>ID3844</t>
  </si>
  <si>
    <t>ID3845</t>
  </si>
  <si>
    <t>ID3846</t>
  </si>
  <si>
    <t>ID3847</t>
  </si>
  <si>
    <t>ID3848</t>
  </si>
  <si>
    <t>ID3849</t>
  </si>
  <si>
    <t>ID3850</t>
  </si>
  <si>
    <t>ID3851</t>
  </si>
  <si>
    <t>ID3852</t>
  </si>
  <si>
    <t>ID3853</t>
  </si>
  <si>
    <t>ID3854</t>
  </si>
  <si>
    <t>ID3855</t>
  </si>
  <si>
    <t>ID3856</t>
  </si>
  <si>
    <t>ID3857</t>
  </si>
  <si>
    <t>ID3858</t>
  </si>
  <si>
    <t>ID3859</t>
  </si>
  <si>
    <t>ID3860</t>
  </si>
  <si>
    <t>ID3861</t>
  </si>
  <si>
    <t>ID3862</t>
  </si>
  <si>
    <t>ID3863</t>
  </si>
  <si>
    <t>ID3864</t>
  </si>
  <si>
    <t>ID3865</t>
  </si>
  <si>
    <t>ID3866</t>
  </si>
  <si>
    <t>ID3867</t>
  </si>
  <si>
    <t>ID3868</t>
  </si>
  <si>
    <t>ID3869</t>
  </si>
  <si>
    <t>ID3870</t>
  </si>
  <si>
    <t>ID3871</t>
  </si>
  <si>
    <t>ID3872</t>
  </si>
  <si>
    <t>ID3873</t>
  </si>
  <si>
    <t>ID3874</t>
  </si>
  <si>
    <t>ID3875</t>
  </si>
  <si>
    <t>ID3876</t>
  </si>
  <si>
    <t>ID3877</t>
  </si>
  <si>
    <t>ID3878</t>
  </si>
  <si>
    <t>ID3879</t>
  </si>
  <si>
    <t>ID3880</t>
  </si>
  <si>
    <t>ID3881</t>
  </si>
  <si>
    <t>ID3882</t>
  </si>
  <si>
    <t>ID3883</t>
  </si>
  <si>
    <t>ID3884</t>
  </si>
  <si>
    <t>ID3885</t>
  </si>
  <si>
    <t>ID3886</t>
  </si>
  <si>
    <t>ID3887</t>
  </si>
  <si>
    <t>ID3888</t>
  </si>
  <si>
    <t>ID3889</t>
  </si>
  <si>
    <t>ID3890</t>
  </si>
  <si>
    <t>ID3891</t>
  </si>
  <si>
    <t>ID3892</t>
  </si>
  <si>
    <t>ID3893</t>
  </si>
  <si>
    <t>ID3894</t>
  </si>
  <si>
    <t>ID3895</t>
  </si>
  <si>
    <t>ID3896</t>
  </si>
  <si>
    <t>ID3897</t>
  </si>
  <si>
    <t>ID3898</t>
  </si>
  <si>
    <t>ID3899</t>
  </si>
  <si>
    <t>ID3900</t>
  </si>
  <si>
    <t>ID3901</t>
  </si>
  <si>
    <t>ID3902</t>
  </si>
  <si>
    <t>ID3903</t>
  </si>
  <si>
    <t>ID3904</t>
  </si>
  <si>
    <t>ID3905</t>
  </si>
  <si>
    <t>ID3906</t>
  </si>
  <si>
    <t>ID3907</t>
  </si>
  <si>
    <t>ID3908</t>
  </si>
  <si>
    <t>ID3909</t>
  </si>
  <si>
    <t>ID3910</t>
  </si>
  <si>
    <t>ID3911</t>
  </si>
  <si>
    <t>ID3912</t>
  </si>
  <si>
    <t>ID3913</t>
  </si>
  <si>
    <t>ID3914</t>
  </si>
  <si>
    <t>ID3915</t>
  </si>
  <si>
    <t>ID3916</t>
  </si>
  <si>
    <t>ID3917</t>
  </si>
  <si>
    <t>ID3918</t>
  </si>
  <si>
    <t>ID3919</t>
  </si>
  <si>
    <t>ID3920</t>
  </si>
  <si>
    <t>ID3921</t>
  </si>
  <si>
    <t>ID3922</t>
  </si>
  <si>
    <t>ID3923</t>
  </si>
  <si>
    <t>ID3924</t>
  </si>
  <si>
    <t>ID3925</t>
  </si>
  <si>
    <t>ID3926</t>
  </si>
  <si>
    <t>ID3927</t>
  </si>
  <si>
    <t>ID3928</t>
  </si>
  <si>
    <t>ID3929</t>
  </si>
  <si>
    <t>ID3930</t>
  </si>
  <si>
    <t>ID3931</t>
  </si>
  <si>
    <t>ID3932</t>
  </si>
  <si>
    <t>ID3933</t>
  </si>
  <si>
    <t>ID3934</t>
  </si>
  <si>
    <t>ID3935</t>
  </si>
  <si>
    <t>ID3936</t>
  </si>
  <si>
    <t>ID3937</t>
  </si>
  <si>
    <t>ID3938</t>
  </si>
  <si>
    <t>ID3939</t>
  </si>
  <si>
    <t>ID3940</t>
  </si>
  <si>
    <t>ID3941</t>
  </si>
  <si>
    <t>ID3942</t>
  </si>
  <si>
    <t>ID3943</t>
  </si>
  <si>
    <t>ID3944</t>
  </si>
  <si>
    <t>ID3945</t>
  </si>
  <si>
    <t>ID3946</t>
  </si>
  <si>
    <t>ID3947</t>
  </si>
  <si>
    <t>ID3948</t>
  </si>
  <si>
    <t>ID3949</t>
  </si>
  <si>
    <t>ID3950</t>
  </si>
  <si>
    <t>ID3951</t>
  </si>
  <si>
    <t>ID3952</t>
  </si>
  <si>
    <t>ID3953</t>
  </si>
  <si>
    <t>ID3954</t>
  </si>
  <si>
    <t>ID3955</t>
  </si>
  <si>
    <t>ID3956</t>
  </si>
  <si>
    <t>ID3957</t>
  </si>
  <si>
    <t>ID3958</t>
  </si>
  <si>
    <t>ID3959</t>
  </si>
  <si>
    <t>ID3960</t>
  </si>
  <si>
    <t>ID3961</t>
  </si>
  <si>
    <t>ID3962</t>
  </si>
  <si>
    <t>ID3963</t>
  </si>
  <si>
    <t>ID3964</t>
  </si>
  <si>
    <t>ID3965</t>
  </si>
  <si>
    <t>ID3966</t>
  </si>
  <si>
    <t>ID3967</t>
  </si>
  <si>
    <t>ID3968</t>
  </si>
  <si>
    <t>ID3969</t>
  </si>
  <si>
    <t>ID3970</t>
  </si>
  <si>
    <t>ID3971</t>
  </si>
  <si>
    <t>ID3972</t>
  </si>
  <si>
    <t>ID3973</t>
  </si>
  <si>
    <t>ID3974</t>
  </si>
  <si>
    <t>ID3975</t>
  </si>
  <si>
    <t>ID3976</t>
  </si>
  <si>
    <t>ID3977</t>
  </si>
  <si>
    <t>ID3978</t>
  </si>
  <si>
    <t>ID3979</t>
  </si>
  <si>
    <t>ID3980</t>
  </si>
  <si>
    <t>ID3981</t>
  </si>
  <si>
    <t>ID3982</t>
  </si>
  <si>
    <t>ID3983</t>
  </si>
  <si>
    <t>ID3984</t>
  </si>
  <si>
    <t>ID3985</t>
  </si>
  <si>
    <t>ID3986</t>
  </si>
  <si>
    <t>ID3987</t>
  </si>
  <si>
    <t>ID3988</t>
  </si>
  <si>
    <t>ID3989</t>
  </si>
  <si>
    <t>ID3990</t>
  </si>
  <si>
    <t>ID3991</t>
  </si>
  <si>
    <t>ID3992</t>
  </si>
  <si>
    <t>ID3993</t>
  </si>
  <si>
    <t>ID3994</t>
  </si>
  <si>
    <t>ID3995</t>
  </si>
  <si>
    <t>ID3996</t>
  </si>
  <si>
    <t>ID3997</t>
  </si>
  <si>
    <t>ID3998</t>
  </si>
  <si>
    <t>ID3999</t>
  </si>
  <si>
    <t>ID4000</t>
  </si>
  <si>
    <t>ID4001</t>
  </si>
  <si>
    <t>ID4002</t>
  </si>
  <si>
    <t>ID4003</t>
  </si>
  <si>
    <t>ID4004</t>
  </si>
  <si>
    <t>ID4005</t>
  </si>
  <si>
    <t>ID4006</t>
  </si>
  <si>
    <t>ID4007</t>
  </si>
  <si>
    <t>ID4008</t>
  </si>
  <si>
    <t>ID4009</t>
  </si>
  <si>
    <t>ID4010</t>
  </si>
  <si>
    <t>ID4011</t>
  </si>
  <si>
    <t>ID4012</t>
  </si>
  <si>
    <t>ID4013</t>
  </si>
  <si>
    <t>ID4014</t>
  </si>
  <si>
    <t>ID4015</t>
  </si>
  <si>
    <t>ID4016</t>
  </si>
  <si>
    <t>ID4017</t>
  </si>
  <si>
    <t>ID4018</t>
  </si>
  <si>
    <t>ID4019</t>
  </si>
  <si>
    <t>ID4020</t>
  </si>
  <si>
    <t>ID4021</t>
  </si>
  <si>
    <t>ID4022</t>
  </si>
  <si>
    <t>ID4023</t>
  </si>
  <si>
    <t>ID4024</t>
  </si>
  <si>
    <t>ID4025</t>
  </si>
  <si>
    <t>ID4026</t>
  </si>
  <si>
    <t>ID4027</t>
  </si>
  <si>
    <t>ID4028</t>
  </si>
  <si>
    <t>ID4029</t>
  </si>
  <si>
    <t>ID4030</t>
  </si>
  <si>
    <t>ID4031</t>
  </si>
  <si>
    <t>ID4032</t>
  </si>
  <si>
    <t>ID4033</t>
  </si>
  <si>
    <t>ID4034</t>
  </si>
  <si>
    <t>ID4035</t>
  </si>
  <si>
    <t>ID4036</t>
  </si>
  <si>
    <t>ID4037</t>
  </si>
  <si>
    <t>ID4038</t>
  </si>
  <si>
    <t>ID4039</t>
  </si>
  <si>
    <t>ID4040</t>
  </si>
  <si>
    <t>ID4041</t>
  </si>
  <si>
    <t>ID4042</t>
  </si>
  <si>
    <t>ID4043</t>
  </si>
  <si>
    <t>ID4044</t>
  </si>
  <si>
    <t>ID4045</t>
  </si>
  <si>
    <t>ID4046</t>
  </si>
  <si>
    <t>ID4047</t>
  </si>
  <si>
    <t>ID4048</t>
  </si>
  <si>
    <t>ID4049</t>
  </si>
  <si>
    <t>ID4050</t>
  </si>
  <si>
    <t>ID4051</t>
  </si>
  <si>
    <t>ID4052</t>
  </si>
  <si>
    <t>ID4053</t>
  </si>
  <si>
    <t>ID4054</t>
  </si>
  <si>
    <t>ID4055</t>
  </si>
  <si>
    <t>ID4056</t>
  </si>
  <si>
    <t>ID4057</t>
  </si>
  <si>
    <t>ID4058</t>
  </si>
  <si>
    <t>ID4059</t>
  </si>
  <si>
    <t>ID4060</t>
  </si>
  <si>
    <t>ID4061</t>
  </si>
  <si>
    <t>ID4062</t>
  </si>
  <si>
    <t>ID4063</t>
  </si>
  <si>
    <t>ID4064</t>
  </si>
  <si>
    <t>ID4065</t>
  </si>
  <si>
    <t>ID4066</t>
  </si>
  <si>
    <t>ID4067</t>
  </si>
  <si>
    <t>ID4068</t>
  </si>
  <si>
    <t>ID4069</t>
  </si>
  <si>
    <t>ID4070</t>
  </si>
  <si>
    <t>ID4071</t>
  </si>
  <si>
    <t>ID4072</t>
  </si>
  <si>
    <t>ID4073</t>
  </si>
  <si>
    <t>ID4074</t>
  </si>
  <si>
    <t>ID4075</t>
  </si>
  <si>
    <t>ID4076</t>
  </si>
  <si>
    <t>ID4077</t>
  </si>
  <si>
    <t>ID4078</t>
  </si>
  <si>
    <t>ID4079</t>
  </si>
  <si>
    <t>ID4080</t>
  </si>
  <si>
    <t>ID4081</t>
  </si>
  <si>
    <t>ID4082</t>
  </si>
  <si>
    <t>ID4083</t>
  </si>
  <si>
    <t>ID4084</t>
  </si>
  <si>
    <t>ID4085</t>
  </si>
  <si>
    <t>ID4086</t>
  </si>
  <si>
    <t>ID4087</t>
  </si>
  <si>
    <t>ID4088</t>
  </si>
  <si>
    <t>ID4089</t>
  </si>
  <si>
    <t>ID4090</t>
  </si>
  <si>
    <t>ID4091</t>
  </si>
  <si>
    <t>ID4092</t>
  </si>
  <si>
    <t>ID4093</t>
  </si>
  <si>
    <t>ID4094</t>
  </si>
  <si>
    <t>ID4095</t>
  </si>
  <si>
    <t>ID4096</t>
  </si>
  <si>
    <t>ID4097</t>
  </si>
  <si>
    <t>ID4098</t>
  </si>
  <si>
    <t>ID4099</t>
  </si>
  <si>
    <t>ID4100</t>
  </si>
  <si>
    <t>ID4101</t>
  </si>
  <si>
    <t>ID4102</t>
  </si>
  <si>
    <t>ID4103</t>
  </si>
  <si>
    <t>ID4104</t>
  </si>
  <si>
    <t>ID4105</t>
  </si>
  <si>
    <t>ID4106</t>
  </si>
  <si>
    <t>ID4107</t>
  </si>
  <si>
    <t>ID4108</t>
  </si>
  <si>
    <t>ID4109</t>
  </si>
  <si>
    <t>ID4110</t>
  </si>
  <si>
    <t>ID4111</t>
  </si>
  <si>
    <t>ID4112</t>
  </si>
  <si>
    <t>ID4113</t>
  </si>
  <si>
    <t>ID4114</t>
  </si>
  <si>
    <t>ID4115</t>
  </si>
  <si>
    <t>ID4116</t>
  </si>
  <si>
    <t>ID4117</t>
  </si>
  <si>
    <t>ID4118</t>
  </si>
  <si>
    <t>ID4119</t>
  </si>
  <si>
    <t>ID4120</t>
  </si>
  <si>
    <t>ID4121</t>
  </si>
  <si>
    <t>ID4122</t>
  </si>
  <si>
    <t>ID4123</t>
  </si>
  <si>
    <t>ID4124</t>
  </si>
  <si>
    <t>ID4125</t>
  </si>
  <si>
    <t>ID4126</t>
  </si>
  <si>
    <t>ID4127</t>
  </si>
  <si>
    <t>ID4128</t>
  </si>
  <si>
    <t>ID4129</t>
  </si>
  <si>
    <t>ID4130</t>
  </si>
  <si>
    <t>ID4131</t>
  </si>
  <si>
    <t>ID4132</t>
  </si>
  <si>
    <t>ID4133</t>
  </si>
  <si>
    <t>ID4134</t>
  </si>
  <si>
    <t>ID4135</t>
  </si>
  <si>
    <t>ID4136</t>
  </si>
  <si>
    <t>ID4137</t>
  </si>
  <si>
    <t>ID4138</t>
  </si>
  <si>
    <t>ID4139</t>
  </si>
  <si>
    <t>ID4140</t>
  </si>
  <si>
    <t>ID4141</t>
  </si>
  <si>
    <t>ID4142</t>
  </si>
  <si>
    <t>ID4143</t>
  </si>
  <si>
    <t>ID4144</t>
  </si>
  <si>
    <t>ID4145</t>
  </si>
  <si>
    <t>ID4146</t>
  </si>
  <si>
    <t>ID4147</t>
  </si>
  <si>
    <t>ID4148</t>
  </si>
  <si>
    <t>ID4149</t>
  </si>
  <si>
    <t>ID4150</t>
  </si>
  <si>
    <t>ID4151</t>
  </si>
  <si>
    <t>ID4152</t>
  </si>
  <si>
    <t>ID4153</t>
  </si>
  <si>
    <t>ID4154</t>
  </si>
  <si>
    <t>ID4155</t>
  </si>
  <si>
    <t>ID4156</t>
  </si>
  <si>
    <t>ID4157</t>
  </si>
  <si>
    <t>ID4158</t>
  </si>
  <si>
    <t>ID4159</t>
  </si>
  <si>
    <t>ID4160</t>
  </si>
  <si>
    <t>ID4161</t>
  </si>
  <si>
    <t>ID4162</t>
  </si>
  <si>
    <t>ID4163</t>
  </si>
  <si>
    <t>ID4164</t>
  </si>
  <si>
    <t>ID4165</t>
  </si>
  <si>
    <t>ID4166</t>
  </si>
  <si>
    <t>ID4167</t>
  </si>
  <si>
    <t>ID4168</t>
  </si>
  <si>
    <t>ID4169</t>
  </si>
  <si>
    <t>ID4170</t>
  </si>
  <si>
    <t>ID4171</t>
  </si>
  <si>
    <t>ID4172</t>
  </si>
  <si>
    <t>ID4173</t>
  </si>
  <si>
    <t>ID4174</t>
  </si>
  <si>
    <t>ID4175</t>
  </si>
  <si>
    <t>ID4176</t>
  </si>
  <si>
    <t>ID4177</t>
  </si>
  <si>
    <t>ID4178</t>
  </si>
  <si>
    <t>ID4179</t>
  </si>
  <si>
    <t>ID4180</t>
  </si>
  <si>
    <t>ID4181</t>
  </si>
  <si>
    <t>ID4182</t>
  </si>
  <si>
    <t>ID4183</t>
  </si>
  <si>
    <t>ID4184</t>
  </si>
  <si>
    <t>ID4185</t>
  </si>
  <si>
    <t>ID4186</t>
  </si>
  <si>
    <t>ID4187</t>
  </si>
  <si>
    <t>ID4188</t>
  </si>
  <si>
    <t>ID4189</t>
  </si>
  <si>
    <t>ID4190</t>
  </si>
  <si>
    <t>ID4191</t>
  </si>
  <si>
    <t>ID4192</t>
  </si>
  <si>
    <t>ID4193</t>
  </si>
  <si>
    <t>ID4194</t>
  </si>
  <si>
    <t>ID4195</t>
  </si>
  <si>
    <t>ID4196</t>
  </si>
  <si>
    <t>ID4197</t>
  </si>
  <si>
    <t>ID4198</t>
  </si>
  <si>
    <t>ID4199</t>
  </si>
  <si>
    <t>ID4200</t>
  </si>
  <si>
    <t>ID4201</t>
  </si>
  <si>
    <t>ID4202</t>
  </si>
  <si>
    <t>ID4203</t>
  </si>
  <si>
    <t>ID4204</t>
  </si>
  <si>
    <t>ID4205</t>
  </si>
  <si>
    <t>ID4206</t>
  </si>
  <si>
    <t>ID4207</t>
  </si>
  <si>
    <t>ID4208</t>
  </si>
  <si>
    <t>ID4209</t>
  </si>
  <si>
    <t>ID4210</t>
  </si>
  <si>
    <t>ID4211</t>
  </si>
  <si>
    <t>ID4212</t>
  </si>
  <si>
    <t>ID4213</t>
  </si>
  <si>
    <t>ID4214</t>
  </si>
  <si>
    <t>ID4215</t>
  </si>
  <si>
    <t>ID4216</t>
  </si>
  <si>
    <t>ID4217</t>
  </si>
  <si>
    <t>ID4218</t>
  </si>
  <si>
    <t>ID4219</t>
  </si>
  <si>
    <t>ID4220</t>
  </si>
  <si>
    <t>ID4221</t>
  </si>
  <si>
    <t>ID4222</t>
  </si>
  <si>
    <t>ID4223</t>
  </si>
  <si>
    <t>ID4224</t>
  </si>
  <si>
    <t>ID4225</t>
  </si>
  <si>
    <t>ID4226</t>
  </si>
  <si>
    <t>ID4227</t>
  </si>
  <si>
    <t>ID4228</t>
  </si>
  <si>
    <t>ID4229</t>
  </si>
  <si>
    <t>ID4230</t>
  </si>
  <si>
    <t>ID4231</t>
  </si>
  <si>
    <t>ID4232</t>
  </si>
  <si>
    <t>ID4233</t>
  </si>
  <si>
    <t>ID4234</t>
  </si>
  <si>
    <t>ID4235</t>
  </si>
  <si>
    <t>ID4236</t>
  </si>
  <si>
    <t>ID4237</t>
  </si>
  <si>
    <t>ID4238</t>
  </si>
  <si>
    <t>ID4239</t>
  </si>
  <si>
    <t>ID4240</t>
  </si>
  <si>
    <t>ID4241</t>
  </si>
  <si>
    <t>ID4242</t>
  </si>
  <si>
    <t>ID4243</t>
  </si>
  <si>
    <t>ID4244</t>
  </si>
  <si>
    <t>ID4245</t>
  </si>
  <si>
    <t>ID4246</t>
  </si>
  <si>
    <t>ID4247</t>
  </si>
  <si>
    <t>ID4248</t>
  </si>
  <si>
    <t>ID4249</t>
  </si>
  <si>
    <t>ID4250</t>
  </si>
  <si>
    <t>ID4251</t>
  </si>
  <si>
    <t>ID4252</t>
  </si>
  <si>
    <t>ID4253</t>
  </si>
  <si>
    <t>ID4254</t>
  </si>
  <si>
    <t>ID4255</t>
  </si>
  <si>
    <t>ID4256</t>
  </si>
  <si>
    <t>ID4257</t>
  </si>
  <si>
    <t>ID4258</t>
  </si>
  <si>
    <t>ID4259</t>
  </si>
  <si>
    <t>ID4260</t>
  </si>
  <si>
    <t>ID4261</t>
  </si>
  <si>
    <t>ID4262</t>
  </si>
  <si>
    <t>ID4263</t>
  </si>
  <si>
    <t>ID4264</t>
  </si>
  <si>
    <t>ID4265</t>
  </si>
  <si>
    <t>ID4266</t>
  </si>
  <si>
    <t>ID4267</t>
  </si>
  <si>
    <t>ID4268</t>
  </si>
  <si>
    <t>ID4269</t>
  </si>
  <si>
    <t>ID4270</t>
  </si>
  <si>
    <t>ID4271</t>
  </si>
  <si>
    <t>ID4272</t>
  </si>
  <si>
    <t>ID4273</t>
  </si>
  <si>
    <t>ID4274</t>
  </si>
  <si>
    <t>ID4275</t>
  </si>
  <si>
    <t>ID4276</t>
  </si>
  <si>
    <t>ID4277</t>
  </si>
  <si>
    <t>ID4278</t>
  </si>
  <si>
    <t>ID4279</t>
  </si>
  <si>
    <t>ID4280</t>
  </si>
  <si>
    <t>ID4281</t>
  </si>
  <si>
    <t>ID4282</t>
  </si>
  <si>
    <t>ID4283</t>
  </si>
  <si>
    <t>ID4284</t>
  </si>
  <si>
    <t>ID4285</t>
  </si>
  <si>
    <t>ID4286</t>
  </si>
  <si>
    <t>ID4287</t>
  </si>
  <si>
    <t>ID4288</t>
  </si>
  <si>
    <t>ID4289</t>
  </si>
  <si>
    <t>ID4290</t>
  </si>
  <si>
    <t>ID4291</t>
  </si>
  <si>
    <t>ID4292</t>
  </si>
  <si>
    <t>ID4293</t>
  </si>
  <si>
    <t>ID4294</t>
  </si>
  <si>
    <t>ID4295</t>
  </si>
  <si>
    <t>ID4296</t>
  </si>
  <si>
    <t>ID4297</t>
  </si>
  <si>
    <t>ID4298</t>
  </si>
  <si>
    <t>ID4299</t>
  </si>
  <si>
    <t>ID4300</t>
  </si>
  <si>
    <t>ID4301</t>
  </si>
  <si>
    <t>ID4302</t>
  </si>
  <si>
    <t>ID4303</t>
  </si>
  <si>
    <t>ID4304</t>
  </si>
  <si>
    <t>ID4305</t>
  </si>
  <si>
    <t>ID4306</t>
  </si>
  <si>
    <t>ID4307</t>
  </si>
  <si>
    <t>ID4308</t>
  </si>
  <si>
    <t>ID4309</t>
  </si>
  <si>
    <t>ID4310</t>
  </si>
  <si>
    <t>ID4311</t>
  </si>
  <si>
    <t>ID4312</t>
  </si>
  <si>
    <t>ID4313</t>
  </si>
  <si>
    <t>ID4314</t>
  </si>
  <si>
    <t>ID4315</t>
  </si>
  <si>
    <t>ID4316</t>
  </si>
  <si>
    <t>ID4317</t>
  </si>
  <si>
    <t>ID4318</t>
  </si>
  <si>
    <t>ID4319</t>
  </si>
  <si>
    <t>ID4320</t>
  </si>
  <si>
    <t>ID4321</t>
  </si>
  <si>
    <t>ID4322</t>
  </si>
  <si>
    <t>ID4323</t>
  </si>
  <si>
    <t>ID4324</t>
  </si>
  <si>
    <t>ID4325</t>
  </si>
  <si>
    <t>ID4326</t>
  </si>
  <si>
    <t>ID4327</t>
  </si>
  <si>
    <t>ID4328</t>
  </si>
  <si>
    <t>ID4329</t>
  </si>
  <si>
    <t>ID4330</t>
  </si>
  <si>
    <t>ID4331</t>
  </si>
  <si>
    <t>ID4332</t>
  </si>
  <si>
    <t>ID4333</t>
  </si>
  <si>
    <t>ID4334</t>
  </si>
  <si>
    <t>ID4335</t>
  </si>
  <si>
    <t>ID4336</t>
  </si>
  <si>
    <t>ID4337</t>
  </si>
  <si>
    <t>ID4338</t>
  </si>
  <si>
    <t>ID4339</t>
  </si>
  <si>
    <t>ID4340</t>
  </si>
  <si>
    <t>ID4341</t>
  </si>
  <si>
    <t>ID4342</t>
  </si>
  <si>
    <t>ID4343</t>
  </si>
  <si>
    <t>ID4344</t>
  </si>
  <si>
    <t>ID4345</t>
  </si>
  <si>
    <t>ID4346</t>
  </si>
  <si>
    <t>ID4347</t>
  </si>
  <si>
    <t>ID4348</t>
  </si>
  <si>
    <t>ID4349</t>
  </si>
  <si>
    <t>ID4350</t>
  </si>
  <si>
    <t>ID4351</t>
  </si>
  <si>
    <t>ID4352</t>
  </si>
  <si>
    <t>ID4353</t>
  </si>
  <si>
    <t>ID4354</t>
  </si>
  <si>
    <t>ID4355</t>
  </si>
  <si>
    <t>ID4356</t>
  </si>
  <si>
    <t>ID4357</t>
  </si>
  <si>
    <t>ID4358</t>
  </si>
  <si>
    <t>ID4359</t>
  </si>
  <si>
    <t>ID4360</t>
  </si>
  <si>
    <t>ID4361</t>
  </si>
  <si>
    <t>ID4362</t>
  </si>
  <si>
    <t>ID4363</t>
  </si>
  <si>
    <t>ID4364</t>
  </si>
  <si>
    <t>ID4365</t>
  </si>
  <si>
    <t>ID4366</t>
  </si>
  <si>
    <t>ID4367</t>
  </si>
  <si>
    <t>ID4368</t>
  </si>
  <si>
    <t>ID4369</t>
  </si>
  <si>
    <t>ID4370</t>
  </si>
  <si>
    <t>ID4371</t>
  </si>
  <si>
    <t>ID4372</t>
  </si>
  <si>
    <t>ID4373</t>
  </si>
  <si>
    <t>ID4374</t>
  </si>
  <si>
    <t>ID4375</t>
  </si>
  <si>
    <t>ID4376</t>
  </si>
  <si>
    <t>ID4377</t>
  </si>
  <si>
    <t>ID4378</t>
  </si>
  <si>
    <t>ID4379</t>
  </si>
  <si>
    <t>ID4380</t>
  </si>
  <si>
    <t>ID4381</t>
  </si>
  <si>
    <t>ID4382</t>
  </si>
  <si>
    <t>ID4383</t>
  </si>
  <si>
    <t>ID4384</t>
  </si>
  <si>
    <t>ID4385</t>
  </si>
  <si>
    <t>ID4386</t>
  </si>
  <si>
    <t>ID4387</t>
  </si>
  <si>
    <t>ID4388</t>
  </si>
  <si>
    <t>ID4389</t>
  </si>
  <si>
    <t>ID4390</t>
  </si>
  <si>
    <t>ID4391</t>
  </si>
  <si>
    <t>ID4392</t>
  </si>
  <si>
    <t>ID4393</t>
  </si>
  <si>
    <t>ID4394</t>
  </si>
  <si>
    <t>ID4395</t>
  </si>
  <si>
    <t>ID4396</t>
  </si>
  <si>
    <t>ID4397</t>
  </si>
  <si>
    <t>ID4398</t>
  </si>
  <si>
    <t>ID4399</t>
  </si>
  <si>
    <t>ID4400</t>
  </si>
  <si>
    <t>ID4401</t>
  </si>
  <si>
    <t>ID4402</t>
  </si>
  <si>
    <t>ID4403</t>
  </si>
  <si>
    <t>ID4404</t>
  </si>
  <si>
    <t>ID4405</t>
  </si>
  <si>
    <t>ID4406</t>
  </si>
  <si>
    <t>ID4407</t>
  </si>
  <si>
    <t>ID4408</t>
  </si>
  <si>
    <t>ID4409</t>
  </si>
  <si>
    <t>ID4410</t>
  </si>
  <si>
    <t>ID4411</t>
  </si>
  <si>
    <t>ID4412</t>
  </si>
  <si>
    <t>ID4413</t>
  </si>
  <si>
    <t>ID4414</t>
  </si>
  <si>
    <t>ID4415</t>
  </si>
  <si>
    <t>ID4416</t>
  </si>
  <si>
    <t>ID4417</t>
  </si>
  <si>
    <t>ID4418</t>
  </si>
  <si>
    <t>ID4419</t>
  </si>
  <si>
    <t>ID4420</t>
  </si>
  <si>
    <t>ID4421</t>
  </si>
  <si>
    <t>ID4422</t>
  </si>
  <si>
    <t>ID4423</t>
  </si>
  <si>
    <t>ID4424</t>
  </si>
  <si>
    <t>ID4425</t>
  </si>
  <si>
    <t>ID4426</t>
  </si>
  <si>
    <t>ID4427</t>
  </si>
  <si>
    <t>ID4428</t>
  </si>
  <si>
    <t>ID4429</t>
  </si>
  <si>
    <t>ID4430</t>
  </si>
  <si>
    <t>ID4431</t>
  </si>
  <si>
    <t>ID4432</t>
  </si>
  <si>
    <t>ID4433</t>
  </si>
  <si>
    <t>ID4434</t>
  </si>
  <si>
    <t>ID4435</t>
  </si>
  <si>
    <t>ID4436</t>
  </si>
  <si>
    <t>ID4437</t>
  </si>
  <si>
    <t>ID4438</t>
  </si>
  <si>
    <t>ID4439</t>
  </si>
  <si>
    <t>ID4440</t>
  </si>
  <si>
    <t>ID4441</t>
  </si>
  <si>
    <t>ID4442</t>
  </si>
  <si>
    <t>ID4443</t>
  </si>
  <si>
    <t>ID4444</t>
  </si>
  <si>
    <t>ID4445</t>
  </si>
  <si>
    <t>ID4446</t>
  </si>
  <si>
    <t>ID4447</t>
  </si>
  <si>
    <t>ID4448</t>
  </si>
  <si>
    <t>ID4449</t>
  </si>
  <si>
    <t>ID4450</t>
  </si>
  <si>
    <t>ID4451</t>
  </si>
  <si>
    <t>ID4452</t>
  </si>
  <si>
    <t>ID4453</t>
  </si>
  <si>
    <t>ID4454</t>
  </si>
  <si>
    <t>ID4455</t>
  </si>
  <si>
    <t>ID4456</t>
  </si>
  <si>
    <t>ID4457</t>
  </si>
  <si>
    <t>ID4458</t>
  </si>
  <si>
    <t>ID4459</t>
  </si>
  <si>
    <t>ID4460</t>
  </si>
  <si>
    <t>ID4461</t>
  </si>
  <si>
    <t>ID4462</t>
  </si>
  <si>
    <t>ID4463</t>
  </si>
  <si>
    <t>ID4464</t>
  </si>
  <si>
    <t>ID4465</t>
  </si>
  <si>
    <t>ID4466</t>
  </si>
  <si>
    <t>ID4467</t>
  </si>
  <si>
    <t>ID4468</t>
  </si>
  <si>
    <t>ID4469</t>
  </si>
  <si>
    <t>ID4470</t>
  </si>
  <si>
    <t>ID4471</t>
  </si>
  <si>
    <t>ID4472</t>
  </si>
  <si>
    <t>ID4473</t>
  </si>
  <si>
    <t>ID4474</t>
  </si>
  <si>
    <t>ID4475</t>
  </si>
  <si>
    <t>ID4476</t>
  </si>
  <si>
    <t>ID4477</t>
  </si>
  <si>
    <t>ID4478</t>
  </si>
  <si>
    <t>ID4479</t>
  </si>
  <si>
    <t>ID4480</t>
  </si>
  <si>
    <t>ID4481</t>
  </si>
  <si>
    <t>ID4482</t>
  </si>
  <si>
    <t>ID4483</t>
  </si>
  <si>
    <t>ID4484</t>
  </si>
  <si>
    <t>ID4485</t>
  </si>
  <si>
    <t>ID4486</t>
  </si>
  <si>
    <t>ID4487</t>
  </si>
  <si>
    <t>ID4488</t>
  </si>
  <si>
    <t>ID4489</t>
  </si>
  <si>
    <t>ID4490</t>
  </si>
  <si>
    <t>ID4491</t>
  </si>
  <si>
    <t>ID4492</t>
  </si>
  <si>
    <t>ID4493</t>
  </si>
  <si>
    <t>ID4494</t>
  </si>
  <si>
    <t>ID4495</t>
  </si>
  <si>
    <t>ID4496</t>
  </si>
  <si>
    <t>ID4497</t>
  </si>
  <si>
    <t>ID4498</t>
  </si>
  <si>
    <t>ID4499</t>
  </si>
  <si>
    <t>ID4500</t>
  </si>
  <si>
    <t>ID4501</t>
  </si>
  <si>
    <t>ID4502</t>
  </si>
  <si>
    <t>ID4503</t>
  </si>
  <si>
    <t>ID4504</t>
  </si>
  <si>
    <t>ID4505</t>
  </si>
  <si>
    <t>ID4506</t>
  </si>
  <si>
    <t>ID4507</t>
  </si>
  <si>
    <t>ID4508</t>
  </si>
  <si>
    <t>ID4509</t>
  </si>
  <si>
    <t>ID4510</t>
  </si>
  <si>
    <t>ID4511</t>
  </si>
  <si>
    <t>ID4512</t>
  </si>
  <si>
    <t>ID4513</t>
  </si>
  <si>
    <t>ID4514</t>
  </si>
  <si>
    <t>ID4515</t>
  </si>
  <si>
    <t>ID4516</t>
  </si>
  <si>
    <t>ID4517</t>
  </si>
  <si>
    <t>ID4518</t>
  </si>
  <si>
    <t>ID4519</t>
  </si>
  <si>
    <t>ID4520</t>
  </si>
  <si>
    <t>ID4521</t>
  </si>
  <si>
    <t>ID4522</t>
  </si>
  <si>
    <t>ID4523</t>
  </si>
  <si>
    <t>ID4524</t>
  </si>
  <si>
    <t>ID4525</t>
  </si>
  <si>
    <t>ID4526</t>
  </si>
  <si>
    <t>ID4527</t>
  </si>
  <si>
    <t>ID4528</t>
  </si>
  <si>
    <t>ID4529</t>
  </si>
  <si>
    <t>ID4530</t>
  </si>
  <si>
    <t>ID4531</t>
  </si>
  <si>
    <t>ID4532</t>
  </si>
  <si>
    <t>ID4533</t>
  </si>
  <si>
    <t>ID4534</t>
  </si>
  <si>
    <t>ID4535</t>
  </si>
  <si>
    <t>ID4536</t>
  </si>
  <si>
    <t>ID4537</t>
  </si>
  <si>
    <t>ID4538</t>
  </si>
  <si>
    <t>ID4539</t>
  </si>
  <si>
    <t>ID4540</t>
  </si>
  <si>
    <t>ID4541</t>
  </si>
  <si>
    <t>ID4542</t>
  </si>
  <si>
    <t>ID4543</t>
  </si>
  <si>
    <t>ID4544</t>
  </si>
  <si>
    <t>ID4545</t>
  </si>
  <si>
    <t>ID4546</t>
  </si>
  <si>
    <t>ID4547</t>
  </si>
  <si>
    <t>ID4548</t>
  </si>
  <si>
    <t>ID4549</t>
  </si>
  <si>
    <t>ID4550</t>
  </si>
  <si>
    <t>ID4551</t>
  </si>
  <si>
    <t>ID4552</t>
  </si>
  <si>
    <t>ID4553</t>
  </si>
  <si>
    <t>ID4554</t>
  </si>
  <si>
    <t>ID4555</t>
  </si>
  <si>
    <t>ID4556</t>
  </si>
  <si>
    <t>ID4557</t>
  </si>
  <si>
    <t>ID4558</t>
  </si>
  <si>
    <t>ID4559</t>
  </si>
  <si>
    <t>ID4560</t>
  </si>
  <si>
    <t>ID4561</t>
  </si>
  <si>
    <t>ID4562</t>
  </si>
  <si>
    <t>ID4563</t>
  </si>
  <si>
    <t>ID4564</t>
  </si>
  <si>
    <t>ID4565</t>
  </si>
  <si>
    <t>ID4566</t>
  </si>
  <si>
    <t>ID4567</t>
  </si>
  <si>
    <t>ID4568</t>
  </si>
  <si>
    <t>ID4569</t>
  </si>
  <si>
    <t>ID4570</t>
  </si>
  <si>
    <t>ID4571</t>
  </si>
  <si>
    <t>ID4572</t>
  </si>
  <si>
    <t>ID4573</t>
  </si>
  <si>
    <t>ID4574</t>
  </si>
  <si>
    <t>ID4575</t>
  </si>
  <si>
    <t>ID4576</t>
  </si>
  <si>
    <t>ID4577</t>
  </si>
  <si>
    <t>ID4578</t>
  </si>
  <si>
    <t>ID4579</t>
  </si>
  <si>
    <t>ID4580</t>
  </si>
  <si>
    <t>ID4581</t>
  </si>
  <si>
    <t>ID4582</t>
  </si>
  <si>
    <t>ID4583</t>
  </si>
  <si>
    <t>ID4584</t>
  </si>
  <si>
    <t>ID4585</t>
  </si>
  <si>
    <t>ID4586</t>
  </si>
  <si>
    <t>ID4587</t>
  </si>
  <si>
    <t>ID4588</t>
  </si>
  <si>
    <t>ID4589</t>
  </si>
  <si>
    <t>ID4590</t>
  </si>
  <si>
    <t>ID4591</t>
  </si>
  <si>
    <t>ID4592</t>
  </si>
  <si>
    <t>ID4593</t>
  </si>
  <si>
    <t>ID4594</t>
  </si>
  <si>
    <t>ID4595</t>
  </si>
  <si>
    <t>ID4596</t>
  </si>
  <si>
    <t>ID4597</t>
  </si>
  <si>
    <t>ID4598</t>
  </si>
  <si>
    <t>ID4599</t>
  </si>
  <si>
    <t>ID4600</t>
  </si>
  <si>
    <t>ID4601</t>
  </si>
  <si>
    <t>ID4602</t>
  </si>
  <si>
    <t>ID4603</t>
  </si>
  <si>
    <t>ID4604</t>
  </si>
  <si>
    <t>ID4605</t>
  </si>
  <si>
    <t>ID4606</t>
  </si>
  <si>
    <t>ID4607</t>
  </si>
  <si>
    <t>ID4608</t>
  </si>
  <si>
    <t>ID4609</t>
  </si>
  <si>
    <t>ID4610</t>
  </si>
  <si>
    <t>ID4611</t>
  </si>
  <si>
    <t>ID4612</t>
  </si>
  <si>
    <t>ID4613</t>
  </si>
  <si>
    <t>ID4614</t>
  </si>
  <si>
    <t>ID4615</t>
  </si>
  <si>
    <t>ID4616</t>
  </si>
  <si>
    <t>ID4617</t>
  </si>
  <si>
    <t>ID4618</t>
  </si>
  <si>
    <t>ID4619</t>
  </si>
  <si>
    <t>ID4620</t>
  </si>
  <si>
    <t>ID4621</t>
  </si>
  <si>
    <t>ID4622</t>
  </si>
  <si>
    <t>ID4623</t>
  </si>
  <si>
    <t>ID4624</t>
  </si>
  <si>
    <t>ID4625</t>
  </si>
  <si>
    <t>ID4626</t>
  </si>
  <si>
    <t>ID4627</t>
  </si>
  <si>
    <t>ID4628</t>
  </si>
  <si>
    <t>ID4629</t>
  </si>
  <si>
    <t>ID4630</t>
  </si>
  <si>
    <t>ID4631</t>
  </si>
  <si>
    <t>ID4632</t>
  </si>
  <si>
    <t>ID4633</t>
  </si>
  <si>
    <t>ID4634</t>
  </si>
  <si>
    <t>ID4635</t>
  </si>
  <si>
    <t>ID4636</t>
  </si>
  <si>
    <t>ID4637</t>
  </si>
  <si>
    <t>ID4638</t>
  </si>
  <si>
    <t>ID4639</t>
  </si>
  <si>
    <t>ID4640</t>
  </si>
  <si>
    <t>ID4641</t>
  </si>
  <si>
    <t>ID4642</t>
  </si>
  <si>
    <t>ID4643</t>
  </si>
  <si>
    <t>ID4644</t>
  </si>
  <si>
    <t>ID4645</t>
  </si>
  <si>
    <t>ID4646</t>
  </si>
  <si>
    <t>ID4647</t>
  </si>
  <si>
    <t>ID4648</t>
  </si>
  <si>
    <t>ID4649</t>
  </si>
  <si>
    <t>ID4650</t>
  </si>
  <si>
    <t>ID4651</t>
  </si>
  <si>
    <t>ID4652</t>
  </si>
  <si>
    <t>ID4653</t>
  </si>
  <si>
    <t>ID4654</t>
  </si>
  <si>
    <t>ID4655</t>
  </si>
  <si>
    <t>ID4656</t>
  </si>
  <si>
    <t>ID4657</t>
  </si>
  <si>
    <t>ID4658</t>
  </si>
  <si>
    <t>ID4659</t>
  </si>
  <si>
    <t>ID4660</t>
  </si>
  <si>
    <t>ID4661</t>
  </si>
  <si>
    <t>ID4662</t>
  </si>
  <si>
    <t>ID4663</t>
  </si>
  <si>
    <t>ID4664</t>
  </si>
  <si>
    <t>ID4665</t>
  </si>
  <si>
    <t>ID4666</t>
  </si>
  <si>
    <t>ID4667</t>
  </si>
  <si>
    <t>ID4668</t>
  </si>
  <si>
    <t>ID4669</t>
  </si>
  <si>
    <t>ID4670</t>
  </si>
  <si>
    <t>ID4671</t>
  </si>
  <si>
    <t>ID4672</t>
  </si>
  <si>
    <t>ID4673</t>
  </si>
  <si>
    <t>ID4674</t>
  </si>
  <si>
    <t>ID4675</t>
  </si>
  <si>
    <t>ID4676</t>
  </si>
  <si>
    <t>ID4677</t>
  </si>
  <si>
    <t>ID4678</t>
  </si>
  <si>
    <t>ID4679</t>
  </si>
  <si>
    <t>ID4680</t>
  </si>
  <si>
    <t>ID4681</t>
  </si>
  <si>
    <t>ID4682</t>
  </si>
  <si>
    <t>ID4683</t>
  </si>
  <si>
    <t>ID4684</t>
  </si>
  <si>
    <t>ID4685</t>
  </si>
  <si>
    <t>ID4686</t>
  </si>
  <si>
    <t>ID4687</t>
  </si>
  <si>
    <t>ID4688</t>
  </si>
  <si>
    <t>ID4689</t>
  </si>
  <si>
    <t>ID4690</t>
  </si>
  <si>
    <t>ID4691</t>
  </si>
  <si>
    <t>ID4692</t>
  </si>
  <si>
    <t>ID4693</t>
  </si>
  <si>
    <t>ID4694</t>
  </si>
  <si>
    <t>ID4695</t>
  </si>
  <si>
    <t>ID4696</t>
  </si>
  <si>
    <t>ID4697</t>
  </si>
  <si>
    <t>ID4698</t>
  </si>
  <si>
    <t>ID4699</t>
  </si>
  <si>
    <t>ID4700</t>
  </si>
  <si>
    <t>ID4701</t>
  </si>
  <si>
    <t>ID4702</t>
  </si>
  <si>
    <t>ID4703</t>
  </si>
  <si>
    <t>ID4704</t>
  </si>
  <si>
    <t>ID4705</t>
  </si>
  <si>
    <t>ID4706</t>
  </si>
  <si>
    <t>ID4707</t>
  </si>
  <si>
    <t>ID4708</t>
  </si>
  <si>
    <t>ID4709</t>
  </si>
  <si>
    <t>ID4710</t>
  </si>
  <si>
    <t>ID4711</t>
  </si>
  <si>
    <t>ID4712</t>
  </si>
  <si>
    <t>ID4713</t>
  </si>
  <si>
    <t>ID4714</t>
  </si>
  <si>
    <t>ID4715</t>
  </si>
  <si>
    <t>ID4716</t>
  </si>
  <si>
    <t>ID4717</t>
  </si>
  <si>
    <t>ID4718</t>
  </si>
  <si>
    <t>ID4719</t>
  </si>
  <si>
    <t>ID4720</t>
  </si>
  <si>
    <t>ID4721</t>
  </si>
  <si>
    <t>ID4722</t>
  </si>
  <si>
    <t>ID4723</t>
  </si>
  <si>
    <t>ID4724</t>
  </si>
  <si>
    <t>ID4725</t>
  </si>
  <si>
    <t>ID4726</t>
  </si>
  <si>
    <t>ID4727</t>
  </si>
  <si>
    <t>ID4728</t>
  </si>
  <si>
    <t>ID4729</t>
  </si>
  <si>
    <t>ID4730</t>
  </si>
  <si>
    <t>ID4731</t>
  </si>
  <si>
    <t>ID4732</t>
  </si>
  <si>
    <t>ID4733</t>
  </si>
  <si>
    <t>ID4734</t>
  </si>
  <si>
    <t>ID4735</t>
  </si>
  <si>
    <t>ID4736</t>
  </si>
  <si>
    <t>ID4737</t>
  </si>
  <si>
    <t>ID4738</t>
  </si>
  <si>
    <t>ID4739</t>
  </si>
  <si>
    <t>ID4740</t>
  </si>
  <si>
    <t>ID4741</t>
  </si>
  <si>
    <t>ID4742</t>
  </si>
  <si>
    <t>ID4743</t>
  </si>
  <si>
    <t>ID4744</t>
  </si>
  <si>
    <t>ID4745</t>
  </si>
  <si>
    <t>ID4746</t>
  </si>
  <si>
    <t>ID4747</t>
  </si>
  <si>
    <t>ID4748</t>
  </si>
  <si>
    <t>ID4749</t>
  </si>
  <si>
    <t>ID4750</t>
  </si>
  <si>
    <t>ID4751</t>
  </si>
  <si>
    <t>ID4752</t>
  </si>
  <si>
    <t>ID4753</t>
  </si>
  <si>
    <t>ID4754</t>
  </si>
  <si>
    <t>ID4755</t>
  </si>
  <si>
    <t>ID4756</t>
  </si>
  <si>
    <t>ID4757</t>
  </si>
  <si>
    <t>ID4758</t>
  </si>
  <si>
    <t>ID4759</t>
  </si>
  <si>
    <t>ID4760</t>
  </si>
  <si>
    <t>ID4761</t>
  </si>
  <si>
    <t>ID4762</t>
  </si>
  <si>
    <t>ID4763</t>
  </si>
  <si>
    <t>ID4764</t>
  </si>
  <si>
    <t>ID4765</t>
  </si>
  <si>
    <t>ID4766</t>
  </si>
  <si>
    <t>ID4767</t>
  </si>
  <si>
    <t>ID4768</t>
  </si>
  <si>
    <t>ID4769</t>
  </si>
  <si>
    <t>ID4770</t>
  </si>
  <si>
    <t>ID4771</t>
  </si>
  <si>
    <t>ID4772</t>
  </si>
  <si>
    <t>ID4773</t>
  </si>
  <si>
    <t>ID4774</t>
  </si>
  <si>
    <t>ID4775</t>
  </si>
  <si>
    <t>ID4776</t>
  </si>
  <si>
    <t>ID4777</t>
  </si>
  <si>
    <t>ID4778</t>
  </si>
  <si>
    <t>ID4779</t>
  </si>
  <si>
    <t>ID4780</t>
  </si>
  <si>
    <t>ID4781</t>
  </si>
  <si>
    <t>ID4782</t>
  </si>
  <si>
    <t>ID4783</t>
  </si>
  <si>
    <t>ID4784</t>
  </si>
  <si>
    <t>ID4785</t>
  </si>
  <si>
    <t>ID4786</t>
  </si>
  <si>
    <t>ID4787</t>
  </si>
  <si>
    <t>ID4788</t>
  </si>
  <si>
    <t>ID4789</t>
  </si>
  <si>
    <t>ID4790</t>
  </si>
  <si>
    <t>ID4791</t>
  </si>
  <si>
    <t>ID4792</t>
  </si>
  <si>
    <t>ID4793</t>
  </si>
  <si>
    <t>ID4794</t>
  </si>
  <si>
    <t>ID4795</t>
  </si>
  <si>
    <t>ID4796</t>
  </si>
  <si>
    <t>ID4797</t>
  </si>
  <si>
    <t>ID4798</t>
  </si>
  <si>
    <t>ID4799</t>
  </si>
  <si>
    <t>ID4800</t>
  </si>
  <si>
    <t>ID4801</t>
  </si>
  <si>
    <t>ID4802</t>
  </si>
  <si>
    <t>ID4803</t>
  </si>
  <si>
    <t>ID4804</t>
  </si>
  <si>
    <t>ID4805</t>
  </si>
  <si>
    <t>ID4806</t>
  </si>
  <si>
    <t>ID4807</t>
  </si>
  <si>
    <t>ID4808</t>
  </si>
  <si>
    <t>ID4809</t>
  </si>
  <si>
    <t>ID4810</t>
  </si>
  <si>
    <t>ID4811</t>
  </si>
  <si>
    <t>ID4812</t>
  </si>
  <si>
    <t>ID4813</t>
  </si>
  <si>
    <t>ID4814</t>
  </si>
  <si>
    <t>ID4815</t>
  </si>
  <si>
    <t>ID4816</t>
  </si>
  <si>
    <t>ID4817</t>
  </si>
  <si>
    <t>ID4818</t>
  </si>
  <si>
    <t>ID4819</t>
  </si>
  <si>
    <t>ID4820</t>
  </si>
  <si>
    <t>ID4821</t>
  </si>
  <si>
    <t>ID4822</t>
  </si>
  <si>
    <t>ID4823</t>
  </si>
  <si>
    <t>ID4824</t>
  </si>
  <si>
    <t>ID4825</t>
  </si>
  <si>
    <t>ID4826</t>
  </si>
  <si>
    <t>ID4827</t>
  </si>
  <si>
    <t>ID4828</t>
  </si>
  <si>
    <t>ID4829</t>
  </si>
  <si>
    <t>ID4830</t>
  </si>
  <si>
    <t>ID4831</t>
  </si>
  <si>
    <t>ID4832</t>
  </si>
  <si>
    <t>ID4833</t>
  </si>
  <si>
    <t>ID4834</t>
  </si>
  <si>
    <t>ID4835</t>
  </si>
  <si>
    <t>ID4836</t>
  </si>
  <si>
    <t>ID4837</t>
  </si>
  <si>
    <t>ID4838</t>
  </si>
  <si>
    <t>ID4839</t>
  </si>
  <si>
    <t>ID4840</t>
  </si>
  <si>
    <t>ID4841</t>
  </si>
  <si>
    <t>ID4842</t>
  </si>
  <si>
    <t>ID4843</t>
  </si>
  <si>
    <t>ID4844</t>
  </si>
  <si>
    <t>ID4845</t>
  </si>
  <si>
    <t>ID4846</t>
  </si>
  <si>
    <t>ID4847</t>
  </si>
  <si>
    <t>ID4848</t>
  </si>
  <si>
    <t>ID4849</t>
  </si>
  <si>
    <t>ID4850</t>
  </si>
  <si>
    <t>ID4851</t>
  </si>
  <si>
    <t>ID4852</t>
  </si>
  <si>
    <t>ID4853</t>
  </si>
  <si>
    <t>ID4854</t>
  </si>
  <si>
    <t>ID4855</t>
  </si>
  <si>
    <t>ID4856</t>
  </si>
  <si>
    <t>ID4857</t>
  </si>
  <si>
    <t>ID4858</t>
  </si>
  <si>
    <t>ID4859</t>
  </si>
  <si>
    <t>ID4860</t>
  </si>
  <si>
    <t>ID4861</t>
  </si>
  <si>
    <t>ID4862</t>
  </si>
  <si>
    <t>ID4863</t>
  </si>
  <si>
    <t>ID4864</t>
  </si>
  <si>
    <t>ID4865</t>
  </si>
  <si>
    <t>ID4866</t>
  </si>
  <si>
    <t>ID4867</t>
  </si>
  <si>
    <t>ID4868</t>
  </si>
  <si>
    <t>ID4869</t>
  </si>
  <si>
    <t>ID4870</t>
  </si>
  <si>
    <t>ID4871</t>
  </si>
  <si>
    <t>ID4872</t>
  </si>
  <si>
    <t>ID4873</t>
  </si>
  <si>
    <t>ID4874</t>
  </si>
  <si>
    <t>ID4875</t>
  </si>
  <si>
    <t>ID4876</t>
  </si>
  <si>
    <t>ID4877</t>
  </si>
  <si>
    <t>ID4878</t>
  </si>
  <si>
    <t>ID4879</t>
  </si>
  <si>
    <t>ID4880</t>
  </si>
  <si>
    <t>ID4881</t>
  </si>
  <si>
    <t>ID4882</t>
  </si>
  <si>
    <t>ID4883</t>
  </si>
  <si>
    <t>ID4884</t>
  </si>
  <si>
    <t>ID4885</t>
  </si>
  <si>
    <t>ID4886</t>
  </si>
  <si>
    <t>ID4887</t>
  </si>
  <si>
    <t>ID4888</t>
  </si>
  <si>
    <t>ID4889</t>
  </si>
  <si>
    <t>ID4890</t>
  </si>
  <si>
    <t>ID4891</t>
  </si>
  <si>
    <t>ID4892</t>
  </si>
  <si>
    <t>ID4893</t>
  </si>
  <si>
    <t>ID4894</t>
  </si>
  <si>
    <t>ID4895</t>
  </si>
  <si>
    <t>ID4896</t>
  </si>
  <si>
    <t>ID4897</t>
  </si>
  <si>
    <t>ID4898</t>
  </si>
  <si>
    <t>ID4899</t>
  </si>
  <si>
    <t>ID4900</t>
  </si>
  <si>
    <t>ID4901</t>
  </si>
  <si>
    <t>ID4902</t>
  </si>
  <si>
    <t>ID4903</t>
  </si>
  <si>
    <t>ID4904</t>
  </si>
  <si>
    <t>ID4905</t>
  </si>
  <si>
    <t>ID4906</t>
  </si>
  <si>
    <t>ID4907</t>
  </si>
  <si>
    <t>ID4908</t>
  </si>
  <si>
    <t>ID4909</t>
  </si>
  <si>
    <t>ID4910</t>
  </si>
  <si>
    <t>ID4911</t>
  </si>
  <si>
    <t>ID4912</t>
  </si>
  <si>
    <t>ID4913</t>
  </si>
  <si>
    <t>ID4914</t>
  </si>
  <si>
    <t>ID4915</t>
  </si>
  <si>
    <t>ID4916</t>
  </si>
  <si>
    <t>ID4917</t>
  </si>
  <si>
    <t>ID4918</t>
  </si>
  <si>
    <t>ID4919</t>
  </si>
  <si>
    <t>ID4920</t>
  </si>
  <si>
    <t>ID4921</t>
  </si>
  <si>
    <t>ID4922</t>
  </si>
  <si>
    <t>ID4923</t>
  </si>
  <si>
    <t>ID4924</t>
  </si>
  <si>
    <t>ID4925</t>
  </si>
  <si>
    <t>ID4926</t>
  </si>
  <si>
    <t>ID4927</t>
  </si>
  <si>
    <t>ID4928</t>
  </si>
  <si>
    <t>ID4929</t>
  </si>
  <si>
    <t>ID4930</t>
  </si>
  <si>
    <t>ID4931</t>
  </si>
  <si>
    <t>ID4932</t>
  </si>
  <si>
    <t>ID4933</t>
  </si>
  <si>
    <t>ID4934</t>
  </si>
  <si>
    <t>ID4935</t>
  </si>
  <si>
    <t>ID4936</t>
  </si>
  <si>
    <t>ID4937</t>
  </si>
  <si>
    <t>ID4938</t>
  </si>
  <si>
    <t>ID4939</t>
  </si>
  <si>
    <t>ID4940</t>
  </si>
  <si>
    <t>ID4941</t>
  </si>
  <si>
    <t>ID4942</t>
  </si>
  <si>
    <t>ID4943</t>
  </si>
  <si>
    <t>ID4944</t>
  </si>
  <si>
    <t>ID4945</t>
  </si>
  <si>
    <t>ID4946</t>
  </si>
  <si>
    <t>ID4947</t>
  </si>
  <si>
    <t>ID4948</t>
  </si>
  <si>
    <t>ID4949</t>
  </si>
  <si>
    <t>ID4950</t>
  </si>
  <si>
    <t>ID4951</t>
  </si>
  <si>
    <t>ID4952</t>
  </si>
  <si>
    <t>ID4953</t>
  </si>
  <si>
    <t>ID4954</t>
  </si>
  <si>
    <t>ID4955</t>
  </si>
  <si>
    <t>ID4956</t>
  </si>
  <si>
    <t>ID4957</t>
  </si>
  <si>
    <t>ID4958</t>
  </si>
  <si>
    <t>ID4959</t>
  </si>
  <si>
    <t>ID4960</t>
  </si>
  <si>
    <t>ID4961</t>
  </si>
  <si>
    <t>ID4962</t>
  </si>
  <si>
    <t>ID4963</t>
  </si>
  <si>
    <t>ID4964</t>
  </si>
  <si>
    <t>ID4965</t>
  </si>
  <si>
    <t>ID4966</t>
  </si>
  <si>
    <t>ID4967</t>
  </si>
  <si>
    <t>ID4968</t>
  </si>
  <si>
    <t>ID4969</t>
  </si>
  <si>
    <t>ID4970</t>
  </si>
  <si>
    <t>ID4971</t>
  </si>
  <si>
    <t>ID4972</t>
  </si>
  <si>
    <t>ID4973</t>
  </si>
  <si>
    <t>ID4974</t>
  </si>
  <si>
    <t>ID4975</t>
  </si>
  <si>
    <t>ID4976</t>
  </si>
  <si>
    <t>ID4977</t>
  </si>
  <si>
    <t>ID4978</t>
  </si>
  <si>
    <t>ID4979</t>
  </si>
  <si>
    <t>ID4980</t>
  </si>
  <si>
    <t>ID4981</t>
  </si>
  <si>
    <t>ID4982</t>
  </si>
  <si>
    <t>ID4983</t>
  </si>
  <si>
    <t>ID4984</t>
  </si>
  <si>
    <t>ID4985</t>
  </si>
  <si>
    <t>ID4986</t>
  </si>
  <si>
    <t>ID4987</t>
  </si>
  <si>
    <t>ID4988</t>
  </si>
  <si>
    <t>ID4989</t>
  </si>
  <si>
    <t>ID4990</t>
  </si>
  <si>
    <t>ID4991</t>
  </si>
  <si>
    <t>ID4992</t>
  </si>
  <si>
    <t>ID4993</t>
  </si>
  <si>
    <t>ID4994</t>
  </si>
  <si>
    <t>ID4995</t>
  </si>
  <si>
    <t>ID4996</t>
  </si>
  <si>
    <t>ID4997</t>
  </si>
  <si>
    <t>ID4998</t>
  </si>
  <si>
    <t>ID4999</t>
  </si>
  <si>
    <t>ID5000</t>
  </si>
  <si>
    <t>Date</t>
  </si>
  <si>
    <t>Agent</t>
  </si>
  <si>
    <t>Diane</t>
  </si>
  <si>
    <t>Becky</t>
  </si>
  <si>
    <t>Stewart</t>
  </si>
  <si>
    <t>Greg</t>
  </si>
  <si>
    <t>Jim</t>
  </si>
  <si>
    <t>Joe</t>
  </si>
  <si>
    <t>Martha</t>
  </si>
  <si>
    <t>Dan</t>
  </si>
  <si>
    <t>Department</t>
  </si>
  <si>
    <t>Washing Machine</t>
  </si>
  <si>
    <t>Air Conditioner</t>
  </si>
  <si>
    <t>Toaster</t>
  </si>
  <si>
    <t>Fridge</t>
  </si>
  <si>
    <t>Television</t>
  </si>
  <si>
    <t>Answered(Y/N)</t>
  </si>
  <si>
    <t>Y</t>
  </si>
  <si>
    <t>N</t>
  </si>
  <si>
    <t>Resolved</t>
  </si>
  <si>
    <t>Speed of Answer</t>
  </si>
  <si>
    <t/>
  </si>
  <si>
    <t>AvgTalkDuration</t>
  </si>
  <si>
    <t>Satisfaction rating</t>
  </si>
  <si>
    <t>Date check</t>
  </si>
  <si>
    <t>Week</t>
  </si>
  <si>
    <t>Sorting Control</t>
  </si>
  <si>
    <t>Interactive part</t>
  </si>
  <si>
    <t>KPI's[Key Performance Indicator]</t>
  </si>
  <si>
    <t>Total Calls</t>
  </si>
  <si>
    <t>Calls Answered</t>
  </si>
  <si>
    <t>Avg Speed of Answer</t>
  </si>
  <si>
    <t>Abandon Rate</t>
  </si>
  <si>
    <t>Satisfaction Overall</t>
  </si>
  <si>
    <t>Satisfaction less than equal to 3</t>
  </si>
  <si>
    <t>Agent Name</t>
  </si>
  <si>
    <t>Avg. Speed of Answer</t>
  </si>
  <si>
    <t>Call Resolution (%)</t>
  </si>
  <si>
    <t>Avg Call/Day</t>
  </si>
  <si>
    <t>Call Resolution %</t>
  </si>
  <si>
    <t>Call Resolved</t>
  </si>
  <si>
    <t>Agent names</t>
  </si>
  <si>
    <t>Sort options-&gt;</t>
  </si>
  <si>
    <t>Sorting</t>
  </si>
  <si>
    <t>unique</t>
  </si>
  <si>
    <t>(acs 1,2,4/desc 3)</t>
  </si>
  <si>
    <t>Find position</t>
  </si>
  <si>
    <t>Call Resolution%</t>
  </si>
  <si>
    <t>Table for sorting</t>
  </si>
  <si>
    <t>Total Call</t>
  </si>
  <si>
    <t>Call Answered</t>
  </si>
  <si>
    <t>Abandoned Calls %</t>
  </si>
  <si>
    <t>SLA Limit</t>
  </si>
  <si>
    <t>SLA LIMIT EXCEED</t>
  </si>
  <si>
    <t>Mon</t>
  </si>
  <si>
    <t>Tue</t>
  </si>
  <si>
    <t>Wed</t>
  </si>
  <si>
    <t>Thur</t>
  </si>
  <si>
    <t>Frid</t>
  </si>
  <si>
    <t>Sat</t>
  </si>
  <si>
    <t>Sun</t>
  </si>
  <si>
    <t>Total resolved</t>
  </si>
  <si>
    <t>Call resolved in each days</t>
  </si>
  <si>
    <t>Satisfaction Score</t>
  </si>
  <si>
    <t>Target</t>
  </si>
  <si>
    <t>Satisfation Chart</t>
  </si>
  <si>
    <t>Abandoned call by department build a vertical bar chat</t>
  </si>
  <si>
    <t>Satisfaction score by each agent bulid a horizontal bar chat</t>
  </si>
  <si>
    <t>Guage chart for overall satisfaction score for each week</t>
  </si>
  <si>
    <t>Calls of Less than 180 Sec(3mins)</t>
  </si>
  <si>
    <t>% Calls of Less than 180 Sec(3mins)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</si>
</sst>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(* #,##0.00_);_(* \(#,##0.00\);_(* &quot;-&quot;??_);_(@_)"/>
    <numFmt numFmtId="164" formatCode="dd/mm/yyyy\ h:mm"/>
    <numFmt numFmtId="165" formatCode="0.00000000000000"/>
    <numFmt numFmtId="166" formatCode="dd\-mmm\-yyyy"/>
    <numFmt numFmtId="167" formatCode="0.0"/>
    <numFmt numFmtId="168" formatCode="0.0%"/>
    <numFmt numFmtId="169" formatCode="0.00000"/>
    <numFmt numFmtId="170" formatCode="0.000000"/>
  </numFmts>
  <fonts count="7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i/>
      <sz val="8"/>
      <color rgb="FFFF0000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18"/>
      <color theme="1"/>
      <name val="Candara Light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6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3" fillId="0" borderId="0" applyFont="0" applyFill="0" applyBorder="0" applyAlignment="0" applyProtection="0"/>
  </cellStyleXfs>
  <cellXfs count="43">
    <xf numFmtId="0" fontId="0" fillId="0" borderId="0" xfId="0"/>
    <xf numFmtId="0" fontId="1" fillId="0" borderId="0" xfId="0" applyFont="1"/>
    <xf numFmtId="164" fontId="0" fillId="0" borderId="0" xfId="0" applyNumberFormat="1"/>
    <xf numFmtId="165" fontId="0" fillId="0" borderId="0" xfId="0" applyNumberFormat="1"/>
    <xf numFmtId="0" fontId="0" fillId="0" borderId="1" xfId="0" applyBorder="1"/>
    <xf numFmtId="21" fontId="0" fillId="0" borderId="0" xfId="0" applyNumberFormat="1"/>
    <xf numFmtId="0" fontId="0" fillId="2" borderId="1" xfId="0" applyFill="1" applyBorder="1"/>
    <xf numFmtId="0" fontId="1" fillId="2" borderId="1" xfId="0" applyFont="1" applyFill="1" applyBorder="1"/>
    <xf numFmtId="0" fontId="0" fillId="3" borderId="0" xfId="0" applyFill="1"/>
    <xf numFmtId="166" fontId="0" fillId="2" borderId="1" xfId="0" applyNumberFormat="1" applyFill="1" applyBorder="1"/>
    <xf numFmtId="167" fontId="0" fillId="0" borderId="1" xfId="0" applyNumberFormat="1" applyBorder="1"/>
    <xf numFmtId="168" fontId="0" fillId="0" borderId="1" xfId="0" applyNumberFormat="1" applyBorder="1"/>
    <xf numFmtId="2" fontId="0" fillId="0" borderId="1" xfId="0" applyNumberFormat="1" applyBorder="1"/>
    <xf numFmtId="1" fontId="0" fillId="0" borderId="1" xfId="0" applyNumberFormat="1" applyBorder="1"/>
    <xf numFmtId="165" fontId="0" fillId="5" borderId="2" xfId="0" applyNumberFormat="1" applyFill="1" applyBorder="1"/>
    <xf numFmtId="165" fontId="0" fillId="0" borderId="2" xfId="0" applyNumberFormat="1" applyBorder="1"/>
    <xf numFmtId="169" fontId="0" fillId="0" borderId="0" xfId="0" applyNumberFormat="1"/>
    <xf numFmtId="170" fontId="0" fillId="0" borderId="0" xfId="0" applyNumberFormat="1"/>
    <xf numFmtId="170" fontId="0" fillId="0" borderId="1" xfId="1" applyNumberFormat="1" applyFont="1" applyBorder="1"/>
    <xf numFmtId="0" fontId="1" fillId="0" borderId="0" xfId="0" applyFont="1" applyAlignment="1">
      <alignment horizontal="center" vertical="center"/>
    </xf>
    <xf numFmtId="0" fontId="0" fillId="0" borderId="3" xfId="0" applyBorder="1"/>
    <xf numFmtId="0" fontId="0" fillId="6" borderId="1" xfId="0" applyFill="1" applyBorder="1"/>
    <xf numFmtId="0" fontId="0" fillId="6" borderId="0" xfId="0" applyFill="1"/>
    <xf numFmtId="0" fontId="4" fillId="3" borderId="0" xfId="0" applyFont="1" applyFill="1"/>
    <xf numFmtId="0" fontId="2" fillId="4" borderId="4" xfId="0" applyFont="1" applyFill="1" applyBorder="1"/>
    <xf numFmtId="0" fontId="2" fillId="4" borderId="4" xfId="0" applyFont="1" applyFill="1" applyBorder="1" applyAlignment="1">
      <alignment horizontal="centerContinuous"/>
    </xf>
    <xf numFmtId="0" fontId="0" fillId="0" borderId="4" xfId="0" applyBorder="1"/>
    <xf numFmtId="0" fontId="0" fillId="0" borderId="4" xfId="0" applyBorder="1" applyAlignment="1">
      <alignment horizontal="center"/>
    </xf>
    <xf numFmtId="167" fontId="0" fillId="0" borderId="4" xfId="0" applyNumberFormat="1" applyBorder="1" applyAlignment="1">
      <alignment horizontal="center"/>
    </xf>
    <xf numFmtId="168" fontId="5" fillId="0" borderId="5" xfId="0" applyNumberFormat="1" applyFont="1" applyBorder="1" applyAlignment="1">
      <alignment horizontal="center"/>
    </xf>
    <xf numFmtId="0" fontId="0" fillId="3" borderId="7" xfId="0" applyFill="1" applyBorder="1"/>
    <xf numFmtId="9" fontId="0" fillId="0" borderId="1" xfId="0" applyNumberFormat="1" applyBorder="1"/>
    <xf numFmtId="168" fontId="0" fillId="0" borderId="6" xfId="0" applyNumberFormat="1" applyBorder="1" applyAlignment="1">
      <alignment horizontal="right" indent="1"/>
    </xf>
    <xf numFmtId="0" fontId="6" fillId="3" borderId="0" xfId="0" applyFont="1" applyFill="1"/>
    <xf numFmtId="0" fontId="1" fillId="3" borderId="0" xfId="0" applyFont="1" applyFill="1"/>
    <xf numFmtId="168" fontId="0" fillId="0" borderId="3" xfId="0" applyNumberFormat="1" applyBorder="1"/>
    <xf numFmtId="0" fontId="0" fillId="0" borderId="12" xfId="0" applyBorder="1"/>
    <xf numFmtId="0" fontId="0" fillId="0" borderId="8" xfId="0" applyBorder="1"/>
    <xf numFmtId="0" fontId="0" fillId="0" borderId="9" xfId="0" applyBorder="1"/>
    <xf numFmtId="168" fontId="0" fillId="0" borderId="10" xfId="0" applyNumberFormat="1" applyBorder="1"/>
    <xf numFmtId="0" fontId="0" fillId="0" borderId="11" xfId="0" applyBorder="1"/>
    <xf numFmtId="168" fontId="0" fillId="0" borderId="10" xfId="0" applyNumberFormat="1" applyBorder="1" applyAlignment="1">
      <alignment horizontal="center"/>
    </xf>
    <xf numFmtId="0" fontId="0" fillId="0" borderId="11" xfId="0" applyBorder="1" applyAlignment="1">
      <alignment horizontal="center"/>
    </xf>
  </cellXfs>
  <cellStyles count="2">
    <cellStyle name="Comma" xfId="1" builtinId="3"/>
    <cellStyle name="Normal" xfId="0" builtinId="0"/>
  </cellStyles>
  <dxfs count="5">
    <dxf>
      <numFmt numFmtId="0" formatCode="General"/>
    </dxf>
    <dxf>
      <numFmt numFmtId="26" formatCode="h:mm:ss"/>
    </dxf>
    <dxf>
      <numFmt numFmtId="165" formatCode="0.00000000000000"/>
    </dxf>
    <dxf>
      <numFmt numFmtId="164" formatCode="dd/mm/yyyy\ h:m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</dxf>
  </dxfs>
  <tableStyles count="0" defaultTableStyle="TableStyleMedium2" defaultPivotStyle="PivotStyleLight16"/>
  <colors>
    <mruColors>
      <color rgb="FF990000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</c:pieChart>
      <c:spPr>
        <a:noFill/>
        <a:ln w="25400"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Calculation!$D$28</c:f>
              <c:strCache>
                <c:ptCount val="1"/>
                <c:pt idx="0">
                  <c:v>Abandoned Calls %</c:v>
                </c:pt>
              </c:strCache>
            </c:strRef>
          </c:tx>
          <c:spPr>
            <a:solidFill>
              <a:schemeClr val="tx2">
                <a:lumMod val="10000"/>
                <a:lumOff val="90000"/>
              </a:schemeClr>
            </a:solidFill>
            <a:ln>
              <a:solidFill>
                <a:schemeClr val="tx2">
                  <a:lumMod val="50000"/>
                  <a:lumOff val="50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1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Calculation!$A$29:$A$33</c:f>
              <c:strCache>
                <c:ptCount val="5"/>
                <c:pt idx="0">
                  <c:v>Washing Machine</c:v>
                </c:pt>
                <c:pt idx="1">
                  <c:v>Toaster</c:v>
                </c:pt>
                <c:pt idx="2">
                  <c:v>Fridge</c:v>
                </c:pt>
                <c:pt idx="3">
                  <c:v>Air Conditioner</c:v>
                </c:pt>
                <c:pt idx="4">
                  <c:v>Television</c:v>
                </c:pt>
              </c:strCache>
            </c:strRef>
          </c:cat>
          <c:val>
            <c:numRef>
              <c:f>Calculation!$D$29:$D$33</c:f>
              <c:numCache>
                <c:formatCode>0.0%</c:formatCode>
                <c:ptCount val="5"/>
                <c:pt idx="0">
                  <c:v>0.13043478260869565</c:v>
                </c:pt>
                <c:pt idx="1">
                  <c:v>0.15789473684210525</c:v>
                </c:pt>
                <c:pt idx="2">
                  <c:v>0.17142857142857143</c:v>
                </c:pt>
                <c:pt idx="3">
                  <c:v>0.2</c:v>
                </c:pt>
                <c:pt idx="4">
                  <c:v>0.21311475409836064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3C8-42EC-89EE-6538263BE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408956512"/>
        <c:axId val="1408947808"/>
      </c:barChart>
      <c:barChart>
        <c:barDir val="col"/>
        <c:grouping val="clustered"/>
        <c:varyColors val="0"/>
        <c:ser>
          <c:idx val="1"/>
          <c:order val="1"/>
          <c:spPr>
            <a:solidFill>
              <a:srgbClr val="990000"/>
            </a:solidFill>
            <a:ln>
              <a:noFill/>
            </a:ln>
            <a:effectLst/>
          </c:spPr>
          <c:invertIfNegative val="0"/>
          <c:cat>
            <c:strRef>
              <c:f>Calculation!$A$29:$A$33</c:f>
              <c:strCache>
                <c:ptCount val="5"/>
                <c:pt idx="0">
                  <c:v>Washing Machine</c:v>
                </c:pt>
                <c:pt idx="1">
                  <c:v>Toaster</c:v>
                </c:pt>
                <c:pt idx="2">
                  <c:v>Fridge</c:v>
                </c:pt>
                <c:pt idx="3">
                  <c:v>Air Conditioner</c:v>
                </c:pt>
                <c:pt idx="4">
                  <c:v>Television</c:v>
                </c:pt>
              </c:strCache>
            </c:strRef>
          </c:cat>
          <c:val>
            <c:numRef>
              <c:f>Calculation!$F$29:$F$33</c:f>
              <c:numCache>
                <c:formatCode>0.0%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0.21311475409836064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3C8-42EC-89EE-6538263BE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408946720"/>
        <c:axId val="1408951616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Calculation!$A$29:$A$33</c:f>
              <c:strCache>
                <c:ptCount val="5"/>
                <c:pt idx="0">
                  <c:v>Washing Machine</c:v>
                </c:pt>
                <c:pt idx="1">
                  <c:v>Toaster</c:v>
                </c:pt>
                <c:pt idx="2">
                  <c:v>Fridge</c:v>
                </c:pt>
                <c:pt idx="3">
                  <c:v>Air Conditioner</c:v>
                </c:pt>
                <c:pt idx="4">
                  <c:v>Television</c:v>
                </c:pt>
              </c:strCache>
            </c:strRef>
          </c:cat>
          <c:val>
            <c:numRef>
              <c:f>Calculation!$G$29:$G$33</c:f>
              <c:numCache>
                <c:formatCode>General</c:formatCode>
                <c:ptCount val="5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3C8-42EC-89EE-6538263BE5FC}"/>
            </c:ext>
          </c:extLst>
        </c:ser>
        <c:ser>
          <c:idx val="3"/>
          <c:order val="3"/>
          <c:spPr>
            <a:ln w="1270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Calculation!$A$29:$A$33</c:f>
              <c:strCache>
                <c:ptCount val="5"/>
                <c:pt idx="0">
                  <c:v>Washing Machine</c:v>
                </c:pt>
                <c:pt idx="1">
                  <c:v>Toaster</c:v>
                </c:pt>
                <c:pt idx="2">
                  <c:v>Fridge</c:v>
                </c:pt>
                <c:pt idx="3">
                  <c:v>Air Conditioner</c:v>
                </c:pt>
                <c:pt idx="4">
                  <c:v>Television</c:v>
                </c:pt>
              </c:strCache>
            </c:strRef>
          </c:cat>
          <c:val>
            <c:numRef>
              <c:f>Calculation!$E$29:$E$33</c:f>
              <c:numCache>
                <c:formatCode>0%</c:formatCode>
                <c:ptCount val="5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3C8-42EC-89EE-6538263BE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08956512"/>
        <c:axId val="1408947808"/>
      </c:lineChart>
      <c:catAx>
        <c:axId val="1408956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8947808"/>
        <c:crosses val="autoZero"/>
        <c:auto val="1"/>
        <c:lblAlgn val="ctr"/>
        <c:lblOffset val="100"/>
        <c:noMultiLvlLbl val="0"/>
      </c:catAx>
      <c:valAx>
        <c:axId val="1408947808"/>
        <c:scaling>
          <c:orientation val="minMax"/>
        </c:scaling>
        <c:delete val="0"/>
        <c:axPos val="l"/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8956512"/>
        <c:crosses val="autoZero"/>
        <c:crossBetween val="between"/>
        <c:majorUnit val="0.1"/>
      </c:valAx>
      <c:valAx>
        <c:axId val="1408951616"/>
        <c:scaling>
          <c:orientation val="minMax"/>
        </c:scaling>
        <c:delete val="1"/>
        <c:axPos val="r"/>
        <c:numFmt formatCode="0.0%" sourceLinked="1"/>
        <c:majorTickMark val="out"/>
        <c:minorTickMark val="none"/>
        <c:tickLblPos val="nextTo"/>
        <c:crossAx val="1408946720"/>
        <c:crosses val="max"/>
        <c:crossBetween val="between"/>
      </c:valAx>
      <c:catAx>
        <c:axId val="14089467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408951616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08771929824564"/>
          <c:y val="0.18662367204099492"/>
          <c:w val="0.81081882856748166"/>
          <c:h val="0.78250452026829975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chemeClr val="tx2">
                  <a:lumMod val="25000"/>
                  <a:lumOff val="75000"/>
                </a:schemeClr>
              </a:solidFill>
              <a:ln w="1905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3F8B-4503-BFD5-3CA0A2CD4CDC}"/>
              </c:ext>
            </c:extLst>
          </c:dPt>
          <c:dPt>
            <c:idx val="1"/>
            <c:bubble3D val="0"/>
            <c:spPr>
              <a:solidFill>
                <a:schemeClr val="tx2">
                  <a:lumMod val="25000"/>
                  <a:lumOff val="75000"/>
                </a:schemeClr>
              </a:solidFill>
              <a:ln w="1905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3F8B-4503-BFD5-3CA0A2CD4CDC}"/>
              </c:ext>
            </c:extLst>
          </c:dPt>
          <c:dPt>
            <c:idx val="2"/>
            <c:bubble3D val="0"/>
            <c:spPr>
              <a:solidFill>
                <a:schemeClr val="tx2">
                  <a:lumMod val="25000"/>
                  <a:lumOff val="75000"/>
                </a:schemeClr>
              </a:solidFill>
              <a:ln w="1905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3F8B-4503-BFD5-3CA0A2CD4CDC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3F8B-4503-BFD5-3CA0A2CD4CDC}"/>
              </c:ext>
            </c:extLst>
          </c:dPt>
          <c:val>
            <c:numRef>
              <c:f>Calculation!$A$50:$A$53</c:f>
              <c:numCache>
                <c:formatCode>General</c:formatCode>
                <c:ptCount val="4"/>
                <c:pt idx="0">
                  <c:v>50</c:v>
                </c:pt>
                <c:pt idx="1">
                  <c:v>20</c:v>
                </c:pt>
                <c:pt idx="2">
                  <c:v>30</c:v>
                </c:pt>
                <c:pt idx="3">
                  <c:v>100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3F8B-4503-BFD5-3CA0A2CD4C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9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278248326705227E-2"/>
          <c:y val="1.8321517639476564E-2"/>
          <c:w val="0.99119911991199117"/>
          <c:h val="0.85565052231718897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768C-40ED-A686-7AF9F3A8ED9C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768C-40ED-A686-7AF9F3A8ED9C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768C-40ED-A686-7AF9F3A8ED9C}"/>
              </c:ext>
            </c:extLst>
          </c:dPt>
          <c:val>
            <c:numRef>
              <c:f>Calculation!$B$50:$B$52</c:f>
              <c:numCache>
                <c:formatCode>General</c:formatCode>
                <c:ptCount val="3"/>
                <c:pt idx="0">
                  <c:v>64.530612244897952</c:v>
                </c:pt>
                <c:pt idx="1">
                  <c:v>2</c:v>
                </c:pt>
                <c:pt idx="2">
                  <c:v>133.46938775510205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768C-40ED-A686-7AF9F3A8ED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3591426071741"/>
          <c:y val="0.1708185053380783"/>
          <c:w val="0.83841888862604608"/>
          <c:h val="0.7194862741801403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tx2">
                <a:lumMod val="25000"/>
                <a:lumOff val="75000"/>
              </a:schemeClr>
            </a:solidFill>
            <a:ln>
              <a:solidFill>
                <a:schemeClr val="accent1">
                  <a:lumMod val="75000"/>
                </a:schemeClr>
              </a:solidFill>
            </a:ln>
            <a:effectLst/>
          </c:spPr>
          <c:invertIfNegative val="0"/>
          <c:cat>
            <c:strRef>
              <c:f>Calculation!$A$38:$A$45</c:f>
              <c:strCache>
                <c:ptCount val="8"/>
                <c:pt idx="0">
                  <c:v>Dan</c:v>
                </c:pt>
                <c:pt idx="1">
                  <c:v>Joe</c:v>
                </c:pt>
                <c:pt idx="2">
                  <c:v>Martha</c:v>
                </c:pt>
                <c:pt idx="3">
                  <c:v>Greg</c:v>
                </c:pt>
                <c:pt idx="4">
                  <c:v>Becky</c:v>
                </c:pt>
                <c:pt idx="5">
                  <c:v>Stewart</c:v>
                </c:pt>
                <c:pt idx="6">
                  <c:v>Jim</c:v>
                </c:pt>
                <c:pt idx="7">
                  <c:v>Diane</c:v>
                </c:pt>
              </c:strCache>
            </c:strRef>
          </c:cat>
          <c:val>
            <c:numRef>
              <c:f>Calculation!$B$38:$B$45</c:f>
              <c:numCache>
                <c:formatCode>0.00</c:formatCode>
                <c:ptCount val="8"/>
                <c:pt idx="0">
                  <c:v>3.1956521739130435</c:v>
                </c:pt>
                <c:pt idx="1">
                  <c:v>3.2051282051282053</c:v>
                </c:pt>
                <c:pt idx="2">
                  <c:v>3.4736842105263159</c:v>
                </c:pt>
                <c:pt idx="3">
                  <c:v>3.2941176470588234</c:v>
                </c:pt>
                <c:pt idx="4">
                  <c:v>3.2702702702702702</c:v>
                </c:pt>
                <c:pt idx="5">
                  <c:v>3.2702702702702702</c:v>
                </c:pt>
                <c:pt idx="6">
                  <c:v>3.3513513513513513</c:v>
                </c:pt>
                <c:pt idx="7">
                  <c:v>3.6923076923076925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F8E-4280-ACAF-937C3524A97B}"/>
            </c:ext>
          </c:extLst>
        </c:ser>
        <c:ser>
          <c:idx val="1"/>
          <c:order val="1"/>
          <c:spPr>
            <a:noFill/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rgbClr val="FF0000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Calculation!$A$38:$A$45</c:f>
              <c:strCache>
                <c:ptCount val="8"/>
                <c:pt idx="0">
                  <c:v>Dan</c:v>
                </c:pt>
                <c:pt idx="1">
                  <c:v>Joe</c:v>
                </c:pt>
                <c:pt idx="2">
                  <c:v>Martha</c:v>
                </c:pt>
                <c:pt idx="3">
                  <c:v>Greg</c:v>
                </c:pt>
                <c:pt idx="4">
                  <c:v>Becky</c:v>
                </c:pt>
                <c:pt idx="5">
                  <c:v>Stewart</c:v>
                </c:pt>
                <c:pt idx="6">
                  <c:v>Jim</c:v>
                </c:pt>
                <c:pt idx="7">
                  <c:v>Diane</c:v>
                </c:pt>
              </c:strCache>
            </c:strRef>
          </c:cat>
          <c:val>
            <c:numRef>
              <c:f>Calculation!$C$38:$C$45</c:f>
              <c:numCache>
                <c:formatCode>General</c:formatCode>
                <c:ptCount val="8"/>
                <c:pt idx="0">
                  <c:v>3.5</c:v>
                </c:pt>
                <c:pt idx="1">
                  <c:v>3.5</c:v>
                </c:pt>
                <c:pt idx="2">
                  <c:v>3.5</c:v>
                </c:pt>
                <c:pt idx="3">
                  <c:v>3.5</c:v>
                </c:pt>
                <c:pt idx="4">
                  <c:v>3.5</c:v>
                </c:pt>
                <c:pt idx="5">
                  <c:v>3.5</c:v>
                </c:pt>
                <c:pt idx="6">
                  <c:v>3.5</c:v>
                </c:pt>
                <c:pt idx="7">
                  <c:v>3.5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EF8E-4280-ACAF-937C3524A9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1408957056"/>
        <c:axId val="1408945632"/>
      </c:barChart>
      <c:catAx>
        <c:axId val="140895705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8945632"/>
        <c:crosses val="autoZero"/>
        <c:auto val="1"/>
        <c:lblAlgn val="ctr"/>
        <c:lblOffset val="100"/>
        <c:noMultiLvlLbl val="0"/>
      </c:catAx>
      <c:valAx>
        <c:axId val="1408945632"/>
        <c:scaling>
          <c:orientation val="minMax"/>
          <c:max val="4"/>
          <c:min val="1"/>
        </c:scaling>
        <c:delete val="0"/>
        <c:axPos val="t"/>
        <c:numFmt formatCode="0.00" sourceLinked="1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8957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Calculation!$B$3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Scroll" dx="22" fmlaLink="Calculation!$A$3" max="12" min="1" noThreeD="1" page="3" val="12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image" Target="../media/image2.png"/><Relationship Id="rId5" Type="http://schemas.openxmlformats.org/officeDocument/2006/relationships/image" Target="../media/image1.png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661987</xdr:colOff>
      <xdr:row>49</xdr:row>
      <xdr:rowOff>185737</xdr:rowOff>
    </xdr:from>
    <xdr:to>
      <xdr:col>7</xdr:col>
      <xdr:colOff>471487</xdr:colOff>
      <xdr:row>64</xdr:row>
      <xdr:rowOff>71437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6E32EDB4-0407-D784-D185-1FCB5FE05E6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</xdr:colOff>
      <xdr:row>0</xdr:row>
      <xdr:rowOff>0</xdr:rowOff>
    </xdr:from>
    <xdr:to>
      <xdr:col>16</xdr:col>
      <xdr:colOff>180976</xdr:colOff>
      <xdr:row>1</xdr:row>
      <xdr:rowOff>180975</xdr:rowOff>
    </xdr:to>
    <xdr:sp macro="" textlink="">
      <xdr:nvSpPr>
        <xdr:cNvPr id="2" name="Rectangle 1">
          <a:extLst>
            <a:ext uri="{FF2B5EF4-FFF2-40B4-BE49-F238E27FC236}">
              <a16:creationId xmlns="" xmlns:a16="http://schemas.microsoft.com/office/drawing/2014/main" id="{1EC56483-0310-639F-F7A4-3532BD1DF7D7}"/>
            </a:ext>
          </a:extLst>
        </xdr:cNvPr>
        <xdr:cNvSpPr/>
      </xdr:nvSpPr>
      <xdr:spPr>
        <a:xfrm>
          <a:off x="2" y="0"/>
          <a:ext cx="11382374" cy="371475"/>
        </a:xfrm>
        <a:prstGeom prst="rect">
          <a:avLst/>
        </a:prstGeom>
        <a:solidFill>
          <a:srgbClr val="C0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0</xdr:col>
      <xdr:colOff>28575</xdr:colOff>
      <xdr:row>0</xdr:row>
      <xdr:rowOff>9525</xdr:rowOff>
    </xdr:from>
    <xdr:ext cx="11153775" cy="352425"/>
    <xdr:sp macro="" textlink="">
      <xdr:nvSpPr>
        <xdr:cNvPr id="3" name="TextBox 2">
          <a:extLst>
            <a:ext uri="{FF2B5EF4-FFF2-40B4-BE49-F238E27FC236}">
              <a16:creationId xmlns="" xmlns:a16="http://schemas.microsoft.com/office/drawing/2014/main" id="{5952CEE3-D0C1-2181-6DC4-D38530337ED6}"/>
            </a:ext>
          </a:extLst>
        </xdr:cNvPr>
        <xdr:cNvSpPr txBox="1"/>
      </xdr:nvSpPr>
      <xdr:spPr>
        <a:xfrm>
          <a:off x="28575" y="9525"/>
          <a:ext cx="11153775" cy="352425"/>
        </a:xfrm>
        <a:prstGeom prst="rect">
          <a:avLst/>
        </a:prstGeom>
        <a:noFill/>
        <a:effectLst>
          <a:outerShdw blurRad="50800" dist="38100" dir="5400000" algn="t" rotWithShape="0">
            <a:srgbClr val="FF0000">
              <a:alpha val="37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 anchorCtr="0">
          <a:noAutofit/>
        </a:bodyPr>
        <a:lstStyle/>
        <a:p>
          <a:pPr algn="ctr"/>
          <a:r>
            <a:rPr lang="en-US" sz="160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 Call Center</a:t>
          </a:r>
          <a:r>
            <a:rPr lang="en-US" sz="1600" baseline="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 Performance Dashboard</a:t>
          </a:r>
          <a:endParaRPr lang="en-US" sz="1600">
            <a:solidFill>
              <a:schemeClr val="bg1"/>
            </a:solidFill>
            <a:latin typeface="Cambria" panose="02040503050406030204" pitchFamily="18" charset="0"/>
            <a:ea typeface="Cambria" panose="02040503050406030204" pitchFamily="18" charset="0"/>
          </a:endParaRPr>
        </a:p>
      </xdr:txBody>
    </xdr:sp>
    <xdr:clientData/>
  </xdr:oneCellAnchor>
  <xdr:twoCellAnchor editAs="absolute">
    <xdr:from>
      <xdr:col>14</xdr:col>
      <xdr:colOff>600075</xdr:colOff>
      <xdr:row>0</xdr:row>
      <xdr:rowOff>76199</xdr:rowOff>
    </xdr:from>
    <xdr:to>
      <xdr:col>16</xdr:col>
      <xdr:colOff>171451</xdr:colOff>
      <xdr:row>1</xdr:row>
      <xdr:rowOff>123825</xdr:rowOff>
    </xdr:to>
    <xdr:sp macro="" textlink="Calculation!F3">
      <xdr:nvSpPr>
        <xdr:cNvPr id="4" name="TextBox 3">
          <a:extLst>
            <a:ext uri="{FF2B5EF4-FFF2-40B4-BE49-F238E27FC236}">
              <a16:creationId xmlns="" xmlns:a16="http://schemas.microsoft.com/office/drawing/2014/main" id="{F7E0590D-DF38-104F-A53B-36F0100FA687}"/>
            </a:ext>
          </a:extLst>
        </xdr:cNvPr>
        <xdr:cNvSpPr txBox="1"/>
      </xdr:nvSpPr>
      <xdr:spPr>
        <a:xfrm>
          <a:off x="10582275" y="76199"/>
          <a:ext cx="790576" cy="238126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fld id="{A3960470-B455-479C-B083-0D25667110AB}" type="TxLink">
            <a:rPr lang="en-US" sz="900" b="1" i="0" u="none" strike="noStrike">
              <a:solidFill>
                <a:schemeClr val="bg1"/>
              </a:solidFill>
              <a:latin typeface="Aptos Narrow"/>
            </a:rPr>
            <a:pPr algn="ctr"/>
            <a:t>Week 12</a:t>
          </a:fld>
          <a:endParaRPr lang="en-US" sz="9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0</xdr:col>
      <xdr:colOff>38100</xdr:colOff>
      <xdr:row>2</xdr:row>
      <xdr:rowOff>95250</xdr:rowOff>
    </xdr:from>
    <xdr:to>
      <xdr:col>3</xdr:col>
      <xdr:colOff>38100</xdr:colOff>
      <xdr:row>6</xdr:row>
      <xdr:rowOff>50470</xdr:rowOff>
    </xdr:to>
    <xdr:grpSp>
      <xdr:nvGrpSpPr>
        <xdr:cNvPr id="24" name="Group 23">
          <a:extLst>
            <a:ext uri="{FF2B5EF4-FFF2-40B4-BE49-F238E27FC236}">
              <a16:creationId xmlns="" xmlns:a16="http://schemas.microsoft.com/office/drawing/2014/main" id="{AF1E7F99-5060-4D18-22A2-BDA2B0BA2136}"/>
            </a:ext>
          </a:extLst>
        </xdr:cNvPr>
        <xdr:cNvGrpSpPr/>
      </xdr:nvGrpSpPr>
      <xdr:grpSpPr>
        <a:xfrm>
          <a:off x="38100" y="466957"/>
          <a:ext cx="2962043" cy="698635"/>
          <a:chOff x="28575" y="447675"/>
          <a:chExt cx="2590800" cy="717577"/>
        </a:xfrm>
      </xdr:grpSpPr>
      <xdr:sp macro="" textlink="">
        <xdr:nvSpPr>
          <xdr:cNvPr id="5" name="Rectangle 4">
            <a:extLst>
              <a:ext uri="{FF2B5EF4-FFF2-40B4-BE49-F238E27FC236}">
                <a16:creationId xmlns="" xmlns:a16="http://schemas.microsoft.com/office/drawing/2014/main" id="{E57FF05D-97CC-B412-ED08-10305A70A9A7}"/>
              </a:ext>
            </a:extLst>
          </xdr:cNvPr>
          <xdr:cNvSpPr/>
        </xdr:nvSpPr>
        <xdr:spPr>
          <a:xfrm>
            <a:off x="28575" y="447675"/>
            <a:ext cx="2590800" cy="638175"/>
          </a:xfrm>
          <a:prstGeom prst="rect">
            <a:avLst/>
          </a:prstGeom>
          <a:solidFill>
            <a:schemeClr val="tx2">
              <a:lumMod val="10000"/>
              <a:lumOff val="90000"/>
            </a:schemeClr>
          </a:solidFill>
          <a:ln>
            <a:noFill/>
          </a:ln>
          <a:effectLst>
            <a:outerShdw blurRad="50800" dist="38100" dir="5400000" algn="t" rotWithShape="0">
              <a:schemeClr val="tx1">
                <a:alpha val="40000"/>
              </a:scheme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endParaRPr lang="en-US" sz="1100"/>
          </a:p>
        </xdr:txBody>
      </xdr:sp>
      <xdr:sp macro="" textlink="">
        <xdr:nvSpPr>
          <xdr:cNvPr id="9" name="TextBox 8">
            <a:extLst>
              <a:ext uri="{FF2B5EF4-FFF2-40B4-BE49-F238E27FC236}">
                <a16:creationId xmlns="" xmlns:a16="http://schemas.microsoft.com/office/drawing/2014/main" id="{8851C30B-794C-62A4-995E-21260BBF56A4}"/>
              </a:ext>
            </a:extLst>
          </xdr:cNvPr>
          <xdr:cNvSpPr txBox="1"/>
        </xdr:nvSpPr>
        <xdr:spPr>
          <a:xfrm>
            <a:off x="657226" y="457200"/>
            <a:ext cx="1114424" cy="3114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ctr"/>
            <a:r>
              <a:rPr lang="en-US" sz="1400">
                <a:solidFill>
                  <a:schemeClr val="tx2">
                    <a:lumMod val="90000"/>
                    <a:lumOff val="10000"/>
                  </a:schemeClr>
                </a:solidFill>
                <a:latin typeface="Cambria" panose="02040503050406030204" pitchFamily="18" charset="0"/>
                <a:ea typeface="Cambria" panose="02040503050406030204" pitchFamily="18" charset="0"/>
              </a:rPr>
              <a:t>Total Calls</a:t>
            </a:r>
          </a:p>
        </xdr:txBody>
      </xdr:sp>
      <xdr:sp macro="" textlink="Calculation!B6">
        <xdr:nvSpPr>
          <xdr:cNvPr id="13" name="TextBox 12">
            <a:extLst>
              <a:ext uri="{FF2B5EF4-FFF2-40B4-BE49-F238E27FC236}">
                <a16:creationId xmlns="" xmlns:a16="http://schemas.microsoft.com/office/drawing/2014/main" id="{0F002860-7527-4581-8233-8804C3C4DC40}"/>
              </a:ext>
            </a:extLst>
          </xdr:cNvPr>
          <xdr:cNvSpPr txBox="1"/>
        </xdr:nvSpPr>
        <xdr:spPr>
          <a:xfrm>
            <a:off x="628651" y="603277"/>
            <a:ext cx="1200150" cy="561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D5CBF888-2921-4567-B51A-7A4A3650C3EE}" type="TxLink">
              <a:rPr lang="en-US" sz="1800" b="1" i="0" u="none" strike="noStrike">
                <a:solidFill>
                  <a:schemeClr val="accent2">
                    <a:lumMod val="50000"/>
                  </a:schemeClr>
                </a:solidFill>
                <a:latin typeface="Aptos Narrow"/>
                <a:ea typeface="Verdana" pitchFamily="34" charset="0"/>
                <a:cs typeface="Verdana" pitchFamily="34" charset="0"/>
              </a:rPr>
              <a:pPr marL="0" indent="0" algn="ctr"/>
              <a:t>356</a:t>
            </a:fld>
            <a:endParaRPr lang="en-US" sz="1800" b="1">
              <a:solidFill>
                <a:schemeClr val="accent2">
                  <a:lumMod val="50000"/>
                </a:schemeClr>
              </a:solidFill>
              <a:latin typeface="Verdana" pitchFamily="34" charset="0"/>
              <a:ea typeface="Verdana" pitchFamily="34" charset="0"/>
              <a:cs typeface="Verdana" pitchFamily="34" charset="0"/>
            </a:endParaRPr>
          </a:p>
        </xdr:txBody>
      </xdr:sp>
    </xdr:grpSp>
    <xdr:clientData/>
  </xdr:twoCellAnchor>
  <xdr:twoCellAnchor editAs="absolute">
    <xdr:from>
      <xdr:col>3</xdr:col>
      <xdr:colOff>323850</xdr:colOff>
      <xdr:row>2</xdr:row>
      <xdr:rowOff>117145</xdr:rowOff>
    </xdr:from>
    <xdr:to>
      <xdr:col>6</xdr:col>
      <xdr:colOff>400050</xdr:colOff>
      <xdr:row>6</xdr:row>
      <xdr:rowOff>62840</xdr:rowOff>
    </xdr:to>
    <xdr:grpSp>
      <xdr:nvGrpSpPr>
        <xdr:cNvPr id="25" name="Group 24">
          <a:extLst>
            <a:ext uri="{FF2B5EF4-FFF2-40B4-BE49-F238E27FC236}">
              <a16:creationId xmlns="" xmlns:a16="http://schemas.microsoft.com/office/drawing/2014/main" id="{18F7E7CE-A8D2-D22A-8AB4-5AB0113493AE}"/>
            </a:ext>
          </a:extLst>
        </xdr:cNvPr>
        <xdr:cNvGrpSpPr/>
      </xdr:nvGrpSpPr>
      <xdr:grpSpPr>
        <a:xfrm>
          <a:off x="3285893" y="488852"/>
          <a:ext cx="2945316" cy="689110"/>
          <a:chOff x="2905125" y="457200"/>
          <a:chExt cx="2590800" cy="708057"/>
        </a:xfrm>
      </xdr:grpSpPr>
      <xdr:sp macro="" textlink="">
        <xdr:nvSpPr>
          <xdr:cNvPr id="15" name="Rectangle 14">
            <a:extLst>
              <a:ext uri="{FF2B5EF4-FFF2-40B4-BE49-F238E27FC236}">
                <a16:creationId xmlns="" xmlns:a16="http://schemas.microsoft.com/office/drawing/2014/main" id="{008CBF23-001A-4A23-9B1C-92325ECA3519}"/>
              </a:ext>
            </a:extLst>
          </xdr:cNvPr>
          <xdr:cNvSpPr/>
        </xdr:nvSpPr>
        <xdr:spPr>
          <a:xfrm>
            <a:off x="2905125" y="457200"/>
            <a:ext cx="2590800" cy="638175"/>
          </a:xfrm>
          <a:prstGeom prst="rect">
            <a:avLst/>
          </a:prstGeom>
          <a:solidFill>
            <a:schemeClr val="tx2">
              <a:lumMod val="10000"/>
              <a:lumOff val="90000"/>
            </a:schemeClr>
          </a:solidFill>
          <a:ln>
            <a:noFill/>
          </a:ln>
          <a:effectLst>
            <a:outerShdw blurRad="50800" dist="38100" dir="5400000" algn="t" rotWithShape="0">
              <a:schemeClr val="tx1">
                <a:alpha val="40000"/>
              </a:scheme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endParaRPr lang="en-US" sz="1100"/>
          </a:p>
        </xdr:txBody>
      </xdr:sp>
      <xdr:sp macro="" textlink="">
        <xdr:nvSpPr>
          <xdr:cNvPr id="16" name="TextBox 15">
            <a:extLst>
              <a:ext uri="{FF2B5EF4-FFF2-40B4-BE49-F238E27FC236}">
                <a16:creationId xmlns="" xmlns:a16="http://schemas.microsoft.com/office/drawing/2014/main" id="{5982D16A-5CAF-4C06-A0CA-96CB6B9C8570}"/>
              </a:ext>
            </a:extLst>
          </xdr:cNvPr>
          <xdr:cNvSpPr txBox="1"/>
        </xdr:nvSpPr>
        <xdr:spPr>
          <a:xfrm>
            <a:off x="3076575" y="466725"/>
            <a:ext cx="2381249" cy="30284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ctr"/>
            <a:r>
              <a:rPr lang="en-US" sz="1400">
                <a:solidFill>
                  <a:schemeClr val="tx2">
                    <a:lumMod val="90000"/>
                    <a:lumOff val="10000"/>
                  </a:schemeClr>
                </a:solidFill>
                <a:latin typeface="Cambria" panose="02040503050406030204" pitchFamily="18" charset="0"/>
                <a:ea typeface="Cambria" panose="02040503050406030204" pitchFamily="18" charset="0"/>
              </a:rPr>
              <a:t>Avg</a:t>
            </a:r>
            <a:r>
              <a:rPr lang="en-US" sz="1400" baseline="0">
                <a:solidFill>
                  <a:schemeClr val="tx2">
                    <a:lumMod val="90000"/>
                    <a:lumOff val="10000"/>
                  </a:schemeClr>
                </a:solidFill>
                <a:latin typeface="Cambria" panose="02040503050406030204" pitchFamily="18" charset="0"/>
                <a:ea typeface="Cambria" panose="02040503050406030204" pitchFamily="18" charset="0"/>
              </a:rPr>
              <a:t> Speed of Answer(sec)</a:t>
            </a:r>
            <a:endParaRPr lang="en-US" sz="1400">
              <a:solidFill>
                <a:schemeClr val="tx2">
                  <a:lumMod val="90000"/>
                  <a:lumOff val="10000"/>
                </a:schemeClr>
              </a:solidFill>
              <a:latin typeface="Cambria" panose="02040503050406030204" pitchFamily="18" charset="0"/>
              <a:ea typeface="Cambria" panose="02040503050406030204" pitchFamily="18" charset="0"/>
            </a:endParaRPr>
          </a:p>
        </xdr:txBody>
      </xdr:sp>
      <xdr:sp macro="" textlink="Calculation!B8">
        <xdr:nvSpPr>
          <xdr:cNvPr id="17" name="TextBox 16">
            <a:extLst>
              <a:ext uri="{FF2B5EF4-FFF2-40B4-BE49-F238E27FC236}">
                <a16:creationId xmlns="" xmlns:a16="http://schemas.microsoft.com/office/drawing/2014/main" id="{3644396A-7267-4CAE-942D-9BDB4FDD1F92}"/>
              </a:ext>
            </a:extLst>
          </xdr:cNvPr>
          <xdr:cNvSpPr txBox="1"/>
        </xdr:nvSpPr>
        <xdr:spPr>
          <a:xfrm>
            <a:off x="3676651" y="603282"/>
            <a:ext cx="1200150" cy="561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C4CB9198-F070-4815-98D1-BA40F90DC81B}" type="TxLink">
              <a:rPr lang="en-US" sz="1800" b="1" i="0" u="none" strike="noStrike">
                <a:solidFill>
                  <a:schemeClr val="accent2">
                    <a:lumMod val="50000"/>
                  </a:schemeClr>
                </a:solidFill>
                <a:latin typeface="Aptos Narrow"/>
                <a:ea typeface="Verdana" pitchFamily="34" charset="0"/>
                <a:cs typeface="Verdana" pitchFamily="34" charset="0"/>
              </a:rPr>
              <a:pPr marL="0" indent="0" algn="ctr"/>
              <a:t>55.3</a:t>
            </a:fld>
            <a:endParaRPr lang="en-US" sz="1800" b="1" i="0" u="none" strike="noStrike">
              <a:solidFill>
                <a:schemeClr val="accent2">
                  <a:lumMod val="50000"/>
                </a:schemeClr>
              </a:solidFill>
              <a:latin typeface="Aptos Narrow"/>
              <a:ea typeface="Verdana" pitchFamily="34" charset="0"/>
              <a:cs typeface="Verdana" pitchFamily="34" charset="0"/>
            </a:endParaRPr>
          </a:p>
        </xdr:txBody>
      </xdr:sp>
    </xdr:grpSp>
    <xdr:clientData/>
  </xdr:twoCellAnchor>
  <xdr:twoCellAnchor editAs="absolute">
    <xdr:from>
      <xdr:col>7</xdr:col>
      <xdr:colOff>104775</xdr:colOff>
      <xdr:row>2</xdr:row>
      <xdr:rowOff>114300</xdr:rowOff>
    </xdr:from>
    <xdr:to>
      <xdr:col>11</xdr:col>
      <xdr:colOff>257175</xdr:colOff>
      <xdr:row>6</xdr:row>
      <xdr:rowOff>69520</xdr:rowOff>
    </xdr:to>
    <xdr:grpSp>
      <xdr:nvGrpSpPr>
        <xdr:cNvPr id="26" name="Group 25">
          <a:extLst>
            <a:ext uri="{FF2B5EF4-FFF2-40B4-BE49-F238E27FC236}">
              <a16:creationId xmlns="" xmlns:a16="http://schemas.microsoft.com/office/drawing/2014/main" id="{0DFB7660-3DD0-A362-3CAE-0470FD4EAD8D}"/>
            </a:ext>
          </a:extLst>
        </xdr:cNvPr>
        <xdr:cNvGrpSpPr/>
      </xdr:nvGrpSpPr>
      <xdr:grpSpPr>
        <a:xfrm>
          <a:off x="6632885" y="486007"/>
          <a:ext cx="2940205" cy="698635"/>
          <a:chOff x="5810250" y="466725"/>
          <a:chExt cx="2590800" cy="717577"/>
        </a:xfrm>
      </xdr:grpSpPr>
      <xdr:sp macro="" textlink="">
        <xdr:nvSpPr>
          <xdr:cNvPr id="18" name="Rectangle 17">
            <a:extLst>
              <a:ext uri="{FF2B5EF4-FFF2-40B4-BE49-F238E27FC236}">
                <a16:creationId xmlns="" xmlns:a16="http://schemas.microsoft.com/office/drawing/2014/main" id="{0C86E8D3-15BD-4E68-9A09-4594789B5C2D}"/>
              </a:ext>
            </a:extLst>
          </xdr:cNvPr>
          <xdr:cNvSpPr/>
        </xdr:nvSpPr>
        <xdr:spPr>
          <a:xfrm>
            <a:off x="5810250" y="466725"/>
            <a:ext cx="2590800" cy="638175"/>
          </a:xfrm>
          <a:prstGeom prst="rect">
            <a:avLst/>
          </a:prstGeom>
          <a:solidFill>
            <a:schemeClr val="tx2">
              <a:lumMod val="10000"/>
              <a:lumOff val="90000"/>
            </a:schemeClr>
          </a:solidFill>
          <a:ln>
            <a:noFill/>
          </a:ln>
          <a:effectLst>
            <a:outerShdw blurRad="50800" dist="38100" dir="5400000" algn="t" rotWithShape="0">
              <a:schemeClr val="tx1">
                <a:alpha val="40000"/>
              </a:scheme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endParaRPr lang="en-US" sz="1100"/>
          </a:p>
        </xdr:txBody>
      </xdr:sp>
      <xdr:sp macro="" textlink="">
        <xdr:nvSpPr>
          <xdr:cNvPr id="19" name="TextBox 18">
            <a:extLst>
              <a:ext uri="{FF2B5EF4-FFF2-40B4-BE49-F238E27FC236}">
                <a16:creationId xmlns="" xmlns:a16="http://schemas.microsoft.com/office/drawing/2014/main" id="{F7268471-42C0-43CC-BDC5-2A1E2E980798}"/>
              </a:ext>
            </a:extLst>
          </xdr:cNvPr>
          <xdr:cNvSpPr txBox="1"/>
        </xdr:nvSpPr>
        <xdr:spPr>
          <a:xfrm>
            <a:off x="6334125" y="476250"/>
            <a:ext cx="1523999" cy="30284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ctr"/>
            <a:r>
              <a:rPr lang="en-US" sz="1400">
                <a:solidFill>
                  <a:schemeClr val="tx2">
                    <a:lumMod val="90000"/>
                    <a:lumOff val="10000"/>
                  </a:schemeClr>
                </a:solidFill>
                <a:latin typeface="Cambria" panose="02040503050406030204" pitchFamily="18" charset="0"/>
                <a:ea typeface="Cambria" panose="02040503050406030204" pitchFamily="18" charset="0"/>
              </a:rPr>
              <a:t>Abandon</a:t>
            </a:r>
            <a:r>
              <a:rPr lang="en-US" sz="1400" baseline="0">
                <a:solidFill>
                  <a:schemeClr val="tx2">
                    <a:lumMod val="90000"/>
                    <a:lumOff val="10000"/>
                  </a:schemeClr>
                </a:solidFill>
                <a:latin typeface="Cambria" panose="02040503050406030204" pitchFamily="18" charset="0"/>
                <a:ea typeface="Cambria" panose="02040503050406030204" pitchFamily="18" charset="0"/>
              </a:rPr>
              <a:t> Rate</a:t>
            </a:r>
            <a:endParaRPr lang="en-US" sz="1400">
              <a:solidFill>
                <a:schemeClr val="tx2">
                  <a:lumMod val="90000"/>
                  <a:lumOff val="10000"/>
                </a:schemeClr>
              </a:solidFill>
              <a:latin typeface="Cambria" panose="02040503050406030204" pitchFamily="18" charset="0"/>
              <a:ea typeface="Cambria" panose="02040503050406030204" pitchFamily="18" charset="0"/>
            </a:endParaRPr>
          </a:p>
        </xdr:txBody>
      </xdr:sp>
      <xdr:sp macro="" textlink="Calculation!B9">
        <xdr:nvSpPr>
          <xdr:cNvPr id="20" name="TextBox 19">
            <a:extLst>
              <a:ext uri="{FF2B5EF4-FFF2-40B4-BE49-F238E27FC236}">
                <a16:creationId xmlns="" xmlns:a16="http://schemas.microsoft.com/office/drawing/2014/main" id="{2BEA19AF-5490-4826-87F6-CF7A85A8AACB}"/>
              </a:ext>
            </a:extLst>
          </xdr:cNvPr>
          <xdr:cNvSpPr txBox="1"/>
        </xdr:nvSpPr>
        <xdr:spPr>
          <a:xfrm>
            <a:off x="6505576" y="622327"/>
            <a:ext cx="1200150" cy="561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74EC84C2-2B37-4994-A22E-2C8994B84B09}" type="TxLink">
              <a:rPr lang="en-US" sz="1800" b="1" i="0" u="none" strike="noStrike">
                <a:solidFill>
                  <a:schemeClr val="accent2">
                    <a:lumMod val="50000"/>
                  </a:schemeClr>
                </a:solidFill>
                <a:latin typeface="Aptos Narrow"/>
                <a:ea typeface="Verdana" pitchFamily="34" charset="0"/>
                <a:cs typeface="Verdana" pitchFamily="34" charset="0"/>
              </a:rPr>
              <a:pPr marL="0" indent="0" algn="ctr"/>
              <a:t>17.4%</a:t>
            </a:fld>
            <a:endParaRPr lang="en-US" sz="1800" b="1" i="0" u="none" strike="noStrike">
              <a:solidFill>
                <a:schemeClr val="accent2">
                  <a:lumMod val="50000"/>
                </a:schemeClr>
              </a:solidFill>
              <a:latin typeface="Aptos Narrow"/>
              <a:ea typeface="Verdana" pitchFamily="34" charset="0"/>
              <a:cs typeface="Verdana" pitchFamily="34" charset="0"/>
            </a:endParaRPr>
          </a:p>
        </xdr:txBody>
      </xdr:sp>
    </xdr:grpSp>
    <xdr:clientData/>
  </xdr:twoCellAnchor>
  <xdr:twoCellAnchor editAs="absolute">
    <xdr:from>
      <xdr:col>12</xdr:col>
      <xdr:colOff>28575</xdr:colOff>
      <xdr:row>2</xdr:row>
      <xdr:rowOff>114300</xdr:rowOff>
    </xdr:from>
    <xdr:to>
      <xdr:col>16</xdr:col>
      <xdr:colOff>180975</xdr:colOff>
      <xdr:row>5</xdr:row>
      <xdr:rowOff>180975</xdr:rowOff>
    </xdr:to>
    <xdr:sp macro="" textlink="">
      <xdr:nvSpPr>
        <xdr:cNvPr id="21" name="Rectangle 20">
          <a:extLst>
            <a:ext uri="{FF2B5EF4-FFF2-40B4-BE49-F238E27FC236}">
              <a16:creationId xmlns="" xmlns:a16="http://schemas.microsoft.com/office/drawing/2014/main" id="{DAEB2FE4-612A-4D4C-B4A5-3806D231DEDF}"/>
            </a:ext>
          </a:extLst>
        </xdr:cNvPr>
        <xdr:cNvSpPr/>
      </xdr:nvSpPr>
      <xdr:spPr>
        <a:xfrm>
          <a:off x="8791575" y="495300"/>
          <a:ext cx="2590800" cy="638175"/>
        </a:xfrm>
        <a:prstGeom prst="rect">
          <a:avLst/>
        </a:prstGeom>
        <a:solidFill>
          <a:schemeClr val="tx2">
            <a:lumMod val="10000"/>
            <a:lumOff val="90000"/>
          </a:schemeClr>
        </a:solidFill>
        <a:ln>
          <a:noFill/>
        </a:ln>
        <a:effectLst>
          <a:outerShdw blurRad="50800" dist="38100" dir="5400000" algn="t" rotWithShape="0">
            <a:schemeClr val="tx1">
              <a:alpha val="40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13</xdr:col>
      <xdr:colOff>47626</xdr:colOff>
      <xdr:row>2</xdr:row>
      <xdr:rowOff>95250</xdr:rowOff>
    </xdr:from>
    <xdr:to>
      <xdr:col>15</xdr:col>
      <xdr:colOff>323850</xdr:colOff>
      <xdr:row>4</xdr:row>
      <xdr:rowOff>17090</xdr:rowOff>
    </xdr:to>
    <xdr:sp macro="" textlink="">
      <xdr:nvSpPr>
        <xdr:cNvPr id="22" name="TextBox 21">
          <a:extLst>
            <a:ext uri="{FF2B5EF4-FFF2-40B4-BE49-F238E27FC236}">
              <a16:creationId xmlns="" xmlns:a16="http://schemas.microsoft.com/office/drawing/2014/main" id="{3293DEFF-F554-41A5-B5F1-BEA5C4D57DC4}"/>
            </a:ext>
          </a:extLst>
        </xdr:cNvPr>
        <xdr:cNvSpPr txBox="1"/>
      </xdr:nvSpPr>
      <xdr:spPr>
        <a:xfrm>
          <a:off x="9420226" y="476250"/>
          <a:ext cx="1495424" cy="30284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400">
              <a:solidFill>
                <a:schemeClr val="tx2">
                  <a:lumMod val="90000"/>
                  <a:lumOff val="10000"/>
                </a:schemeClr>
              </a:solidFill>
              <a:latin typeface="Cambria" panose="02040503050406030204" pitchFamily="18" charset="0"/>
              <a:ea typeface="Cambria" panose="02040503050406030204" pitchFamily="18" charset="0"/>
            </a:rPr>
            <a:t>Avg</a:t>
          </a:r>
          <a:r>
            <a:rPr lang="en-US" sz="1400" baseline="0">
              <a:solidFill>
                <a:schemeClr val="tx2">
                  <a:lumMod val="90000"/>
                  <a:lumOff val="10000"/>
                </a:schemeClr>
              </a:solidFill>
              <a:latin typeface="Cambria" panose="02040503050406030204" pitchFamily="18" charset="0"/>
              <a:ea typeface="Cambria" panose="02040503050406030204" pitchFamily="18" charset="0"/>
            </a:rPr>
            <a:t> Calls/Day</a:t>
          </a:r>
          <a:endParaRPr lang="en-US" sz="1400">
            <a:solidFill>
              <a:schemeClr val="tx2">
                <a:lumMod val="90000"/>
                <a:lumOff val="10000"/>
              </a:schemeClr>
            </a:solidFill>
            <a:latin typeface="Cambria" panose="02040503050406030204" pitchFamily="18" charset="0"/>
            <a:ea typeface="Cambria" panose="02040503050406030204" pitchFamily="18" charset="0"/>
          </a:endParaRPr>
        </a:p>
      </xdr:txBody>
    </xdr:sp>
    <xdr:clientData/>
  </xdr:twoCellAnchor>
  <xdr:twoCellAnchor editAs="absolute">
    <xdr:from>
      <xdr:col>13</xdr:col>
      <xdr:colOff>133351</xdr:colOff>
      <xdr:row>3</xdr:row>
      <xdr:rowOff>50470</xdr:rowOff>
    </xdr:from>
    <xdr:to>
      <xdr:col>15</xdr:col>
      <xdr:colOff>114301</xdr:colOff>
      <xdr:row>6</xdr:row>
      <xdr:rowOff>40945</xdr:rowOff>
    </xdr:to>
    <xdr:sp macro="" textlink="Calculation!B10">
      <xdr:nvSpPr>
        <xdr:cNvPr id="23" name="TextBox 22">
          <a:extLst>
            <a:ext uri="{FF2B5EF4-FFF2-40B4-BE49-F238E27FC236}">
              <a16:creationId xmlns="" xmlns:a16="http://schemas.microsoft.com/office/drawing/2014/main" id="{40CEEB36-E026-4228-9EBD-F178AEA7FBB7}"/>
            </a:ext>
          </a:extLst>
        </xdr:cNvPr>
        <xdr:cNvSpPr txBox="1"/>
      </xdr:nvSpPr>
      <xdr:spPr>
        <a:xfrm>
          <a:off x="10821143" y="607126"/>
          <a:ext cx="1366405" cy="54713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FEF7CF53-ED2F-4656-B20A-2C098F1B9B78}" type="TxLink">
            <a:rPr lang="en-US" sz="1800" b="1" i="0" u="none" strike="noStrike">
              <a:solidFill>
                <a:schemeClr val="accent2">
                  <a:lumMod val="50000"/>
                </a:schemeClr>
              </a:solidFill>
              <a:latin typeface="Aptos Narrow"/>
              <a:ea typeface="Verdana" pitchFamily="34" charset="0"/>
              <a:cs typeface="Verdana" pitchFamily="34" charset="0"/>
            </a:rPr>
            <a:pPr marL="0" indent="0" algn="ctr"/>
            <a:t>51</a:t>
          </a:fld>
          <a:endParaRPr lang="en-US" sz="1800" b="1" i="0" u="none" strike="noStrike">
            <a:solidFill>
              <a:schemeClr val="accent2">
                <a:lumMod val="50000"/>
              </a:schemeClr>
            </a:solidFill>
            <a:latin typeface="Aptos Narrow"/>
            <a:ea typeface="Verdana" pitchFamily="34" charset="0"/>
            <a:cs typeface="Verdana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6</xdr:row>
          <xdr:rowOff>161925</xdr:rowOff>
        </xdr:from>
        <xdr:to>
          <xdr:col>1</xdr:col>
          <xdr:colOff>485775</xdr:colOff>
          <xdr:row>7</xdr:row>
          <xdr:rowOff>142875</xdr:rowOff>
        </xdr:to>
        <xdr:sp macro="" textlink="">
          <xdr:nvSpPr>
            <xdr:cNvPr id="3074" name="Option 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=""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352425</xdr:colOff>
          <xdr:row>6</xdr:row>
          <xdr:rowOff>161925</xdr:rowOff>
        </xdr:from>
        <xdr:to>
          <xdr:col>2</xdr:col>
          <xdr:colOff>581025</xdr:colOff>
          <xdr:row>7</xdr:row>
          <xdr:rowOff>142875</xdr:rowOff>
        </xdr:to>
        <xdr:sp macro="" textlink="">
          <xdr:nvSpPr>
            <xdr:cNvPr id="3075" name="Option 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=""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6</xdr:row>
          <xdr:rowOff>161925</xdr:rowOff>
        </xdr:from>
        <xdr:to>
          <xdr:col>3</xdr:col>
          <xdr:colOff>828675</xdr:colOff>
          <xdr:row>7</xdr:row>
          <xdr:rowOff>142875</xdr:rowOff>
        </xdr:to>
        <xdr:sp macro="" textlink="">
          <xdr:nvSpPr>
            <xdr:cNvPr id="3076" name="Option 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=""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495300</xdr:colOff>
          <xdr:row>6</xdr:row>
          <xdr:rowOff>171450</xdr:rowOff>
        </xdr:from>
        <xdr:to>
          <xdr:col>5</xdr:col>
          <xdr:colOff>142875</xdr:colOff>
          <xdr:row>7</xdr:row>
          <xdr:rowOff>152400</xdr:rowOff>
        </xdr:to>
        <xdr:sp macro="" textlink="">
          <xdr:nvSpPr>
            <xdr:cNvPr id="3077" name="Option 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=""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133350</xdr:colOff>
      <xdr:row>7</xdr:row>
      <xdr:rowOff>1</xdr:rowOff>
    </xdr:from>
    <xdr:to>
      <xdr:col>16</xdr:col>
      <xdr:colOff>219075</xdr:colOff>
      <xdr:row>17</xdr:row>
      <xdr:rowOff>1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44731814-4AC7-4368-A425-0A3EE73898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8</xdr:col>
      <xdr:colOff>371475</xdr:colOff>
      <xdr:row>7</xdr:row>
      <xdr:rowOff>28575</xdr:rowOff>
    </xdr:from>
    <xdr:ext cx="3333750" cy="247650"/>
    <xdr:sp macro="" textlink="">
      <xdr:nvSpPr>
        <xdr:cNvPr id="14" name="TextBox 13">
          <a:extLst>
            <a:ext uri="{FF2B5EF4-FFF2-40B4-BE49-F238E27FC236}">
              <a16:creationId xmlns="" xmlns:a16="http://schemas.microsoft.com/office/drawing/2014/main" id="{A359A3D7-F9EB-A2AC-2515-E9F59B86AD33}"/>
            </a:ext>
          </a:extLst>
        </xdr:cNvPr>
        <xdr:cNvSpPr txBox="1"/>
      </xdr:nvSpPr>
      <xdr:spPr>
        <a:xfrm>
          <a:off x="6696075" y="1362075"/>
          <a:ext cx="3333750" cy="24765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100" b="1" i="1" u="sng">
              <a:solidFill>
                <a:schemeClr val="accent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Call Abandon Rate - By Department</a:t>
          </a:r>
          <a:endParaRPr lang="en-US" sz="1100" b="1" u="sng">
            <a:solidFill>
              <a:schemeClr val="accent1">
                <a:lumMod val="50000"/>
              </a:schemeClr>
            </a:solidFill>
            <a:effectLst/>
          </a:endParaRPr>
        </a:p>
        <a:p>
          <a:endParaRPr lang="en-US" sz="1100" b="1" u="sng">
            <a:solidFill>
              <a:schemeClr val="accent1">
                <a:lumMod val="50000"/>
              </a:schemeClr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</xdr:colOff>
          <xdr:row>0</xdr:row>
          <xdr:rowOff>0</xdr:rowOff>
        </xdr:from>
        <xdr:to>
          <xdr:col>16</xdr:col>
          <xdr:colOff>180975</xdr:colOff>
          <xdr:row>1</xdr:row>
          <xdr:rowOff>171450</xdr:rowOff>
        </xdr:to>
        <xdr:sp macro="" textlink="">
          <xdr:nvSpPr>
            <xdr:cNvPr id="3078" name="Scroll Bar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=""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0</xdr:col>
      <xdr:colOff>0</xdr:colOff>
      <xdr:row>17</xdr:row>
      <xdr:rowOff>85725</xdr:rowOff>
    </xdr:from>
    <xdr:to>
      <xdr:col>3</xdr:col>
      <xdr:colOff>209550</xdr:colOff>
      <xdr:row>31</xdr:row>
      <xdr:rowOff>104775</xdr:rowOff>
    </xdr:to>
    <xdr:graphicFrame macro="">
      <xdr:nvGraphicFramePr>
        <xdr:cNvPr id="27" name="Chart 26">
          <a:extLst>
            <a:ext uri="{FF2B5EF4-FFF2-40B4-BE49-F238E27FC236}">
              <a16:creationId xmlns="" xmlns:a16="http://schemas.microsoft.com/office/drawing/2014/main" id="{C411F9D8-C60F-490A-B8D3-761F912995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19</xdr:row>
      <xdr:rowOff>161925</xdr:rowOff>
    </xdr:from>
    <xdr:to>
      <xdr:col>3</xdr:col>
      <xdr:colOff>257174</xdr:colOff>
      <xdr:row>33</xdr:row>
      <xdr:rowOff>104775</xdr:rowOff>
    </xdr:to>
    <xdr:graphicFrame macro="">
      <xdr:nvGraphicFramePr>
        <xdr:cNvPr id="28" name="Chart 27">
          <a:extLst>
            <a:ext uri="{FF2B5EF4-FFF2-40B4-BE49-F238E27FC236}">
              <a16:creationId xmlns="" xmlns:a16="http://schemas.microsoft.com/office/drawing/2014/main" id="{855BE9AA-7228-4B59-A953-D245228EAE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oneCellAnchor>
    <xdr:from>
      <xdr:col>4</xdr:col>
      <xdr:colOff>352425</xdr:colOff>
      <xdr:row>21</xdr:row>
      <xdr:rowOff>133350</xdr:rowOff>
    </xdr:from>
    <xdr:ext cx="184731" cy="264560"/>
    <xdr:sp macro="" textlink="">
      <xdr:nvSpPr>
        <xdr:cNvPr id="12" name="TextBox 11">
          <a:extLst>
            <a:ext uri="{FF2B5EF4-FFF2-40B4-BE49-F238E27FC236}">
              <a16:creationId xmlns="" xmlns:a16="http://schemas.microsoft.com/office/drawing/2014/main" id="{9C5679D4-E19A-0A68-5988-0755CBEE6173}"/>
            </a:ext>
          </a:extLst>
        </xdr:cNvPr>
        <xdr:cNvSpPr txBox="1"/>
      </xdr:nvSpPr>
      <xdr:spPr>
        <a:xfrm>
          <a:off x="4267200" y="41338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0</xdr:col>
      <xdr:colOff>160813</xdr:colOff>
      <xdr:row>17</xdr:row>
      <xdr:rowOff>123825</xdr:rowOff>
    </xdr:from>
    <xdr:ext cx="2894610" cy="252185"/>
    <xdr:sp macro="" textlink="">
      <xdr:nvSpPr>
        <xdr:cNvPr id="30" name="TextBox 29">
          <a:extLst>
            <a:ext uri="{FF2B5EF4-FFF2-40B4-BE49-F238E27FC236}">
              <a16:creationId xmlns="" xmlns:a16="http://schemas.microsoft.com/office/drawing/2014/main" id="{1E1FC729-49CA-4F36-A84B-3EA24F289AAD}"/>
            </a:ext>
          </a:extLst>
        </xdr:cNvPr>
        <xdr:cNvSpPr txBox="1"/>
      </xdr:nvSpPr>
      <xdr:spPr>
        <a:xfrm>
          <a:off x="160813" y="3278208"/>
          <a:ext cx="2894610" cy="2521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100" b="1" i="1" u="sng">
              <a:solidFill>
                <a:schemeClr val="accent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Overall</a:t>
          </a:r>
          <a:r>
            <a:rPr lang="en-GB" sz="1100" b="0" i="1" u="sng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GB" sz="1100" b="1" i="1" u="sng">
              <a:solidFill>
                <a:schemeClr val="accent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Satisfaction</a:t>
          </a:r>
          <a:r>
            <a:rPr lang="en-GB" sz="1100" b="0" i="1" u="sng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GB" sz="1100" b="1" i="1" u="sng">
              <a:solidFill>
                <a:schemeClr val="accent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Score</a:t>
          </a:r>
          <a:endParaRPr lang="en-US" sz="1100" b="1" i="1" u="sng">
            <a:solidFill>
              <a:schemeClr val="accent1">
                <a:lumMod val="50000"/>
              </a:schemeClr>
            </a:solidFill>
            <a:effectLst/>
            <a:latin typeface="+mn-lt"/>
            <a:ea typeface="+mn-ea"/>
            <a:cs typeface="+mn-cs"/>
          </a:endParaRPr>
        </a:p>
      </xdr:txBody>
    </xdr:sp>
    <xdr:clientData/>
  </xdr:oneCellAnchor>
  <xdr:oneCellAnchor>
    <xdr:from>
      <xdr:col>0</xdr:col>
      <xdr:colOff>304800</xdr:colOff>
      <xdr:row>28</xdr:row>
      <xdr:rowOff>0</xdr:rowOff>
    </xdr:from>
    <xdr:ext cx="2305050" cy="276226"/>
    <xdr:sp macro="" textlink="">
      <xdr:nvSpPr>
        <xdr:cNvPr id="31" name="TextBox 30">
          <a:extLst>
            <a:ext uri="{FF2B5EF4-FFF2-40B4-BE49-F238E27FC236}">
              <a16:creationId xmlns="" xmlns:a16="http://schemas.microsoft.com/office/drawing/2014/main" id="{4483029C-C5F5-3AA2-7A87-1D2B558549EB}"/>
            </a:ext>
          </a:extLst>
        </xdr:cNvPr>
        <xdr:cNvSpPr txBox="1"/>
      </xdr:nvSpPr>
      <xdr:spPr>
        <a:xfrm>
          <a:off x="304800" y="5438775"/>
          <a:ext cx="2305050" cy="27622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400" b="1">
              <a:solidFill>
                <a:schemeClr val="tx2">
                  <a:lumMod val="90000"/>
                  <a:lumOff val="10000"/>
                </a:schemeClr>
              </a:solidFill>
              <a:latin typeface="Cambria" panose="02040503050406030204" pitchFamily="18" charset="0"/>
              <a:ea typeface="Cambria" panose="02040503050406030204" pitchFamily="18" charset="0"/>
              <a:cs typeface="+mn-cs"/>
            </a:rPr>
            <a:t>Satisfaction</a:t>
          </a:r>
          <a:r>
            <a:rPr lang="en-US" sz="1400" b="1"/>
            <a:t> </a:t>
          </a:r>
          <a:r>
            <a:rPr lang="en-US" sz="1400" b="1">
              <a:solidFill>
                <a:schemeClr val="tx2">
                  <a:lumMod val="90000"/>
                  <a:lumOff val="10000"/>
                </a:schemeClr>
              </a:solidFill>
              <a:latin typeface="Cambria" panose="02040503050406030204" pitchFamily="18" charset="0"/>
              <a:ea typeface="Cambria" panose="02040503050406030204" pitchFamily="18" charset="0"/>
              <a:cs typeface="+mn-cs"/>
            </a:rPr>
            <a:t>Score</a:t>
          </a:r>
          <a:r>
            <a:rPr lang="en-US" sz="1400" b="1"/>
            <a:t> :</a:t>
          </a:r>
        </a:p>
      </xdr:txBody>
    </xdr:sp>
    <xdr:clientData/>
  </xdr:oneCellAnchor>
  <xdr:oneCellAnchor>
    <xdr:from>
      <xdr:col>2</xdr:col>
      <xdr:colOff>266700</xdr:colOff>
      <xdr:row>28</xdr:row>
      <xdr:rowOff>0</xdr:rowOff>
    </xdr:from>
    <xdr:ext cx="641255" cy="342851"/>
    <xdr:sp macro="" textlink="Calculation!B11">
      <xdr:nvSpPr>
        <xdr:cNvPr id="32" name="TextBox 31">
          <a:extLst>
            <a:ext uri="{FF2B5EF4-FFF2-40B4-BE49-F238E27FC236}">
              <a16:creationId xmlns="" xmlns:a16="http://schemas.microsoft.com/office/drawing/2014/main" id="{6410DB07-39DB-0C1F-7D65-9F2AE96643FB}"/>
            </a:ext>
          </a:extLst>
        </xdr:cNvPr>
        <xdr:cNvSpPr txBox="1"/>
      </xdr:nvSpPr>
      <xdr:spPr>
        <a:xfrm>
          <a:off x="1876425" y="5438775"/>
          <a:ext cx="641255" cy="342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233BCDA1-80C0-4C5A-935E-EF4E4310A56A}" type="TxLink">
            <a:rPr lang="en-US" sz="1600" b="1" i="0" u="none" strike="noStrike">
              <a:solidFill>
                <a:srgbClr val="C00000"/>
              </a:solidFill>
              <a:latin typeface="Aptos Narrow" panose="020B0004020202020204" pitchFamily="34" charset="0"/>
              <a:ea typeface="Cambria" panose="02040503050406030204" pitchFamily="18" charset="0"/>
            </a:rPr>
            <a:pPr/>
            <a:t>3.33</a:t>
          </a:fld>
          <a:endParaRPr lang="en-US" sz="1600" b="1">
            <a:solidFill>
              <a:srgbClr val="C00000"/>
            </a:solidFill>
            <a:latin typeface="Aptos Narrow" panose="020B0004020202020204" pitchFamily="34" charset="0"/>
            <a:ea typeface="Cambria" panose="02040503050406030204" pitchFamily="18" charset="0"/>
          </a:endParaRPr>
        </a:p>
      </xdr:txBody>
    </xdr:sp>
    <xdr:clientData/>
  </xdr:oneCellAnchor>
  <xdr:twoCellAnchor>
    <xdr:from>
      <xdr:col>3</xdr:col>
      <xdr:colOff>304800</xdr:colOff>
      <xdr:row>17</xdr:row>
      <xdr:rowOff>85724</xdr:rowOff>
    </xdr:from>
    <xdr:to>
      <xdr:col>9</xdr:col>
      <xdr:colOff>400050</xdr:colOff>
      <xdr:row>31</xdr:row>
      <xdr:rowOff>95249</xdr:rowOff>
    </xdr:to>
    <xdr:graphicFrame macro="">
      <xdr:nvGraphicFramePr>
        <xdr:cNvPr id="33" name="Chart 32">
          <a:extLst>
            <a:ext uri="{FF2B5EF4-FFF2-40B4-BE49-F238E27FC236}">
              <a16:creationId xmlns="" xmlns:a16="http://schemas.microsoft.com/office/drawing/2014/main" id="{0C92205F-105E-41D2-B7A7-6E263C7A18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3</xdr:col>
      <xdr:colOff>420585</xdr:colOff>
      <xdr:row>17</xdr:row>
      <xdr:rowOff>133351</xdr:rowOff>
    </xdr:from>
    <xdr:ext cx="4836720" cy="252185"/>
    <xdr:sp macro="" textlink="">
      <xdr:nvSpPr>
        <xdr:cNvPr id="35" name="TextBox 34">
          <a:extLst>
            <a:ext uri="{FF2B5EF4-FFF2-40B4-BE49-F238E27FC236}">
              <a16:creationId xmlns="" xmlns:a16="http://schemas.microsoft.com/office/drawing/2014/main" id="{F50E4571-2F12-FAA5-9686-DA70B0DBE065}"/>
            </a:ext>
          </a:extLst>
        </xdr:cNvPr>
        <xdr:cNvSpPr txBox="1"/>
      </xdr:nvSpPr>
      <xdr:spPr>
        <a:xfrm>
          <a:off x="3389416" y="3287734"/>
          <a:ext cx="4836720" cy="2521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100" b="1" i="1" u="sng">
              <a:solidFill>
                <a:schemeClr val="accent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Satisfaction</a:t>
          </a:r>
          <a:r>
            <a:rPr lang="en-GB" sz="1100" b="0" i="1" u="sng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GB" sz="1100" b="1" i="1" u="sng">
              <a:solidFill>
                <a:schemeClr val="accent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Score</a:t>
          </a:r>
          <a:r>
            <a:rPr lang="en-GB" sz="1100" b="0" i="1" u="sng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- </a:t>
          </a:r>
          <a:r>
            <a:rPr lang="en-GB" sz="1100" b="1" i="1" u="sng">
              <a:solidFill>
                <a:schemeClr val="accent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By</a:t>
          </a:r>
          <a:r>
            <a:rPr lang="en-GB" sz="1100" b="0" i="1" u="sng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GB" sz="1100" b="1" i="1" u="sng">
              <a:solidFill>
                <a:schemeClr val="accent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Agent</a:t>
          </a:r>
          <a:endParaRPr lang="en-US" sz="1100" b="1" i="1" u="sng">
            <a:solidFill>
              <a:schemeClr val="accent1">
                <a:lumMod val="50000"/>
              </a:schemeClr>
            </a:solidFill>
            <a:effectLst/>
            <a:latin typeface="+mn-lt"/>
            <a:ea typeface="+mn-ea"/>
            <a:cs typeface="+mn-cs"/>
          </a:endParaRPr>
        </a:p>
      </xdr:txBody>
    </xdr:sp>
    <xdr:clientData/>
  </xdr:oneCellAnchor>
  <xdr:oneCellAnchor>
    <xdr:from>
      <xdr:col>8</xdr:col>
      <xdr:colOff>9525</xdr:colOff>
      <xdr:row>19</xdr:row>
      <xdr:rowOff>123824</xdr:rowOff>
    </xdr:from>
    <xdr:ext cx="819150" cy="219075"/>
    <xdr:sp macro="" textlink="">
      <xdr:nvSpPr>
        <xdr:cNvPr id="36" name="TextBox 35">
          <a:extLst>
            <a:ext uri="{FF2B5EF4-FFF2-40B4-BE49-F238E27FC236}">
              <a16:creationId xmlns="" xmlns:a16="http://schemas.microsoft.com/office/drawing/2014/main" id="{954EEE8F-B72F-518D-10D6-B0EC547AD099}"/>
            </a:ext>
          </a:extLst>
        </xdr:cNvPr>
        <xdr:cNvSpPr txBox="1"/>
      </xdr:nvSpPr>
      <xdr:spPr>
        <a:xfrm>
          <a:off x="7239000" y="3562349"/>
          <a:ext cx="819150" cy="2190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b="1" i="1" u="none" strike="noStrike" kern="1200" baseline="0">
              <a:solidFill>
                <a:sysClr val="window" lastClr="FFFFFF">
                  <a:lumMod val="50000"/>
                </a:sysClr>
              </a:solidFill>
              <a:latin typeface="+mn-lt"/>
              <a:ea typeface="+mn-ea"/>
              <a:cs typeface="+mn-cs"/>
            </a:rPr>
            <a:t>Target</a:t>
          </a:r>
          <a:r>
            <a:rPr lang="en-US" sz="800" i="1" u="none">
              <a:solidFill>
                <a:schemeClr val="bg1">
                  <a:lumMod val="75000"/>
                </a:schemeClr>
              </a:solidFill>
              <a:latin typeface="Calibri" panose="020F0502020204030204" pitchFamily="34" charset="0"/>
              <a:ea typeface="Arial Unicode MS" panose="020B0604020202020204" pitchFamily="34" charset="-128"/>
              <a:cs typeface="Calibri" panose="020F0502020204030204" pitchFamily="34" charset="0"/>
            </a:rPr>
            <a:t> :</a:t>
          </a:r>
          <a:r>
            <a:rPr lang="en-US" sz="800" i="1" u="none" baseline="0">
              <a:solidFill>
                <a:schemeClr val="bg1">
                  <a:lumMod val="75000"/>
                </a:schemeClr>
              </a:solidFill>
              <a:latin typeface="Calibri" panose="020F0502020204030204" pitchFamily="34" charset="0"/>
              <a:ea typeface="Arial Unicode MS" panose="020B0604020202020204" pitchFamily="34" charset="-128"/>
              <a:cs typeface="Calibri" panose="020F0502020204030204" pitchFamily="34" charset="0"/>
            </a:rPr>
            <a:t> </a:t>
          </a:r>
          <a:r>
            <a:rPr lang="en-US" sz="800" b="1" i="1" u="none" strike="noStrike" kern="1200" baseline="0">
              <a:solidFill>
                <a:sysClr val="window" lastClr="FFFFFF">
                  <a:lumMod val="50000"/>
                </a:sysClr>
              </a:solidFill>
              <a:latin typeface="+mn-lt"/>
              <a:ea typeface="+mn-ea"/>
              <a:cs typeface="+mn-cs"/>
            </a:rPr>
            <a:t>3.5</a:t>
          </a:r>
        </a:p>
      </xdr:txBody>
    </xdr:sp>
    <xdr:clientData/>
  </xdr:oneCellAnchor>
  <xdr:twoCellAnchor>
    <xdr:from>
      <xdr:col>9</xdr:col>
      <xdr:colOff>476250</xdr:colOff>
      <xdr:row>17</xdr:row>
      <xdr:rowOff>85726</xdr:rowOff>
    </xdr:from>
    <xdr:to>
      <xdr:col>16</xdr:col>
      <xdr:colOff>209550</xdr:colOff>
      <xdr:row>31</xdr:row>
      <xdr:rowOff>104776</xdr:rowOff>
    </xdr:to>
    <xdr:sp macro="" textlink="">
      <xdr:nvSpPr>
        <xdr:cNvPr id="37" name="Rectangle 36">
          <a:extLst>
            <a:ext uri="{FF2B5EF4-FFF2-40B4-BE49-F238E27FC236}">
              <a16:creationId xmlns="" xmlns:a16="http://schemas.microsoft.com/office/drawing/2014/main" id="{23F3AC80-EB0D-4053-8A3B-F129DF155EAF}"/>
            </a:ext>
          </a:extLst>
        </xdr:cNvPr>
        <xdr:cNvSpPr/>
      </xdr:nvSpPr>
      <xdr:spPr>
        <a:xfrm>
          <a:off x="7410450" y="3324226"/>
          <a:ext cx="4000500" cy="2686050"/>
        </a:xfrm>
        <a:prstGeom prst="rect">
          <a:avLst/>
        </a:prstGeom>
        <a:noFill/>
        <a:ln w="952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485775</xdr:colOff>
      <xdr:row>17</xdr:row>
      <xdr:rowOff>95251</xdr:rowOff>
    </xdr:from>
    <xdr:to>
      <xdr:col>16</xdr:col>
      <xdr:colOff>200025</xdr:colOff>
      <xdr:row>19</xdr:row>
      <xdr:rowOff>95251</xdr:rowOff>
    </xdr:to>
    <xdr:sp macro="" textlink="">
      <xdr:nvSpPr>
        <xdr:cNvPr id="38" name="Rectangle 37">
          <a:extLst>
            <a:ext uri="{FF2B5EF4-FFF2-40B4-BE49-F238E27FC236}">
              <a16:creationId xmlns="" xmlns:a16="http://schemas.microsoft.com/office/drawing/2014/main" id="{CEE3B29B-3DAE-DAB4-9F87-E93264E5E435}"/>
            </a:ext>
          </a:extLst>
        </xdr:cNvPr>
        <xdr:cNvSpPr/>
      </xdr:nvSpPr>
      <xdr:spPr>
        <a:xfrm>
          <a:off x="7419975" y="3333751"/>
          <a:ext cx="3981450" cy="381000"/>
        </a:xfrm>
        <a:prstGeom prst="rect">
          <a:avLst/>
        </a:prstGeom>
        <a:solidFill>
          <a:schemeClr val="tx2">
            <a:lumMod val="10000"/>
            <a:lumOff val="90000"/>
          </a:schemeClr>
        </a:solidFill>
        <a:ln w="127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515895</xdr:colOff>
      <xdr:row>17</xdr:row>
      <xdr:rowOff>174172</xdr:rowOff>
    </xdr:from>
    <xdr:to>
      <xdr:col>15</xdr:col>
      <xdr:colOff>323850</xdr:colOff>
      <xdr:row>19</xdr:row>
      <xdr:rowOff>95526</xdr:rowOff>
    </xdr:to>
    <xdr:sp macro="" textlink="">
      <xdr:nvSpPr>
        <xdr:cNvPr id="39" name="TextBox 38">
          <a:extLst>
            <a:ext uri="{FF2B5EF4-FFF2-40B4-BE49-F238E27FC236}">
              <a16:creationId xmlns="" xmlns:a16="http://schemas.microsoft.com/office/drawing/2014/main" id="{75A421F6-0A34-BB21-A5C8-1E108622619D}"/>
            </a:ext>
          </a:extLst>
        </xdr:cNvPr>
        <xdr:cNvSpPr txBox="1"/>
      </xdr:nvSpPr>
      <xdr:spPr>
        <a:xfrm>
          <a:off x="9136020" y="3250747"/>
          <a:ext cx="3284580" cy="28330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1100" b="1" i="1" u="sng">
              <a:solidFill>
                <a:schemeClr val="accent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Service</a:t>
          </a:r>
          <a:r>
            <a:rPr lang="en-US" sz="1100"/>
            <a:t> </a:t>
          </a:r>
          <a:r>
            <a:rPr lang="en-US" sz="1100" b="1" i="1" u="sng">
              <a:solidFill>
                <a:schemeClr val="accent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Level</a:t>
          </a:r>
          <a:r>
            <a:rPr lang="en-US" sz="1100"/>
            <a:t> </a:t>
          </a:r>
          <a:r>
            <a:rPr lang="en-US" sz="1100" b="1" i="1" u="sng">
              <a:solidFill>
                <a:schemeClr val="accent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Agreements</a:t>
          </a:r>
          <a:r>
            <a:rPr lang="en-US" sz="900" b="1" i="1" u="sng">
              <a:solidFill>
                <a:schemeClr val="accent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  </a:t>
          </a:r>
          <a:r>
            <a:rPr lang="en-US" sz="1100" b="1" i="1" u="sng">
              <a:solidFill>
                <a:schemeClr val="accent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[SLA</a:t>
          </a:r>
          <a:r>
            <a:rPr lang="en-US" sz="900" b="1" i="1" u="sng">
              <a:solidFill>
                <a:schemeClr val="accent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 i="1" u="sng">
              <a:solidFill>
                <a:schemeClr val="accent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Limits]</a:t>
          </a:r>
          <a:endParaRPr lang="en-US" sz="900" b="1" i="1" u="sng">
            <a:solidFill>
              <a:schemeClr val="accent1">
                <a:lumMod val="50000"/>
              </a:schemeClr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oneCellAnchor>
    <xdr:from>
      <xdr:col>10</xdr:col>
      <xdr:colOff>200025</xdr:colOff>
      <xdr:row>21</xdr:row>
      <xdr:rowOff>0</xdr:rowOff>
    </xdr:from>
    <xdr:ext cx="3771900" cy="268728"/>
    <xdr:sp macro="" textlink="">
      <xdr:nvSpPr>
        <xdr:cNvPr id="41" name="TextBox 40">
          <a:extLst>
            <a:ext uri="{FF2B5EF4-FFF2-40B4-BE49-F238E27FC236}">
              <a16:creationId xmlns="" xmlns:a16="http://schemas.microsoft.com/office/drawing/2014/main" id="{CD2B70F1-D020-07EC-BDE4-C5DB99B1CFE8}"/>
            </a:ext>
          </a:extLst>
        </xdr:cNvPr>
        <xdr:cNvSpPr txBox="1"/>
      </xdr:nvSpPr>
      <xdr:spPr>
        <a:xfrm>
          <a:off x="8820150" y="3800475"/>
          <a:ext cx="3771900" cy="26872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>
              <a:solidFill>
                <a:schemeClr val="tx2">
                  <a:lumMod val="90000"/>
                  <a:lumOff val="10000"/>
                </a:schemeClr>
              </a:solidFill>
              <a:latin typeface="Cambria" panose="02040503050406030204" pitchFamily="18" charset="0"/>
              <a:ea typeface="Cambria" panose="02040503050406030204" pitchFamily="18" charset="0"/>
              <a:cs typeface="+mn-cs"/>
            </a:rPr>
            <a:t>Calls</a:t>
          </a:r>
          <a:r>
            <a:rPr lang="en-US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tx2">
                  <a:lumMod val="90000"/>
                  <a:lumOff val="10000"/>
                </a:schemeClr>
              </a:solidFill>
              <a:latin typeface="Cambria" panose="02040503050406030204" pitchFamily="18" charset="0"/>
              <a:ea typeface="Cambria" panose="02040503050406030204" pitchFamily="18" charset="0"/>
              <a:cs typeface="+mn-cs"/>
            </a:rPr>
            <a:t>answered</a:t>
          </a:r>
          <a:r>
            <a:rPr lang="en-US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tx2">
                  <a:lumMod val="90000"/>
                  <a:lumOff val="10000"/>
                </a:schemeClr>
              </a:solidFill>
              <a:latin typeface="Cambria" panose="02040503050406030204" pitchFamily="18" charset="0"/>
              <a:ea typeface="Cambria" panose="02040503050406030204" pitchFamily="18" charset="0"/>
              <a:cs typeface="+mn-cs"/>
            </a:rPr>
            <a:t>in</a:t>
          </a:r>
          <a:r>
            <a:rPr lang="en-US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tx2">
                  <a:lumMod val="90000"/>
                  <a:lumOff val="10000"/>
                </a:schemeClr>
              </a:solidFill>
              <a:latin typeface="Cambria" panose="02040503050406030204" pitchFamily="18" charset="0"/>
              <a:ea typeface="Cambria" panose="02040503050406030204" pitchFamily="18" charset="0"/>
              <a:cs typeface="+mn-cs"/>
            </a:rPr>
            <a:t>less</a:t>
          </a:r>
          <a:r>
            <a:rPr lang="en-US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tx2">
                  <a:lumMod val="90000"/>
                  <a:lumOff val="10000"/>
                </a:schemeClr>
              </a:solidFill>
              <a:latin typeface="Cambria" panose="02040503050406030204" pitchFamily="18" charset="0"/>
              <a:ea typeface="Cambria" panose="02040503050406030204" pitchFamily="18" charset="0"/>
              <a:cs typeface="+mn-cs"/>
            </a:rPr>
            <a:t>than</a:t>
          </a:r>
          <a:r>
            <a:rPr lang="en-US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tx2">
                  <a:lumMod val="90000"/>
                  <a:lumOff val="10000"/>
                </a:schemeClr>
              </a:solidFill>
              <a:latin typeface="Cambria" panose="02040503050406030204" pitchFamily="18" charset="0"/>
              <a:ea typeface="Cambria" panose="02040503050406030204" pitchFamily="18" charset="0"/>
              <a:cs typeface="+mn-cs"/>
            </a:rPr>
            <a:t>180</a:t>
          </a:r>
          <a:r>
            <a:rPr lang="en-US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tx2">
                  <a:lumMod val="90000"/>
                  <a:lumOff val="10000"/>
                </a:schemeClr>
              </a:solidFill>
              <a:latin typeface="Cambria" panose="02040503050406030204" pitchFamily="18" charset="0"/>
              <a:ea typeface="Cambria" panose="02040503050406030204" pitchFamily="18" charset="0"/>
              <a:cs typeface="+mn-cs"/>
            </a:rPr>
            <a:t>Seconds</a:t>
          </a:r>
          <a:r>
            <a:rPr lang="en-US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:</a:t>
          </a:r>
          <a:endParaRPr lang="en-US" sz="1100">
            <a:effectLst/>
          </a:endParaRPr>
        </a:p>
      </xdr:txBody>
    </xdr:sp>
    <xdr:clientData/>
  </xdr:oneCellAnchor>
  <xdr:oneCellAnchor>
    <xdr:from>
      <xdr:col>10</xdr:col>
      <xdr:colOff>200025</xdr:colOff>
      <xdr:row>25</xdr:row>
      <xdr:rowOff>171450</xdr:rowOff>
    </xdr:from>
    <xdr:ext cx="3648075" cy="268728"/>
    <xdr:sp macro="" textlink="">
      <xdr:nvSpPr>
        <xdr:cNvPr id="42" name="TextBox 41">
          <a:extLst>
            <a:ext uri="{FF2B5EF4-FFF2-40B4-BE49-F238E27FC236}">
              <a16:creationId xmlns="" xmlns:a16="http://schemas.microsoft.com/office/drawing/2014/main" id="{4C7563B4-1A6E-440E-A9B6-209F0846A679}"/>
            </a:ext>
          </a:extLst>
        </xdr:cNvPr>
        <xdr:cNvSpPr txBox="1"/>
      </xdr:nvSpPr>
      <xdr:spPr>
        <a:xfrm>
          <a:off x="8820150" y="4705350"/>
          <a:ext cx="3648075" cy="26872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>
              <a:solidFill>
                <a:schemeClr val="tx2">
                  <a:lumMod val="90000"/>
                  <a:lumOff val="10000"/>
                </a:schemeClr>
              </a:solidFill>
              <a:effectLst/>
              <a:latin typeface="Cambria" panose="02040503050406030204" pitchFamily="18" charset="0"/>
              <a:ea typeface="Cambria" panose="02040503050406030204" pitchFamily="18" charset="0"/>
              <a:cs typeface="+mn-cs"/>
            </a:rPr>
            <a:t>Calls</a:t>
          </a:r>
          <a:r>
            <a:rPr lang="en-US" sz="1100" b="1" baseline="0">
              <a:solidFill>
                <a:schemeClr val="tx2">
                  <a:lumMod val="90000"/>
                  <a:lumOff val="10000"/>
                </a:schemeClr>
              </a:solidFill>
              <a:effectLst/>
              <a:latin typeface="Cambria" panose="02040503050406030204" pitchFamily="18" charset="0"/>
              <a:ea typeface="Cambria" panose="02040503050406030204" pitchFamily="18" charset="0"/>
              <a:cs typeface="+mn-cs"/>
            </a:rPr>
            <a:t> with</a:t>
          </a:r>
          <a:r>
            <a:rPr lang="en-US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tx2">
                  <a:lumMod val="90000"/>
                  <a:lumOff val="10000"/>
                </a:schemeClr>
              </a:solidFill>
              <a:latin typeface="Cambria" panose="02040503050406030204" pitchFamily="18" charset="0"/>
              <a:ea typeface="Cambria" panose="02040503050406030204" pitchFamily="18" charset="0"/>
              <a:cs typeface="+mn-cs"/>
            </a:rPr>
            <a:t>satisfaction</a:t>
          </a:r>
          <a:r>
            <a:rPr lang="en-US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tx2">
                  <a:lumMod val="90000"/>
                  <a:lumOff val="10000"/>
                </a:schemeClr>
              </a:solidFill>
              <a:latin typeface="Cambria" panose="02040503050406030204" pitchFamily="18" charset="0"/>
              <a:ea typeface="Cambria" panose="02040503050406030204" pitchFamily="18" charset="0"/>
              <a:cs typeface="+mn-cs"/>
            </a:rPr>
            <a:t>score</a:t>
          </a:r>
          <a:r>
            <a:rPr lang="en-US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tx2">
                  <a:lumMod val="90000"/>
                  <a:lumOff val="10000"/>
                </a:schemeClr>
              </a:solidFill>
              <a:latin typeface="Cambria" panose="02040503050406030204" pitchFamily="18" charset="0"/>
              <a:ea typeface="Cambria" panose="02040503050406030204" pitchFamily="18" charset="0"/>
              <a:cs typeface="+mn-cs"/>
            </a:rPr>
            <a:t>less</a:t>
          </a:r>
          <a:r>
            <a:rPr lang="en-US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tx2">
                  <a:lumMod val="90000"/>
                  <a:lumOff val="10000"/>
                </a:schemeClr>
              </a:solidFill>
              <a:latin typeface="Cambria" panose="02040503050406030204" pitchFamily="18" charset="0"/>
              <a:ea typeface="Cambria" panose="02040503050406030204" pitchFamily="18" charset="0"/>
              <a:cs typeface="+mn-cs"/>
            </a:rPr>
            <a:t>than</a:t>
          </a:r>
          <a:r>
            <a:rPr lang="en-US" sz="1100" b="1" baseline="0">
              <a:solidFill>
                <a:schemeClr val="tx2">
                  <a:lumMod val="90000"/>
                  <a:lumOff val="10000"/>
                </a:schemeClr>
              </a:solidFill>
              <a:latin typeface="Cambria" panose="02040503050406030204" pitchFamily="18" charset="0"/>
              <a:ea typeface="Cambria" panose="02040503050406030204" pitchFamily="18" charset="0"/>
              <a:cs typeface="+mn-cs"/>
            </a:rPr>
            <a:t> 3.5:</a:t>
          </a:r>
          <a:endParaRPr lang="en-US" sz="1100">
            <a:effectLst/>
          </a:endParaRPr>
        </a:p>
      </xdr:txBody>
    </xdr:sp>
    <xdr:clientData/>
  </xdr:oneCellAnchor>
  <xdr:oneCellAnchor>
    <xdr:from>
      <xdr:col>12</xdr:col>
      <xdr:colOff>438150</xdr:colOff>
      <xdr:row>27</xdr:row>
      <xdr:rowOff>57150</xdr:rowOff>
    </xdr:from>
    <xdr:ext cx="733424" cy="468013"/>
    <xdr:sp macro="" textlink="Calculation!B14">
      <xdr:nvSpPr>
        <xdr:cNvPr id="44" name="TextBox 43">
          <a:extLst>
            <a:ext uri="{FF2B5EF4-FFF2-40B4-BE49-F238E27FC236}">
              <a16:creationId xmlns="" xmlns:a16="http://schemas.microsoft.com/office/drawing/2014/main" id="{1E4619D8-A34B-4BB1-80F0-1F86071E9FAE}"/>
            </a:ext>
          </a:extLst>
        </xdr:cNvPr>
        <xdr:cNvSpPr txBox="1"/>
      </xdr:nvSpPr>
      <xdr:spPr>
        <a:xfrm>
          <a:off x="9201150" y="5305425"/>
          <a:ext cx="733424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/>
          <a:fld id="{26EAADCC-7F92-4B31-B3AC-3FB515E15684}" type="TxLink">
            <a:rPr lang="en-US" sz="2400" b="1" i="0" u="none" strike="noStrike">
              <a:solidFill>
                <a:srgbClr val="990000"/>
              </a:solidFill>
              <a:latin typeface="+mn-lt"/>
              <a:ea typeface="Cambria" panose="02040503050406030204" pitchFamily="18" charset="0"/>
              <a:cs typeface="+mn-cs"/>
            </a:rPr>
            <a:pPr marL="0" indent="0"/>
            <a:t>151</a:t>
          </a:fld>
          <a:endParaRPr lang="en-US" sz="2400" b="1" i="0" u="none" strike="noStrike">
            <a:solidFill>
              <a:srgbClr val="990000"/>
            </a:solidFill>
            <a:latin typeface="+mn-lt"/>
            <a:ea typeface="Cambria" panose="02040503050406030204" pitchFamily="18" charset="0"/>
            <a:cs typeface="+mn-cs"/>
          </a:endParaRPr>
        </a:p>
      </xdr:txBody>
    </xdr:sp>
    <xdr:clientData/>
  </xdr:oneCellAnchor>
  <xdr:twoCellAnchor>
    <xdr:from>
      <xdr:col>12</xdr:col>
      <xdr:colOff>407459</xdr:colOff>
      <xdr:row>22</xdr:row>
      <xdr:rowOff>142875</xdr:rowOff>
    </xdr:from>
    <xdr:to>
      <xdr:col>14</xdr:col>
      <xdr:colOff>28574</xdr:colOff>
      <xdr:row>25</xdr:row>
      <xdr:rowOff>57150</xdr:rowOff>
    </xdr:to>
    <xdr:sp macro="" textlink="Calculation!B12">
      <xdr:nvSpPr>
        <xdr:cNvPr id="43" name="TextBox 42">
          <a:extLst>
            <a:ext uri="{FF2B5EF4-FFF2-40B4-BE49-F238E27FC236}">
              <a16:creationId xmlns="" xmlns:a16="http://schemas.microsoft.com/office/drawing/2014/main" id="{A6BC4BEB-1266-4A36-8C0E-99CFC9257740}"/>
            </a:ext>
          </a:extLst>
        </xdr:cNvPr>
        <xdr:cNvSpPr txBox="1"/>
      </xdr:nvSpPr>
      <xdr:spPr>
        <a:xfrm>
          <a:off x="9170459" y="4333875"/>
          <a:ext cx="840315" cy="4857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90FC8F06-98E5-4B10-A1C3-73F0018C9CCF}" type="TxLink">
            <a:rPr lang="en-US" sz="2400" b="1" i="0" u="none" strike="noStrike">
              <a:solidFill>
                <a:srgbClr val="990000"/>
              </a:solidFill>
              <a:latin typeface="+mn-lt"/>
              <a:ea typeface="Cambria" panose="02040503050406030204" pitchFamily="18" charset="0"/>
            </a:rPr>
            <a:pPr/>
            <a:t>120</a:t>
          </a:fld>
          <a:endParaRPr lang="en-US" sz="2400" b="1">
            <a:solidFill>
              <a:srgbClr val="990000"/>
            </a:solidFill>
            <a:latin typeface="+mn-lt"/>
            <a:ea typeface="Cambria" panose="02040503050406030204" pitchFamily="18" charset="0"/>
          </a:endParaRPr>
        </a:p>
      </xdr:txBody>
    </xdr:sp>
    <xdr:clientData/>
  </xdr:twoCellAnchor>
  <xdr:oneCellAnchor>
    <xdr:from>
      <xdr:col>14</xdr:col>
      <xdr:colOff>381000</xdr:colOff>
      <xdr:row>9</xdr:row>
      <xdr:rowOff>57150</xdr:rowOff>
    </xdr:from>
    <xdr:ext cx="704424" cy="218906"/>
    <xdr:sp macro="" textlink="">
      <xdr:nvSpPr>
        <xdr:cNvPr id="49" name="TextBox 48">
          <a:extLst>
            <a:ext uri="{FF2B5EF4-FFF2-40B4-BE49-F238E27FC236}">
              <a16:creationId xmlns="" xmlns:a16="http://schemas.microsoft.com/office/drawing/2014/main" id="{514EFD6B-696D-4090-82BF-D0AB2E71F346}"/>
            </a:ext>
          </a:extLst>
        </xdr:cNvPr>
        <xdr:cNvSpPr txBox="1"/>
      </xdr:nvSpPr>
      <xdr:spPr>
        <a:xfrm>
          <a:off x="10363200" y="1771650"/>
          <a:ext cx="704424" cy="2189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800" b="1" i="1" u="none" strike="noStrike" kern="1200" baseline="0">
              <a:solidFill>
                <a:sysClr val="window" lastClr="FFFFFF">
                  <a:lumMod val="50000"/>
                </a:sysClr>
              </a:solidFill>
              <a:latin typeface="+mn-lt"/>
              <a:ea typeface="+mn-ea"/>
              <a:cs typeface="+mn-cs"/>
            </a:rPr>
            <a:t>Target</a:t>
          </a:r>
          <a:r>
            <a:rPr lang="en-US" sz="800" i="1" u="none">
              <a:solidFill>
                <a:schemeClr val="bg1">
                  <a:lumMod val="75000"/>
                </a:schemeClr>
              </a:solidFill>
              <a:latin typeface="Calibri" panose="020F0502020204030204" pitchFamily="34" charset="0"/>
              <a:ea typeface="Arial Unicode MS" panose="020B0604020202020204" pitchFamily="34" charset="-128"/>
              <a:cs typeface="Calibri" panose="020F0502020204030204" pitchFamily="34" charset="0"/>
            </a:rPr>
            <a:t> :</a:t>
          </a:r>
          <a:r>
            <a:rPr lang="en-US" sz="800" i="1" u="none" baseline="0">
              <a:solidFill>
                <a:schemeClr val="bg1">
                  <a:lumMod val="75000"/>
                </a:schemeClr>
              </a:solidFill>
              <a:latin typeface="Calibri" panose="020F0502020204030204" pitchFamily="34" charset="0"/>
              <a:ea typeface="Arial Unicode MS" panose="020B0604020202020204" pitchFamily="34" charset="-128"/>
              <a:cs typeface="Calibri" panose="020F0502020204030204" pitchFamily="34" charset="0"/>
            </a:rPr>
            <a:t> </a:t>
          </a:r>
          <a:r>
            <a:rPr lang="en-US" sz="800" b="1" i="1" u="none" strike="noStrike" kern="1200" baseline="0">
              <a:solidFill>
                <a:sysClr val="window" lastClr="FFFFFF">
                  <a:lumMod val="50000"/>
                </a:sysClr>
              </a:solidFill>
              <a:latin typeface="+mn-lt"/>
              <a:ea typeface="+mn-ea"/>
              <a:cs typeface="+mn-cs"/>
            </a:rPr>
            <a:t>20%</a:t>
          </a:r>
        </a:p>
      </xdr:txBody>
    </xdr:sp>
    <xdr:clientData/>
  </xdr:oneCellAnchor>
  <xdr:twoCellAnchor editAs="oneCell">
    <xdr:from>
      <xdr:col>14</xdr:col>
      <xdr:colOff>538226</xdr:colOff>
      <xdr:row>0</xdr:row>
      <xdr:rowOff>92406</xdr:rowOff>
    </xdr:from>
    <xdr:to>
      <xdr:col>15</xdr:col>
      <xdr:colOff>100075</xdr:colOff>
      <xdr:row>1</xdr:row>
      <xdr:rowOff>73355</xdr:rowOff>
    </xdr:to>
    <xdr:pic>
      <xdr:nvPicPr>
        <xdr:cNvPr id="52" name="Picture 51">
          <a:extLst>
            <a:ext uri="{FF2B5EF4-FFF2-40B4-BE49-F238E27FC236}">
              <a16:creationId xmlns="" xmlns:a16="http://schemas.microsoft.com/office/drawing/2014/main" id="{D484F0CB-DE72-BAF9-BC94-25AA4267D9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duotone>
            <a:schemeClr val="accent1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11918745" y="92406"/>
          <a:ext cx="254577" cy="166501"/>
        </a:xfrm>
        <a:prstGeom prst="rect">
          <a:avLst/>
        </a:prstGeom>
      </xdr:spPr>
    </xdr:pic>
    <xdr:clientData/>
  </xdr:twoCellAnchor>
  <xdr:twoCellAnchor editAs="oneCell">
    <xdr:from>
      <xdr:col>3</xdr:col>
      <xdr:colOff>581026</xdr:colOff>
      <xdr:row>0</xdr:row>
      <xdr:rowOff>38100</xdr:rowOff>
    </xdr:from>
    <xdr:to>
      <xdr:col>3</xdr:col>
      <xdr:colOff>1076886</xdr:colOff>
      <xdr:row>1</xdr:row>
      <xdr:rowOff>142875</xdr:rowOff>
    </xdr:to>
    <xdr:pic>
      <xdr:nvPicPr>
        <xdr:cNvPr id="54" name="Picture 53">
          <a:extLst>
            <a:ext uri="{FF2B5EF4-FFF2-40B4-BE49-F238E27FC236}">
              <a16:creationId xmlns="" xmlns:a16="http://schemas.microsoft.com/office/drawing/2014/main" id="{B70918BF-5B3D-21C8-09E3-3286F2A0EC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43301" y="38100"/>
          <a:ext cx="495860" cy="285750"/>
        </a:xfrm>
        <a:prstGeom prst="rect">
          <a:avLst/>
        </a:prstGeom>
        <a:noFill/>
      </xdr:spPr>
    </xdr:pic>
    <xdr:clientData/>
  </xdr:twoCellAnchor>
</xdr:wsDr>
</file>

<file path=xl/tables/table1.xml><?xml version="1.0" encoding="utf-8"?>
<table xmlns="http://schemas.openxmlformats.org/spreadsheetml/2006/main" id="1" name="CCData" displayName="CCData" ref="A1:J5001" totalsRowShown="0" headerRowDxfId="4">
  <autoFilter ref="A1:J5001"/>
  <tableColumns count="10">
    <tableColumn id="1" name="Call ID"/>
    <tableColumn id="2" name="Date" dataDxfId="3"/>
    <tableColumn id="3" name="Agent" dataDxfId="2"/>
    <tableColumn id="4" name="Department"/>
    <tableColumn id="5" name="Answered(Y/N)"/>
    <tableColumn id="6" name="Resolved"/>
    <tableColumn id="7" name="Speed of Answer"/>
    <tableColumn id="8" name="AvgTalkDuration" dataDxfId="1"/>
    <tableColumn id="9" name="Satisfaction rating"/>
    <tableColumn id="11" name="Date check" dataDxfId="0">
      <calculatedColumnFormula>AND(CCData[[#This Row],[Date]]&gt;=Calculation!$E$3,CCData[[#This Row],[Date]]&lt;Calculation!$E$3+7)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5001"/>
  <sheetViews>
    <sheetView workbookViewId="0">
      <selection activeCell="F4" sqref="F4"/>
    </sheetView>
  </sheetViews>
  <sheetFormatPr defaultRowHeight="14.25"/>
  <cols>
    <col min="1" max="1" width="11.375" customWidth="1"/>
    <col min="2" max="2" width="15.875" bestFit="1" customWidth="1"/>
    <col min="3" max="3" width="15.875" customWidth="1"/>
    <col min="4" max="4" width="17.25" customWidth="1"/>
    <col min="5" max="5" width="17.625" customWidth="1"/>
    <col min="6" max="6" width="16.75" customWidth="1"/>
    <col min="7" max="7" width="18.125" customWidth="1"/>
    <col min="8" max="8" width="18.375" customWidth="1"/>
    <col min="9" max="9" width="19.875" customWidth="1"/>
    <col min="10" max="10" width="15" customWidth="1"/>
    <col min="12" max="12" width="11.75" customWidth="1"/>
  </cols>
  <sheetData>
    <row r="1" spans="1:12" ht="15">
      <c r="A1" s="1" t="s">
        <v>0</v>
      </c>
      <c r="B1" s="1" t="s">
        <v>5001</v>
      </c>
      <c r="C1" s="1" t="s">
        <v>5002</v>
      </c>
      <c r="D1" s="1" t="s">
        <v>5011</v>
      </c>
      <c r="E1" s="1" t="s">
        <v>5017</v>
      </c>
      <c r="F1" s="1" t="s">
        <v>5020</v>
      </c>
      <c r="G1" s="1" t="s">
        <v>5021</v>
      </c>
      <c r="H1" s="1" t="s">
        <v>5023</v>
      </c>
      <c r="I1" s="1" t="s">
        <v>5024</v>
      </c>
      <c r="J1" s="1" t="s">
        <v>5025</v>
      </c>
      <c r="K1" s="1"/>
    </row>
    <row r="2" spans="1:12" ht="15">
      <c r="A2" t="s">
        <v>1</v>
      </c>
      <c r="B2" s="2">
        <v>42005.384004629632</v>
      </c>
      <c r="C2" s="3" t="s">
        <v>5003</v>
      </c>
      <c r="D2" t="s">
        <v>5012</v>
      </c>
      <c r="E2" t="s">
        <v>5018</v>
      </c>
      <c r="F2" t="s">
        <v>5018</v>
      </c>
      <c r="G2">
        <v>109</v>
      </c>
      <c r="H2" s="5">
        <v>1.6575258900405753E-3</v>
      </c>
      <c r="I2">
        <v>3</v>
      </c>
      <c r="J2" t="b">
        <f>AND(CCData[[#This Row],[Date]]&gt;=Calculation!$E$3,CCData[[#This Row],[Date]]&lt;Calculation!$E$3+7)</f>
        <v>0</v>
      </c>
      <c r="L2" s="1" t="s">
        <v>5042</v>
      </c>
    </row>
    <row r="3" spans="1:12">
      <c r="A3" t="s">
        <v>2</v>
      </c>
      <c r="B3" s="2">
        <v>42005.383999999998</v>
      </c>
      <c r="C3" s="3" t="s">
        <v>5004</v>
      </c>
      <c r="D3" t="s">
        <v>5013</v>
      </c>
      <c r="E3" t="s">
        <v>5018</v>
      </c>
      <c r="F3" t="s">
        <v>5019</v>
      </c>
      <c r="G3">
        <v>70</v>
      </c>
      <c r="H3" s="5">
        <v>2.8046641849475968E-3</v>
      </c>
      <c r="I3">
        <v>3</v>
      </c>
      <c r="J3" t="b">
        <f>AND(CCData[[#This Row],[Date]]&gt;=Calculation!$E$3,CCData[[#This Row],[Date]]&lt;Calculation!$E$3+7)</f>
        <v>0</v>
      </c>
      <c r="L3" s="14" t="s">
        <v>5003</v>
      </c>
    </row>
    <row r="4" spans="1:12">
      <c r="A4" t="s">
        <v>3</v>
      </c>
      <c r="B4" s="2">
        <v>42005.408000000003</v>
      </c>
      <c r="C4" s="3" t="s">
        <v>5005</v>
      </c>
      <c r="D4" t="s">
        <v>5012</v>
      </c>
      <c r="E4" t="s">
        <v>5018</v>
      </c>
      <c r="F4" t="s">
        <v>5018</v>
      </c>
      <c r="G4">
        <v>10</v>
      </c>
      <c r="H4" s="5">
        <v>1.5185437195790483E-3</v>
      </c>
      <c r="I4">
        <v>3</v>
      </c>
      <c r="J4" t="b">
        <f>AND(CCData[[#This Row],[Date]]&gt;=Calculation!$E$3,CCData[[#This Row],[Date]]&lt;Calculation!$E$3+7)</f>
        <v>0</v>
      </c>
      <c r="L4" s="15" t="s">
        <v>5004</v>
      </c>
    </row>
    <row r="5" spans="1:12">
      <c r="A5" t="s">
        <v>4</v>
      </c>
      <c r="B5" s="2">
        <v>42005.408000000003</v>
      </c>
      <c r="C5" s="3" t="s">
        <v>5006</v>
      </c>
      <c r="D5" t="s">
        <v>5012</v>
      </c>
      <c r="E5" t="s">
        <v>5018</v>
      </c>
      <c r="F5" t="s">
        <v>5018</v>
      </c>
      <c r="G5">
        <v>53</v>
      </c>
      <c r="H5" s="5">
        <v>4.3381267235158445E-4</v>
      </c>
      <c r="I5">
        <v>2</v>
      </c>
      <c r="J5" t="b">
        <f>AND(CCData[[#This Row],[Date]]&gt;=Calculation!$E$3,CCData[[#This Row],[Date]]&lt;Calculation!$E$3+7)</f>
        <v>0</v>
      </c>
      <c r="L5" s="14" t="s">
        <v>5005</v>
      </c>
    </row>
    <row r="6" spans="1:12">
      <c r="A6" t="s">
        <v>5</v>
      </c>
      <c r="B6" s="2">
        <v>42005.417000000001</v>
      </c>
      <c r="C6" s="3" t="s">
        <v>5004</v>
      </c>
      <c r="D6" t="s">
        <v>5014</v>
      </c>
      <c r="E6" t="s">
        <v>5018</v>
      </c>
      <c r="F6" t="s">
        <v>5018</v>
      </c>
      <c r="G6">
        <v>95</v>
      </c>
      <c r="H6" s="5">
        <v>6.954102902114466E-4</v>
      </c>
      <c r="I6">
        <v>3</v>
      </c>
      <c r="J6" t="b">
        <f>AND(CCData[[#This Row],[Date]]&gt;=Calculation!$E$3,CCData[[#This Row],[Date]]&lt;Calculation!$E$3+7)</f>
        <v>0</v>
      </c>
      <c r="L6" s="15" t="s">
        <v>5006</v>
      </c>
    </row>
    <row r="7" spans="1:12">
      <c r="A7" t="s">
        <v>6</v>
      </c>
      <c r="B7" s="2">
        <v>42005.417000000001</v>
      </c>
      <c r="C7" s="3" t="s">
        <v>5005</v>
      </c>
      <c r="D7" t="s">
        <v>5013</v>
      </c>
      <c r="E7" t="s">
        <v>5019</v>
      </c>
      <c r="F7" t="s">
        <v>5019</v>
      </c>
      <c r="G7" t="s">
        <v>5022</v>
      </c>
      <c r="H7" s="5" t="s">
        <v>5022</v>
      </c>
      <c r="I7" t="s">
        <v>5022</v>
      </c>
      <c r="J7" t="b">
        <f>AND(CCData[[#This Row],[Date]]&gt;=Calculation!$E$3,CCData[[#This Row],[Date]]&lt;Calculation!$E$3+7)</f>
        <v>0</v>
      </c>
      <c r="L7" s="15" t="s">
        <v>5007</v>
      </c>
    </row>
    <row r="8" spans="1:12">
      <c r="A8" t="s">
        <v>7</v>
      </c>
      <c r="B8" s="2">
        <v>42005.432000000001</v>
      </c>
      <c r="C8" s="3" t="s">
        <v>5003</v>
      </c>
      <c r="D8" t="s">
        <v>5014</v>
      </c>
      <c r="E8" t="s">
        <v>5018</v>
      </c>
      <c r="F8" t="s">
        <v>5018</v>
      </c>
      <c r="G8">
        <v>24</v>
      </c>
      <c r="H8" s="5">
        <v>2.5502491951112523E-3</v>
      </c>
      <c r="I8">
        <v>2</v>
      </c>
      <c r="J8" t="b">
        <f>AND(CCData[[#This Row],[Date]]&gt;=Calculation!$E$3,CCData[[#This Row],[Date]]&lt;Calculation!$E$3+7)</f>
        <v>0</v>
      </c>
      <c r="L8" s="14" t="s">
        <v>5008</v>
      </c>
    </row>
    <row r="9" spans="1:12">
      <c r="A9" t="s">
        <v>8</v>
      </c>
      <c r="B9" s="2">
        <v>42005.432000000001</v>
      </c>
      <c r="C9" s="3" t="s">
        <v>5003</v>
      </c>
      <c r="D9" t="s">
        <v>5014</v>
      </c>
      <c r="E9" t="s">
        <v>5018</v>
      </c>
      <c r="F9" t="s">
        <v>5018</v>
      </c>
      <c r="G9">
        <v>22</v>
      </c>
      <c r="H9" s="5">
        <v>4.4379287104115601E-4</v>
      </c>
      <c r="I9">
        <v>4</v>
      </c>
      <c r="J9" t="b">
        <f>AND(CCData[[#This Row],[Date]]&gt;=Calculation!$E$3,CCData[[#This Row],[Date]]&lt;Calculation!$E$3+7)</f>
        <v>0</v>
      </c>
      <c r="L9" s="15" t="s">
        <v>5009</v>
      </c>
    </row>
    <row r="10" spans="1:12">
      <c r="A10" t="s">
        <v>9</v>
      </c>
      <c r="B10" s="2">
        <v>42005.468000000001</v>
      </c>
      <c r="C10" s="3" t="s">
        <v>5006</v>
      </c>
      <c r="D10" t="s">
        <v>5015</v>
      </c>
      <c r="E10" t="s">
        <v>5018</v>
      </c>
      <c r="F10" t="s">
        <v>5018</v>
      </c>
      <c r="G10">
        <v>15</v>
      </c>
      <c r="H10" s="5">
        <v>4.6116860086692713E-3</v>
      </c>
      <c r="I10">
        <v>4</v>
      </c>
      <c r="J10" t="b">
        <f>AND(CCData[[#This Row],[Date]]&gt;=Calculation!$E$3,CCData[[#This Row],[Date]]&lt;Calculation!$E$3+7)</f>
        <v>0</v>
      </c>
      <c r="L10" s="15" t="s">
        <v>5010</v>
      </c>
    </row>
    <row r="11" spans="1:12">
      <c r="A11" t="s">
        <v>10</v>
      </c>
      <c r="B11" s="2">
        <v>42005.468000000001</v>
      </c>
      <c r="C11" s="3" t="s">
        <v>5007</v>
      </c>
      <c r="D11" t="s">
        <v>5016</v>
      </c>
      <c r="E11" t="s">
        <v>5018</v>
      </c>
      <c r="F11" t="s">
        <v>5018</v>
      </c>
      <c r="G11">
        <v>78</v>
      </c>
      <c r="H11" s="5">
        <v>7.3788009054610447E-4</v>
      </c>
      <c r="I11">
        <v>3</v>
      </c>
      <c r="J11" t="b">
        <f>AND(CCData[[#This Row],[Date]]&gt;=Calculation!$E$3,CCData[[#This Row],[Date]]&lt;Calculation!$E$3+7)</f>
        <v>0</v>
      </c>
    </row>
    <row r="12" spans="1:12">
      <c r="A12" t="s">
        <v>11</v>
      </c>
      <c r="B12" s="2">
        <v>42005.468999999997</v>
      </c>
      <c r="C12" s="3" t="s">
        <v>5008</v>
      </c>
      <c r="D12" t="s">
        <v>5014</v>
      </c>
      <c r="E12" t="s">
        <v>5019</v>
      </c>
      <c r="F12" t="s">
        <v>5019</v>
      </c>
      <c r="G12" t="s">
        <v>5022</v>
      </c>
      <c r="H12" s="5" t="s">
        <v>5022</v>
      </c>
      <c r="I12" t="s">
        <v>5022</v>
      </c>
      <c r="J12" t="b">
        <f>AND(CCData[[#This Row],[Date]]&gt;=Calculation!$E$3,CCData[[#This Row],[Date]]&lt;Calculation!$E$3+7)</f>
        <v>0</v>
      </c>
    </row>
    <row r="13" spans="1:12">
      <c r="A13" t="s">
        <v>12</v>
      </c>
      <c r="B13" s="2">
        <v>42005.468999999997</v>
      </c>
      <c r="C13" s="3" t="s">
        <v>5006</v>
      </c>
      <c r="D13" t="s">
        <v>5014</v>
      </c>
      <c r="E13" t="s">
        <v>5018</v>
      </c>
      <c r="F13" t="s">
        <v>5018</v>
      </c>
      <c r="G13">
        <v>50</v>
      </c>
      <c r="H13" s="5">
        <v>3.6728848074500398E-4</v>
      </c>
      <c r="I13">
        <v>4</v>
      </c>
      <c r="J13" t="b">
        <f>AND(CCData[[#This Row],[Date]]&gt;=Calculation!$E$3,CCData[[#This Row],[Date]]&lt;Calculation!$E$3+7)</f>
        <v>0</v>
      </c>
    </row>
    <row r="14" spans="1:12">
      <c r="A14" t="s">
        <v>13</v>
      </c>
      <c r="B14" s="2">
        <v>42005.495000000003</v>
      </c>
      <c r="C14" s="3" t="s">
        <v>5008</v>
      </c>
      <c r="D14" t="s">
        <v>5014</v>
      </c>
      <c r="E14" t="s">
        <v>5018</v>
      </c>
      <c r="F14" t="s">
        <v>5018</v>
      </c>
      <c r="G14">
        <v>84</v>
      </c>
      <c r="H14" s="5">
        <v>2.4735949136891994E-3</v>
      </c>
      <c r="I14">
        <v>3</v>
      </c>
      <c r="J14" t="b">
        <f>AND(CCData[[#This Row],[Date]]&gt;=Calculation!$E$3,CCData[[#This Row],[Date]]&lt;Calculation!$E$3+7)</f>
        <v>0</v>
      </c>
    </row>
    <row r="15" spans="1:12">
      <c r="A15" t="s">
        <v>14</v>
      </c>
      <c r="B15" s="2">
        <v>42005.495000000003</v>
      </c>
      <c r="C15" s="3" t="s">
        <v>5009</v>
      </c>
      <c r="D15" t="s">
        <v>5012</v>
      </c>
      <c r="E15" t="s">
        <v>5018</v>
      </c>
      <c r="F15" t="s">
        <v>5018</v>
      </c>
      <c r="G15">
        <v>89</v>
      </c>
      <c r="H15" s="5">
        <v>3.9770267309637156E-3</v>
      </c>
      <c r="I15">
        <v>3</v>
      </c>
      <c r="J15" t="b">
        <f>AND(CCData[[#This Row],[Date]]&gt;=Calculation!$E$3,CCData[[#This Row],[Date]]&lt;Calculation!$E$3+7)</f>
        <v>0</v>
      </c>
    </row>
    <row r="16" spans="1:12">
      <c r="A16" t="s">
        <v>15</v>
      </c>
      <c r="B16" s="2">
        <v>42005.497000000003</v>
      </c>
      <c r="C16" s="3" t="s">
        <v>5004</v>
      </c>
      <c r="D16" t="s">
        <v>5015</v>
      </c>
      <c r="E16" t="s">
        <v>5018</v>
      </c>
      <c r="F16" t="s">
        <v>5018</v>
      </c>
      <c r="G16">
        <v>48</v>
      </c>
      <c r="H16" s="5">
        <v>2.6281762727344295E-3</v>
      </c>
      <c r="I16">
        <v>4</v>
      </c>
      <c r="J16" t="b">
        <f>AND(CCData[[#This Row],[Date]]&gt;=Calculation!$E$3,CCData[[#This Row],[Date]]&lt;Calculation!$E$3+7)</f>
        <v>0</v>
      </c>
    </row>
    <row r="17" spans="1:10">
      <c r="A17" t="s">
        <v>16</v>
      </c>
      <c r="B17" s="2">
        <v>42005.497000000003</v>
      </c>
      <c r="C17" s="3" t="s">
        <v>5004</v>
      </c>
      <c r="D17" t="s">
        <v>5015</v>
      </c>
      <c r="E17" t="s">
        <v>5018</v>
      </c>
      <c r="F17" t="s">
        <v>5018</v>
      </c>
      <c r="G17">
        <v>63</v>
      </c>
      <c r="H17" s="5">
        <v>3.7760430483932692E-3</v>
      </c>
      <c r="I17">
        <v>2</v>
      </c>
      <c r="J17" t="b">
        <f>AND(CCData[[#This Row],[Date]]&gt;=Calculation!$E$3,CCData[[#This Row],[Date]]&lt;Calculation!$E$3+7)</f>
        <v>0</v>
      </c>
    </row>
    <row r="18" spans="1:10">
      <c r="A18" t="s">
        <v>17</v>
      </c>
      <c r="B18" s="2">
        <v>42005.498</v>
      </c>
      <c r="C18" s="3" t="s">
        <v>5006</v>
      </c>
      <c r="D18" t="s">
        <v>5013</v>
      </c>
      <c r="E18" t="s">
        <v>5018</v>
      </c>
      <c r="F18" t="s">
        <v>5018</v>
      </c>
      <c r="G18">
        <v>45</v>
      </c>
      <c r="H18" s="5">
        <v>3.8447030151994919E-3</v>
      </c>
      <c r="I18">
        <v>5</v>
      </c>
      <c r="J18" t="b">
        <f>AND(CCData[[#This Row],[Date]]&gt;=Calculation!$E$3,CCData[[#This Row],[Date]]&lt;Calculation!$E$3+7)</f>
        <v>0</v>
      </c>
    </row>
    <row r="19" spans="1:10">
      <c r="A19" t="s">
        <v>18</v>
      </c>
      <c r="B19" s="2">
        <v>42005.498</v>
      </c>
      <c r="C19" s="3" t="s">
        <v>5004</v>
      </c>
      <c r="D19" t="s">
        <v>5015</v>
      </c>
      <c r="E19" t="s">
        <v>5019</v>
      </c>
      <c r="F19" t="s">
        <v>5019</v>
      </c>
      <c r="G19" t="s">
        <v>5022</v>
      </c>
      <c r="H19" s="5" t="s">
        <v>5022</v>
      </c>
      <c r="I19" t="s">
        <v>5022</v>
      </c>
      <c r="J19" t="b">
        <f>AND(CCData[[#This Row],[Date]]&gt;=Calculation!$E$3,CCData[[#This Row],[Date]]&lt;Calculation!$E$3+7)</f>
        <v>0</v>
      </c>
    </row>
    <row r="20" spans="1:10">
      <c r="A20" t="s">
        <v>19</v>
      </c>
      <c r="B20" s="2">
        <v>42005.500999999997</v>
      </c>
      <c r="C20" s="3" t="s">
        <v>5007</v>
      </c>
      <c r="D20" t="s">
        <v>5016</v>
      </c>
      <c r="E20" t="s">
        <v>5019</v>
      </c>
      <c r="F20" t="s">
        <v>5019</v>
      </c>
      <c r="G20" t="s">
        <v>5022</v>
      </c>
      <c r="H20" s="5" t="s">
        <v>5022</v>
      </c>
      <c r="I20" t="s">
        <v>5022</v>
      </c>
      <c r="J20" t="b">
        <f>AND(CCData[[#This Row],[Date]]&gt;=Calculation!$E$3,CCData[[#This Row],[Date]]&lt;Calculation!$E$3+7)</f>
        <v>0</v>
      </c>
    </row>
    <row r="21" spans="1:10">
      <c r="A21" t="s">
        <v>20</v>
      </c>
      <c r="B21" s="2">
        <v>42005.500999999997</v>
      </c>
      <c r="C21" s="3" t="s">
        <v>5007</v>
      </c>
      <c r="D21" t="s">
        <v>5012</v>
      </c>
      <c r="E21" t="s">
        <v>5018</v>
      </c>
      <c r="F21" t="s">
        <v>5018</v>
      </c>
      <c r="G21">
        <v>101</v>
      </c>
      <c r="H21" s="5">
        <v>1.7057487698302052E-3</v>
      </c>
      <c r="I21">
        <v>3</v>
      </c>
      <c r="J21" t="b">
        <f>AND(CCData[[#This Row],[Date]]&gt;=Calculation!$E$3,CCData[[#This Row],[Date]]&lt;Calculation!$E$3+7)</f>
        <v>0</v>
      </c>
    </row>
    <row r="22" spans="1:10">
      <c r="A22" t="s">
        <v>21</v>
      </c>
      <c r="B22" s="2">
        <v>42005.502</v>
      </c>
      <c r="C22" s="3" t="s">
        <v>5007</v>
      </c>
      <c r="D22" t="s">
        <v>5013</v>
      </c>
      <c r="E22" t="s">
        <v>5018</v>
      </c>
      <c r="F22" t="s">
        <v>5018</v>
      </c>
      <c r="G22">
        <v>74</v>
      </c>
      <c r="H22" s="5">
        <v>3.7296295887861764E-3</v>
      </c>
      <c r="I22">
        <v>5</v>
      </c>
      <c r="J22" t="b">
        <f>AND(CCData[[#This Row],[Date]]&gt;=Calculation!$E$3,CCData[[#This Row],[Date]]&lt;Calculation!$E$3+7)</f>
        <v>0</v>
      </c>
    </row>
    <row r="23" spans="1:10">
      <c r="A23" t="s">
        <v>22</v>
      </c>
      <c r="B23" s="2">
        <v>42005.502</v>
      </c>
      <c r="C23" s="3" t="s">
        <v>5010</v>
      </c>
      <c r="D23" t="s">
        <v>5015</v>
      </c>
      <c r="E23" t="s">
        <v>5018</v>
      </c>
      <c r="F23" t="s">
        <v>5018</v>
      </c>
      <c r="G23">
        <v>89</v>
      </c>
      <c r="H23" s="5">
        <v>4.0512519372936564E-3</v>
      </c>
      <c r="I23">
        <v>5</v>
      </c>
      <c r="J23" t="b">
        <f>AND(CCData[[#This Row],[Date]]&gt;=Calculation!$E$3,CCData[[#This Row],[Date]]&lt;Calculation!$E$3+7)</f>
        <v>0</v>
      </c>
    </row>
    <row r="24" spans="1:10">
      <c r="A24" t="s">
        <v>23</v>
      </c>
      <c r="B24" s="2">
        <v>42005.502</v>
      </c>
      <c r="C24" s="3" t="s">
        <v>5009</v>
      </c>
      <c r="D24" t="s">
        <v>5013</v>
      </c>
      <c r="E24" t="s">
        <v>5019</v>
      </c>
      <c r="F24" t="s">
        <v>5019</v>
      </c>
      <c r="G24" t="s">
        <v>5022</v>
      </c>
      <c r="H24" s="5" t="s">
        <v>5022</v>
      </c>
      <c r="I24" t="s">
        <v>5022</v>
      </c>
      <c r="J24" t="b">
        <f>AND(CCData[[#This Row],[Date]]&gt;=Calculation!$E$3,CCData[[#This Row],[Date]]&lt;Calculation!$E$3+7)</f>
        <v>0</v>
      </c>
    </row>
    <row r="25" spans="1:10">
      <c r="A25" t="s">
        <v>24</v>
      </c>
      <c r="B25" s="2">
        <v>42005.502</v>
      </c>
      <c r="C25" s="3" t="s">
        <v>5008</v>
      </c>
      <c r="D25" t="s">
        <v>5013</v>
      </c>
      <c r="E25" t="s">
        <v>5018</v>
      </c>
      <c r="F25" t="s">
        <v>5018</v>
      </c>
      <c r="G25">
        <v>68</v>
      </c>
      <c r="H25" s="5">
        <v>3.7576026136470824E-3</v>
      </c>
      <c r="I25">
        <v>2</v>
      </c>
      <c r="J25" t="b">
        <f>AND(CCData[[#This Row],[Date]]&gt;=Calculation!$E$3,CCData[[#This Row],[Date]]&lt;Calculation!$E$3+7)</f>
        <v>0</v>
      </c>
    </row>
    <row r="26" spans="1:10">
      <c r="A26" t="s">
        <v>25</v>
      </c>
      <c r="B26" s="2">
        <v>42005.521000000001</v>
      </c>
      <c r="C26" s="3" t="s">
        <v>5003</v>
      </c>
      <c r="D26" t="s">
        <v>5016</v>
      </c>
      <c r="E26" t="s">
        <v>5018</v>
      </c>
      <c r="F26" t="s">
        <v>5018</v>
      </c>
      <c r="G26">
        <v>97</v>
      </c>
      <c r="H26" s="5">
        <v>2.878325735146361E-3</v>
      </c>
      <c r="I26">
        <v>3</v>
      </c>
      <c r="J26" t="b">
        <f>AND(CCData[[#This Row],[Date]]&gt;=Calculation!$E$3,CCData[[#This Row],[Date]]&lt;Calculation!$E$3+7)</f>
        <v>0</v>
      </c>
    </row>
    <row r="27" spans="1:10">
      <c r="A27" t="s">
        <v>26</v>
      </c>
      <c r="B27" s="2">
        <v>42005.521000000001</v>
      </c>
      <c r="C27" s="3" t="s">
        <v>5010</v>
      </c>
      <c r="D27" t="s">
        <v>5014</v>
      </c>
      <c r="E27" t="s">
        <v>5019</v>
      </c>
      <c r="F27" t="s">
        <v>5019</v>
      </c>
      <c r="G27" t="s">
        <v>5022</v>
      </c>
      <c r="H27" s="5" t="s">
        <v>5022</v>
      </c>
      <c r="I27" t="s">
        <v>5022</v>
      </c>
      <c r="J27" t="b">
        <f>AND(CCData[[#This Row],[Date]]&gt;=Calculation!$E$3,CCData[[#This Row],[Date]]&lt;Calculation!$E$3+7)</f>
        <v>0</v>
      </c>
    </row>
    <row r="28" spans="1:10">
      <c r="A28" t="s">
        <v>27</v>
      </c>
      <c r="B28" s="2">
        <v>42005.527999999998</v>
      </c>
      <c r="C28" s="3" t="s">
        <v>5008</v>
      </c>
      <c r="D28" t="s">
        <v>5016</v>
      </c>
      <c r="E28" t="s">
        <v>5018</v>
      </c>
      <c r="F28" t="s">
        <v>5018</v>
      </c>
      <c r="G28">
        <v>39</v>
      </c>
      <c r="H28" s="5">
        <v>2.7721612439594932E-3</v>
      </c>
      <c r="I28">
        <v>3</v>
      </c>
      <c r="J28" t="b">
        <f>AND(CCData[[#This Row],[Date]]&gt;=Calculation!$E$3,CCData[[#This Row],[Date]]&lt;Calculation!$E$3+7)</f>
        <v>0</v>
      </c>
    </row>
    <row r="29" spans="1:10">
      <c r="A29" t="s">
        <v>28</v>
      </c>
      <c r="B29" s="2">
        <v>42005.527999999998</v>
      </c>
      <c r="C29" s="3" t="s">
        <v>5009</v>
      </c>
      <c r="D29" t="s">
        <v>5012</v>
      </c>
      <c r="E29" t="s">
        <v>5018</v>
      </c>
      <c r="F29" t="s">
        <v>5018</v>
      </c>
      <c r="G29">
        <v>51</v>
      </c>
      <c r="H29" s="5">
        <v>1.7791846825335929E-3</v>
      </c>
      <c r="I29">
        <v>4</v>
      </c>
      <c r="J29" t="b">
        <f>AND(CCData[[#This Row],[Date]]&gt;=Calculation!$E$3,CCData[[#This Row],[Date]]&lt;Calculation!$E$3+7)</f>
        <v>0</v>
      </c>
    </row>
    <row r="30" spans="1:10">
      <c r="A30" t="s">
        <v>29</v>
      </c>
      <c r="B30" s="2">
        <v>42005.527999999998</v>
      </c>
      <c r="C30" s="3" t="s">
        <v>5008</v>
      </c>
      <c r="D30" t="s">
        <v>5013</v>
      </c>
      <c r="E30" t="s">
        <v>5018</v>
      </c>
      <c r="F30" t="s">
        <v>5018</v>
      </c>
      <c r="G30">
        <v>106</v>
      </c>
      <c r="H30" s="5">
        <v>1.4977224651356947E-3</v>
      </c>
      <c r="I30">
        <v>4</v>
      </c>
      <c r="J30" t="b">
        <f>AND(CCData[[#This Row],[Date]]&gt;=Calculation!$E$3,CCData[[#This Row],[Date]]&lt;Calculation!$E$3+7)</f>
        <v>0</v>
      </c>
    </row>
    <row r="31" spans="1:10">
      <c r="A31" t="s">
        <v>30</v>
      </c>
      <c r="B31" s="2">
        <v>42005.527999999998</v>
      </c>
      <c r="C31" s="3" t="s">
        <v>5005</v>
      </c>
      <c r="D31" t="s">
        <v>5016</v>
      </c>
      <c r="E31" t="s">
        <v>5018</v>
      </c>
      <c r="F31" t="s">
        <v>5018</v>
      </c>
      <c r="G31">
        <v>107</v>
      </c>
      <c r="H31" s="5">
        <v>4.1140017961472739E-3</v>
      </c>
      <c r="I31">
        <v>3</v>
      </c>
      <c r="J31" t="b">
        <f>AND(CCData[[#This Row],[Date]]&gt;=Calculation!$E$3,CCData[[#This Row],[Date]]&lt;Calculation!$E$3+7)</f>
        <v>0</v>
      </c>
    </row>
    <row r="32" spans="1:10">
      <c r="A32" t="s">
        <v>31</v>
      </c>
      <c r="B32" s="2">
        <v>42005.559000000001</v>
      </c>
      <c r="C32" s="3" t="s">
        <v>5008</v>
      </c>
      <c r="D32" t="s">
        <v>5015</v>
      </c>
      <c r="E32" t="s">
        <v>5018</v>
      </c>
      <c r="F32" t="s">
        <v>5018</v>
      </c>
      <c r="G32">
        <v>22</v>
      </c>
      <c r="H32" s="5">
        <v>3.5694409334832205E-3</v>
      </c>
      <c r="I32">
        <v>3</v>
      </c>
      <c r="J32" t="b">
        <f>AND(CCData[[#This Row],[Date]]&gt;=Calculation!$E$3,CCData[[#This Row],[Date]]&lt;Calculation!$E$3+7)</f>
        <v>0</v>
      </c>
    </row>
    <row r="33" spans="1:10">
      <c r="A33" t="s">
        <v>32</v>
      </c>
      <c r="B33" s="2">
        <v>42005.559000000001</v>
      </c>
      <c r="C33" s="3" t="s">
        <v>5008</v>
      </c>
      <c r="D33" t="s">
        <v>5016</v>
      </c>
      <c r="E33" t="s">
        <v>5018</v>
      </c>
      <c r="F33" t="s">
        <v>5018</v>
      </c>
      <c r="G33">
        <v>122</v>
      </c>
      <c r="H33" s="5">
        <v>1.4787890442636191E-3</v>
      </c>
      <c r="I33">
        <v>4</v>
      </c>
      <c r="J33" t="b">
        <f>AND(CCData[[#This Row],[Date]]&gt;=Calculation!$E$3,CCData[[#This Row],[Date]]&lt;Calculation!$E$3+7)</f>
        <v>0</v>
      </c>
    </row>
    <row r="34" spans="1:10">
      <c r="A34" t="s">
        <v>33</v>
      </c>
      <c r="B34" s="2">
        <v>42005.565000000002</v>
      </c>
      <c r="C34" s="3" t="s">
        <v>5003</v>
      </c>
      <c r="D34" t="s">
        <v>5013</v>
      </c>
      <c r="E34" t="s">
        <v>5018</v>
      </c>
      <c r="F34" t="s">
        <v>5018</v>
      </c>
      <c r="G34">
        <v>57</v>
      </c>
      <c r="H34" s="5">
        <v>4.7379216922203461E-3</v>
      </c>
      <c r="I34">
        <v>3</v>
      </c>
      <c r="J34" t="b">
        <f>AND(CCData[[#This Row],[Date]]&gt;=Calculation!$E$3,CCData[[#This Row],[Date]]&lt;Calculation!$E$3+7)</f>
        <v>0</v>
      </c>
    </row>
    <row r="35" spans="1:10">
      <c r="A35" t="s">
        <v>34</v>
      </c>
      <c r="B35" s="2">
        <v>42005.565000000002</v>
      </c>
      <c r="C35" s="3" t="s">
        <v>5007</v>
      </c>
      <c r="D35" t="s">
        <v>5014</v>
      </c>
      <c r="E35" t="s">
        <v>5018</v>
      </c>
      <c r="F35" t="s">
        <v>5019</v>
      </c>
      <c r="G35">
        <v>53</v>
      </c>
      <c r="H35" s="5">
        <v>1.1987048525143938E-3</v>
      </c>
      <c r="I35">
        <v>2</v>
      </c>
      <c r="J35" t="b">
        <f>AND(CCData[[#This Row],[Date]]&gt;=Calculation!$E$3,CCData[[#This Row],[Date]]&lt;Calculation!$E$3+7)</f>
        <v>0</v>
      </c>
    </row>
    <row r="36" spans="1:10">
      <c r="A36" t="s">
        <v>35</v>
      </c>
      <c r="B36" s="2">
        <v>42005.571000000004</v>
      </c>
      <c r="C36" s="3" t="s">
        <v>5004</v>
      </c>
      <c r="D36" t="s">
        <v>5016</v>
      </c>
      <c r="E36" t="s">
        <v>5018</v>
      </c>
      <c r="F36" t="s">
        <v>5018</v>
      </c>
      <c r="G36">
        <v>119</v>
      </c>
      <c r="H36" s="5">
        <v>1.0563348990743583E-3</v>
      </c>
      <c r="I36">
        <v>5</v>
      </c>
      <c r="J36" t="b">
        <f>AND(CCData[[#This Row],[Date]]&gt;=Calculation!$E$3,CCData[[#This Row],[Date]]&lt;Calculation!$E$3+7)</f>
        <v>0</v>
      </c>
    </row>
    <row r="37" spans="1:10">
      <c r="A37" t="s">
        <v>36</v>
      </c>
      <c r="B37" s="2">
        <v>42005.571000000004</v>
      </c>
      <c r="C37" s="3" t="s">
        <v>5003</v>
      </c>
      <c r="D37" t="s">
        <v>5016</v>
      </c>
      <c r="E37" t="s">
        <v>5019</v>
      </c>
      <c r="F37" t="s">
        <v>5019</v>
      </c>
      <c r="G37" t="s">
        <v>5022</v>
      </c>
      <c r="H37" s="5" t="s">
        <v>5022</v>
      </c>
      <c r="I37" t="s">
        <v>5022</v>
      </c>
      <c r="J37" t="b">
        <f>AND(CCData[[#This Row],[Date]]&gt;=Calculation!$E$3,CCData[[#This Row],[Date]]&lt;Calculation!$E$3+7)</f>
        <v>0</v>
      </c>
    </row>
    <row r="38" spans="1:10">
      <c r="A38" t="s">
        <v>37</v>
      </c>
      <c r="B38" s="2">
        <v>42005.571000000004</v>
      </c>
      <c r="C38" s="3" t="s">
        <v>5009</v>
      </c>
      <c r="D38" t="s">
        <v>5013</v>
      </c>
      <c r="E38" t="s">
        <v>5018</v>
      </c>
      <c r="F38" t="s">
        <v>5019</v>
      </c>
      <c r="G38">
        <v>20</v>
      </c>
      <c r="H38" s="5">
        <v>8.3037762867265276E-4</v>
      </c>
      <c r="I38">
        <v>2</v>
      </c>
      <c r="J38" t="b">
        <f>AND(CCData[[#This Row],[Date]]&gt;=Calculation!$E$3,CCData[[#This Row],[Date]]&lt;Calculation!$E$3+7)</f>
        <v>0</v>
      </c>
    </row>
    <row r="39" spans="1:10">
      <c r="A39" t="s">
        <v>38</v>
      </c>
      <c r="B39" s="2">
        <v>42005.571000000004</v>
      </c>
      <c r="C39" s="3" t="s">
        <v>5008</v>
      </c>
      <c r="D39" t="s">
        <v>5013</v>
      </c>
      <c r="E39" t="s">
        <v>5018</v>
      </c>
      <c r="F39" t="s">
        <v>5018</v>
      </c>
      <c r="G39">
        <v>52</v>
      </c>
      <c r="H39" s="5">
        <v>4.1921442651988018E-4</v>
      </c>
      <c r="I39">
        <v>3</v>
      </c>
      <c r="J39" t="b">
        <f>AND(CCData[[#This Row],[Date]]&gt;=Calculation!$E$3,CCData[[#This Row],[Date]]&lt;Calculation!$E$3+7)</f>
        <v>0</v>
      </c>
    </row>
    <row r="40" spans="1:10">
      <c r="A40" t="s">
        <v>39</v>
      </c>
      <c r="B40" s="2">
        <v>42005.61</v>
      </c>
      <c r="C40" s="3" t="s">
        <v>5005</v>
      </c>
      <c r="D40" t="s">
        <v>5012</v>
      </c>
      <c r="E40" t="s">
        <v>5018</v>
      </c>
      <c r="F40" t="s">
        <v>5018</v>
      </c>
      <c r="G40">
        <v>74</v>
      </c>
      <c r="H40" s="5">
        <v>4.6386730338588561E-3</v>
      </c>
      <c r="I40">
        <v>1</v>
      </c>
      <c r="J40" t="b">
        <f>AND(CCData[[#This Row],[Date]]&gt;=Calculation!$E$3,CCData[[#This Row],[Date]]&lt;Calculation!$E$3+7)</f>
        <v>0</v>
      </c>
    </row>
    <row r="41" spans="1:10">
      <c r="A41" t="s">
        <v>40</v>
      </c>
      <c r="B41" s="2">
        <v>42005.61</v>
      </c>
      <c r="C41" s="3" t="s">
        <v>5006</v>
      </c>
      <c r="D41" t="s">
        <v>5013</v>
      </c>
      <c r="E41" t="s">
        <v>5018</v>
      </c>
      <c r="F41" t="s">
        <v>5018</v>
      </c>
      <c r="G41">
        <v>49</v>
      </c>
      <c r="H41" s="5">
        <v>1.7247450179616272E-3</v>
      </c>
      <c r="I41">
        <v>3</v>
      </c>
      <c r="J41" t="b">
        <f>AND(CCData[[#This Row],[Date]]&gt;=Calculation!$E$3,CCData[[#This Row],[Date]]&lt;Calculation!$E$3+7)</f>
        <v>0</v>
      </c>
    </row>
    <row r="42" spans="1:10">
      <c r="A42" t="s">
        <v>41</v>
      </c>
      <c r="B42" s="2">
        <v>42005.616000000002</v>
      </c>
      <c r="C42" s="3" t="s">
        <v>5007</v>
      </c>
      <c r="D42" t="s">
        <v>5013</v>
      </c>
      <c r="E42" t="s">
        <v>5018</v>
      </c>
      <c r="F42" t="s">
        <v>5018</v>
      </c>
      <c r="G42">
        <v>27</v>
      </c>
      <c r="H42" s="5">
        <v>1.4972660308414912E-3</v>
      </c>
      <c r="I42">
        <v>5</v>
      </c>
      <c r="J42" t="b">
        <f>AND(CCData[[#This Row],[Date]]&gt;=Calculation!$E$3,CCData[[#This Row],[Date]]&lt;Calculation!$E$3+7)</f>
        <v>0</v>
      </c>
    </row>
    <row r="43" spans="1:10">
      <c r="A43" t="s">
        <v>42</v>
      </c>
      <c r="B43" s="2">
        <v>42005.616000000002</v>
      </c>
      <c r="C43" s="3" t="s">
        <v>5006</v>
      </c>
      <c r="D43" t="s">
        <v>5012</v>
      </c>
      <c r="E43" t="s">
        <v>5018</v>
      </c>
      <c r="F43" t="s">
        <v>5018</v>
      </c>
      <c r="G43">
        <v>100</v>
      </c>
      <c r="H43" s="5">
        <v>3.4079613488798483E-3</v>
      </c>
      <c r="I43">
        <v>5</v>
      </c>
      <c r="J43" t="b">
        <f>AND(CCData[[#This Row],[Date]]&gt;=Calculation!$E$3,CCData[[#This Row],[Date]]&lt;Calculation!$E$3+7)</f>
        <v>0</v>
      </c>
    </row>
    <row r="44" spans="1:10">
      <c r="A44" t="s">
        <v>43</v>
      </c>
      <c r="B44" s="2">
        <v>42005.616000000002</v>
      </c>
      <c r="C44" s="3" t="s">
        <v>5003</v>
      </c>
      <c r="D44" t="s">
        <v>5013</v>
      </c>
      <c r="E44" t="s">
        <v>5018</v>
      </c>
      <c r="F44" t="s">
        <v>5018</v>
      </c>
      <c r="G44">
        <v>45</v>
      </c>
      <c r="H44" s="5">
        <v>4.4075366794011951E-3</v>
      </c>
      <c r="I44">
        <v>3</v>
      </c>
      <c r="J44" t="b">
        <f>AND(CCData[[#This Row],[Date]]&gt;=Calculation!$E$3,CCData[[#This Row],[Date]]&lt;Calculation!$E$3+7)</f>
        <v>0</v>
      </c>
    </row>
    <row r="45" spans="1:10">
      <c r="A45" t="s">
        <v>44</v>
      </c>
      <c r="B45" s="2">
        <v>42005.616000000002</v>
      </c>
      <c r="C45" s="3" t="s">
        <v>5004</v>
      </c>
      <c r="D45" t="s">
        <v>5014</v>
      </c>
      <c r="E45" t="s">
        <v>5018</v>
      </c>
      <c r="F45" t="s">
        <v>5018</v>
      </c>
      <c r="G45">
        <v>98</v>
      </c>
      <c r="H45" s="5">
        <v>2.2503790958486309E-3</v>
      </c>
      <c r="I45">
        <v>5</v>
      </c>
      <c r="J45" t="b">
        <f>AND(CCData[[#This Row],[Date]]&gt;=Calculation!$E$3,CCData[[#This Row],[Date]]&lt;Calculation!$E$3+7)</f>
        <v>0</v>
      </c>
    </row>
    <row r="46" spans="1:10">
      <c r="A46" t="s">
        <v>45</v>
      </c>
      <c r="B46" s="2">
        <v>42005.656000000003</v>
      </c>
      <c r="C46" s="3" t="s">
        <v>5003</v>
      </c>
      <c r="D46" t="s">
        <v>5015</v>
      </c>
      <c r="E46" t="s">
        <v>5018</v>
      </c>
      <c r="F46" t="s">
        <v>5018</v>
      </c>
      <c r="G46">
        <v>25</v>
      </c>
      <c r="H46" s="5">
        <v>3.617604427513276E-3</v>
      </c>
      <c r="I46">
        <v>5</v>
      </c>
      <c r="J46" t="b">
        <f>AND(CCData[[#This Row],[Date]]&gt;=Calculation!$E$3,CCData[[#This Row],[Date]]&lt;Calculation!$E$3+7)</f>
        <v>0</v>
      </c>
    </row>
    <row r="47" spans="1:10">
      <c r="A47" t="s">
        <v>46</v>
      </c>
      <c r="B47" s="2">
        <v>42005.656000000003</v>
      </c>
      <c r="C47" s="3" t="s">
        <v>5007</v>
      </c>
      <c r="D47" t="s">
        <v>5012</v>
      </c>
      <c r="E47" t="s">
        <v>5019</v>
      </c>
      <c r="F47" t="s">
        <v>5019</v>
      </c>
      <c r="G47" t="s">
        <v>5022</v>
      </c>
      <c r="H47" s="5" t="s">
        <v>5022</v>
      </c>
      <c r="I47" t="s">
        <v>5022</v>
      </c>
      <c r="J47" t="b">
        <f>AND(CCData[[#This Row],[Date]]&gt;=Calculation!$E$3,CCData[[#This Row],[Date]]&lt;Calculation!$E$3+7)</f>
        <v>0</v>
      </c>
    </row>
    <row r="48" spans="1:10">
      <c r="A48" t="s">
        <v>47</v>
      </c>
      <c r="B48" s="2">
        <v>42005.718000000001</v>
      </c>
      <c r="C48" s="3" t="s">
        <v>5010</v>
      </c>
      <c r="D48" t="s">
        <v>5015</v>
      </c>
      <c r="E48" t="s">
        <v>5018</v>
      </c>
      <c r="F48" t="s">
        <v>5018</v>
      </c>
      <c r="G48">
        <v>107</v>
      </c>
      <c r="H48" s="5">
        <v>1.648774592051664E-3</v>
      </c>
      <c r="I48">
        <v>3</v>
      </c>
      <c r="J48" t="b">
        <f>AND(CCData[[#This Row],[Date]]&gt;=Calculation!$E$3,CCData[[#This Row],[Date]]&lt;Calculation!$E$3+7)</f>
        <v>0</v>
      </c>
    </row>
    <row r="49" spans="1:10">
      <c r="A49" t="s">
        <v>48</v>
      </c>
      <c r="B49" s="2">
        <v>42005.718000000001</v>
      </c>
      <c r="C49" s="3" t="s">
        <v>5009</v>
      </c>
      <c r="D49" t="s">
        <v>5012</v>
      </c>
      <c r="E49" t="s">
        <v>5019</v>
      </c>
      <c r="F49" t="s">
        <v>5019</v>
      </c>
      <c r="G49" t="s">
        <v>5022</v>
      </c>
      <c r="H49" s="5" t="s">
        <v>5022</v>
      </c>
      <c r="I49" t="s">
        <v>5022</v>
      </c>
      <c r="J49" t="b">
        <f>AND(CCData[[#This Row],[Date]]&gt;=Calculation!$E$3,CCData[[#This Row],[Date]]&lt;Calculation!$E$3+7)</f>
        <v>0</v>
      </c>
    </row>
    <row r="50" spans="1:10">
      <c r="A50" t="s">
        <v>49</v>
      </c>
      <c r="B50" s="2">
        <v>42005.726000000002</v>
      </c>
      <c r="C50" s="3" t="s">
        <v>5008</v>
      </c>
      <c r="D50" t="s">
        <v>5013</v>
      </c>
      <c r="E50" t="s">
        <v>5018</v>
      </c>
      <c r="F50" t="s">
        <v>5018</v>
      </c>
      <c r="G50">
        <v>104</v>
      </c>
      <c r="H50" s="5">
        <v>2.4905536042081522E-3</v>
      </c>
      <c r="I50">
        <v>5</v>
      </c>
      <c r="J50" t="b">
        <f>AND(CCData[[#This Row],[Date]]&gt;=Calculation!$E$3,CCData[[#This Row],[Date]]&lt;Calculation!$E$3+7)</f>
        <v>0</v>
      </c>
    </row>
    <row r="51" spans="1:10">
      <c r="A51" t="s">
        <v>50</v>
      </c>
      <c r="B51" s="2">
        <v>42005.726000000002</v>
      </c>
      <c r="C51" s="3" t="s">
        <v>5010</v>
      </c>
      <c r="D51" t="s">
        <v>5013</v>
      </c>
      <c r="E51" t="s">
        <v>5019</v>
      </c>
      <c r="F51" t="s">
        <v>5019</v>
      </c>
      <c r="G51" t="s">
        <v>5022</v>
      </c>
      <c r="H51" s="5" t="s">
        <v>5022</v>
      </c>
      <c r="I51" t="s">
        <v>5022</v>
      </c>
      <c r="J51" t="b">
        <f>AND(CCData[[#This Row],[Date]]&gt;=Calculation!$E$3,CCData[[#This Row],[Date]]&lt;Calculation!$E$3+7)</f>
        <v>0</v>
      </c>
    </row>
    <row r="52" spans="1:10">
      <c r="A52" t="s">
        <v>51</v>
      </c>
      <c r="B52" s="2">
        <v>42005.733</v>
      </c>
      <c r="C52" s="3" t="s">
        <v>5009</v>
      </c>
      <c r="D52" t="s">
        <v>5012</v>
      </c>
      <c r="E52" t="s">
        <v>5019</v>
      </c>
      <c r="F52" t="s">
        <v>5019</v>
      </c>
      <c r="G52" t="s">
        <v>5022</v>
      </c>
      <c r="H52" s="5" t="s">
        <v>5022</v>
      </c>
      <c r="I52" t="s">
        <v>5022</v>
      </c>
      <c r="J52" t="b">
        <f>AND(CCData[[#This Row],[Date]]&gt;=Calculation!$E$3,CCData[[#This Row],[Date]]&lt;Calculation!$E$3+7)</f>
        <v>0</v>
      </c>
    </row>
    <row r="53" spans="1:10">
      <c r="A53" t="s">
        <v>52</v>
      </c>
      <c r="B53" s="2">
        <v>42005.733</v>
      </c>
      <c r="C53" s="3" t="s">
        <v>5007</v>
      </c>
      <c r="D53" t="s">
        <v>5015</v>
      </c>
      <c r="E53" t="s">
        <v>5019</v>
      </c>
      <c r="F53" t="s">
        <v>5019</v>
      </c>
      <c r="G53" t="s">
        <v>5022</v>
      </c>
      <c r="H53" s="5" t="s">
        <v>5022</v>
      </c>
      <c r="I53" t="s">
        <v>5022</v>
      </c>
      <c r="J53" t="b">
        <f>AND(CCData[[#This Row],[Date]]&gt;=Calculation!$E$3,CCData[[#This Row],[Date]]&lt;Calculation!$E$3+7)</f>
        <v>0</v>
      </c>
    </row>
    <row r="54" spans="1:10">
      <c r="A54" t="s">
        <v>53</v>
      </c>
      <c r="B54" s="2">
        <v>42005.733999999997</v>
      </c>
      <c r="C54" s="3" t="s">
        <v>5005</v>
      </c>
      <c r="D54" t="s">
        <v>5014</v>
      </c>
      <c r="E54" t="s">
        <v>5018</v>
      </c>
      <c r="F54" t="s">
        <v>5018</v>
      </c>
      <c r="G54">
        <v>13</v>
      </c>
      <c r="H54" s="5">
        <v>8.7014015635488795E-4</v>
      </c>
      <c r="I54">
        <v>5</v>
      </c>
      <c r="J54" t="b">
        <f>AND(CCData[[#This Row],[Date]]&gt;=Calculation!$E$3,CCData[[#This Row],[Date]]&lt;Calculation!$E$3+7)</f>
        <v>0</v>
      </c>
    </row>
    <row r="55" spans="1:10">
      <c r="A55" t="s">
        <v>54</v>
      </c>
      <c r="B55" s="2">
        <v>42005.733999999997</v>
      </c>
      <c r="C55" s="3" t="s">
        <v>5010</v>
      </c>
      <c r="D55" t="s">
        <v>5014</v>
      </c>
      <c r="E55" t="s">
        <v>5018</v>
      </c>
      <c r="F55" t="s">
        <v>5018</v>
      </c>
      <c r="G55">
        <v>119</v>
      </c>
      <c r="H55" s="5">
        <v>1.7585036881082759E-3</v>
      </c>
      <c r="I55">
        <v>5</v>
      </c>
      <c r="J55" t="b">
        <f>AND(CCData[[#This Row],[Date]]&gt;=Calculation!$E$3,CCData[[#This Row],[Date]]&lt;Calculation!$E$3+7)</f>
        <v>0</v>
      </c>
    </row>
    <row r="56" spans="1:10">
      <c r="A56" t="s">
        <v>55</v>
      </c>
      <c r="B56" s="2">
        <v>42005.739000000001</v>
      </c>
      <c r="C56" s="3" t="s">
        <v>5004</v>
      </c>
      <c r="D56" t="s">
        <v>5016</v>
      </c>
      <c r="E56" t="s">
        <v>5018</v>
      </c>
      <c r="F56" t="s">
        <v>5018</v>
      </c>
      <c r="G56">
        <v>35</v>
      </c>
      <c r="H56" s="5">
        <v>9.1856524965421851E-4</v>
      </c>
      <c r="I56">
        <v>3</v>
      </c>
      <c r="J56" t="b">
        <f>AND(CCData[[#This Row],[Date]]&gt;=Calculation!$E$3,CCData[[#This Row],[Date]]&lt;Calculation!$E$3+7)</f>
        <v>0</v>
      </c>
    </row>
    <row r="57" spans="1:10">
      <c r="A57" t="s">
        <v>56</v>
      </c>
      <c r="B57" s="2">
        <v>42005.739000000001</v>
      </c>
      <c r="C57" s="3" t="s">
        <v>5010</v>
      </c>
      <c r="D57" t="s">
        <v>5016</v>
      </c>
      <c r="E57" t="s">
        <v>5018</v>
      </c>
      <c r="F57" t="s">
        <v>5018</v>
      </c>
      <c r="G57">
        <v>83</v>
      </c>
      <c r="H57" s="5">
        <v>4.68572509188705E-3</v>
      </c>
      <c r="I57">
        <v>4</v>
      </c>
      <c r="J57" t="b">
        <f>AND(CCData[[#This Row],[Date]]&gt;=Calculation!$E$3,CCData[[#This Row],[Date]]&lt;Calculation!$E$3+7)</f>
        <v>0</v>
      </c>
    </row>
    <row r="58" spans="1:10">
      <c r="A58" t="s">
        <v>57</v>
      </c>
      <c r="B58" s="2">
        <v>42005.748</v>
      </c>
      <c r="C58" s="3" t="s">
        <v>5007</v>
      </c>
      <c r="D58" t="s">
        <v>5013</v>
      </c>
      <c r="E58" t="s">
        <v>5018</v>
      </c>
      <c r="F58" t="s">
        <v>5018</v>
      </c>
      <c r="G58">
        <v>48</v>
      </c>
      <c r="H58" s="5">
        <v>1.9889800844770321E-3</v>
      </c>
      <c r="I58">
        <v>2</v>
      </c>
      <c r="J58" t="b">
        <f>AND(CCData[[#This Row],[Date]]&gt;=Calculation!$E$3,CCData[[#This Row],[Date]]&lt;Calculation!$E$3+7)</f>
        <v>0</v>
      </c>
    </row>
    <row r="59" spans="1:10">
      <c r="A59" t="s">
        <v>58</v>
      </c>
      <c r="B59" s="2">
        <v>42005.748</v>
      </c>
      <c r="C59" s="3" t="s">
        <v>5005</v>
      </c>
      <c r="D59" t="s">
        <v>5015</v>
      </c>
      <c r="E59" t="s">
        <v>5018</v>
      </c>
      <c r="F59" t="s">
        <v>5018</v>
      </c>
      <c r="G59">
        <v>45</v>
      </c>
      <c r="H59" s="5">
        <v>2.3469317367749132E-3</v>
      </c>
      <c r="I59">
        <v>5</v>
      </c>
      <c r="J59" t="b">
        <f>AND(CCData[[#This Row],[Date]]&gt;=Calculation!$E$3,CCData[[#This Row],[Date]]&lt;Calculation!$E$3+7)</f>
        <v>0</v>
      </c>
    </row>
    <row r="60" spans="1:10">
      <c r="A60" t="s">
        <v>59</v>
      </c>
      <c r="B60" s="2">
        <v>42006.379000000001</v>
      </c>
      <c r="C60" s="3" t="s">
        <v>5010</v>
      </c>
      <c r="D60" t="s">
        <v>5013</v>
      </c>
      <c r="E60" t="s">
        <v>5018</v>
      </c>
      <c r="F60" t="s">
        <v>5018</v>
      </c>
      <c r="G60">
        <v>65</v>
      </c>
      <c r="H60" s="5">
        <v>4.1693542577786839E-3</v>
      </c>
      <c r="I60">
        <v>5</v>
      </c>
      <c r="J60" t="b">
        <f>AND(CCData[[#This Row],[Date]]&gt;=Calculation!$E$3,CCData[[#This Row],[Date]]&lt;Calculation!$E$3+7)</f>
        <v>0</v>
      </c>
    </row>
    <row r="61" spans="1:10">
      <c r="A61" t="s">
        <v>60</v>
      </c>
      <c r="B61" s="2">
        <v>42006.379000000001</v>
      </c>
      <c r="C61" s="3" t="s">
        <v>5010</v>
      </c>
      <c r="D61" t="s">
        <v>5012</v>
      </c>
      <c r="E61" t="s">
        <v>5018</v>
      </c>
      <c r="F61" t="s">
        <v>5018</v>
      </c>
      <c r="G61">
        <v>50</v>
      </c>
      <c r="H61" s="5">
        <v>3.0808086723648352E-3</v>
      </c>
      <c r="I61">
        <v>3</v>
      </c>
      <c r="J61" t="b">
        <f>AND(CCData[[#This Row],[Date]]&gt;=Calculation!$E$3,CCData[[#This Row],[Date]]&lt;Calculation!$E$3+7)</f>
        <v>0</v>
      </c>
    </row>
    <row r="62" spans="1:10">
      <c r="A62" t="s">
        <v>61</v>
      </c>
      <c r="B62" s="2">
        <v>42006.387999999999</v>
      </c>
      <c r="C62" s="3" t="s">
        <v>5003</v>
      </c>
      <c r="D62" t="s">
        <v>5016</v>
      </c>
      <c r="E62" t="s">
        <v>5018</v>
      </c>
      <c r="F62" t="s">
        <v>5018</v>
      </c>
      <c r="G62">
        <v>17</v>
      </c>
      <c r="H62" s="5">
        <v>4.3415294476257865E-3</v>
      </c>
      <c r="I62">
        <v>3</v>
      </c>
      <c r="J62" t="b">
        <f>AND(CCData[[#This Row],[Date]]&gt;=Calculation!$E$3,CCData[[#This Row],[Date]]&lt;Calculation!$E$3+7)</f>
        <v>0</v>
      </c>
    </row>
    <row r="63" spans="1:10">
      <c r="A63" t="s">
        <v>62</v>
      </c>
      <c r="B63" s="2">
        <v>42006.387999999999</v>
      </c>
      <c r="C63" s="3" t="s">
        <v>5008</v>
      </c>
      <c r="D63" t="s">
        <v>5013</v>
      </c>
      <c r="E63" t="s">
        <v>5019</v>
      </c>
      <c r="F63" t="s">
        <v>5019</v>
      </c>
      <c r="G63" t="s">
        <v>5022</v>
      </c>
      <c r="H63" s="5" t="s">
        <v>5022</v>
      </c>
      <c r="I63" t="s">
        <v>5022</v>
      </c>
      <c r="J63" t="b">
        <f>AND(CCData[[#This Row],[Date]]&gt;=Calculation!$E$3,CCData[[#This Row],[Date]]&lt;Calculation!$E$3+7)</f>
        <v>0</v>
      </c>
    </row>
    <row r="64" spans="1:10">
      <c r="A64" t="s">
        <v>63</v>
      </c>
      <c r="B64" s="2">
        <v>42006.389000000003</v>
      </c>
      <c r="C64" s="3" t="s">
        <v>5010</v>
      </c>
      <c r="D64" t="s">
        <v>5016</v>
      </c>
      <c r="E64" t="s">
        <v>5018</v>
      </c>
      <c r="F64" t="s">
        <v>5018</v>
      </c>
      <c r="G64">
        <v>96</v>
      </c>
      <c r="H64" s="5">
        <v>4.6989641684756734E-3</v>
      </c>
      <c r="I64">
        <v>1</v>
      </c>
      <c r="J64" t="b">
        <f>AND(CCData[[#This Row],[Date]]&gt;=Calculation!$E$3,CCData[[#This Row],[Date]]&lt;Calculation!$E$3+7)</f>
        <v>0</v>
      </c>
    </row>
    <row r="65" spans="1:10">
      <c r="A65" t="s">
        <v>64</v>
      </c>
      <c r="B65" s="2">
        <v>42006.389000000003</v>
      </c>
      <c r="C65" s="3" t="s">
        <v>5005</v>
      </c>
      <c r="D65" t="s">
        <v>5016</v>
      </c>
      <c r="E65" t="s">
        <v>5018</v>
      </c>
      <c r="F65" t="s">
        <v>5018</v>
      </c>
      <c r="G65">
        <v>90</v>
      </c>
      <c r="H65" s="5">
        <v>4.4289019677598998E-3</v>
      </c>
      <c r="I65">
        <v>3</v>
      </c>
      <c r="J65" t="b">
        <f>AND(CCData[[#This Row],[Date]]&gt;=Calculation!$E$3,CCData[[#This Row],[Date]]&lt;Calculation!$E$3+7)</f>
        <v>0</v>
      </c>
    </row>
    <row r="66" spans="1:10">
      <c r="A66" t="s">
        <v>65</v>
      </c>
      <c r="B66" s="2">
        <v>42006.402000000002</v>
      </c>
      <c r="C66" s="3" t="s">
        <v>5007</v>
      </c>
      <c r="D66" t="s">
        <v>5012</v>
      </c>
      <c r="E66" t="s">
        <v>5018</v>
      </c>
      <c r="F66" t="s">
        <v>5018</v>
      </c>
      <c r="G66">
        <v>98</v>
      </c>
      <c r="H66" s="5">
        <v>4.4545560406616669E-3</v>
      </c>
      <c r="I66">
        <v>2</v>
      </c>
      <c r="J66" t="b">
        <f>AND(CCData[[#This Row],[Date]]&gt;=Calculation!$E$3,CCData[[#This Row],[Date]]&lt;Calculation!$E$3+7)</f>
        <v>0</v>
      </c>
    </row>
    <row r="67" spans="1:10">
      <c r="A67" t="s">
        <v>66</v>
      </c>
      <c r="B67" s="2">
        <v>42006.402000000002</v>
      </c>
      <c r="C67" s="3" t="s">
        <v>5003</v>
      </c>
      <c r="D67" t="s">
        <v>5013</v>
      </c>
      <c r="E67" t="s">
        <v>5018</v>
      </c>
      <c r="F67" t="s">
        <v>5019</v>
      </c>
      <c r="G67">
        <v>90</v>
      </c>
      <c r="H67" s="5">
        <v>9.6387171602994621E-4</v>
      </c>
      <c r="I67">
        <v>4</v>
      </c>
      <c r="J67" t="b">
        <f>AND(CCData[[#This Row],[Date]]&gt;=Calculation!$E$3,CCData[[#This Row],[Date]]&lt;Calculation!$E$3+7)</f>
        <v>0</v>
      </c>
    </row>
    <row r="68" spans="1:10">
      <c r="A68" t="s">
        <v>67</v>
      </c>
      <c r="B68" s="2">
        <v>42006.42</v>
      </c>
      <c r="C68" s="3" t="s">
        <v>5007</v>
      </c>
      <c r="D68" t="s">
        <v>5012</v>
      </c>
      <c r="E68" t="s">
        <v>5018</v>
      </c>
      <c r="F68" t="s">
        <v>5018</v>
      </c>
      <c r="G68">
        <v>98</v>
      </c>
      <c r="H68" s="5">
        <v>4.0366605532736535E-3</v>
      </c>
      <c r="I68">
        <v>5</v>
      </c>
      <c r="J68" t="b">
        <f>AND(CCData[[#This Row],[Date]]&gt;=Calculation!$E$3,CCData[[#This Row],[Date]]&lt;Calculation!$E$3+7)</f>
        <v>0</v>
      </c>
    </row>
    <row r="69" spans="1:10">
      <c r="A69" t="s">
        <v>68</v>
      </c>
      <c r="B69" s="2">
        <v>42006.42</v>
      </c>
      <c r="C69" s="3" t="s">
        <v>5007</v>
      </c>
      <c r="D69" t="s">
        <v>5012</v>
      </c>
      <c r="E69" t="s">
        <v>5018</v>
      </c>
      <c r="F69" t="s">
        <v>5018</v>
      </c>
      <c r="G69">
        <v>70</v>
      </c>
      <c r="H69" s="5">
        <v>2.2263093962137056E-3</v>
      </c>
      <c r="I69">
        <v>5</v>
      </c>
      <c r="J69" t="b">
        <f>AND(CCData[[#This Row],[Date]]&gt;=Calculation!$E$3,CCData[[#This Row],[Date]]&lt;Calculation!$E$3+7)</f>
        <v>0</v>
      </c>
    </row>
    <row r="70" spans="1:10">
      <c r="A70" t="s">
        <v>69</v>
      </c>
      <c r="B70" s="2">
        <v>42006.44</v>
      </c>
      <c r="C70" s="3" t="s">
        <v>5003</v>
      </c>
      <c r="D70" t="s">
        <v>5012</v>
      </c>
      <c r="E70" t="s">
        <v>5018</v>
      </c>
      <c r="F70" t="s">
        <v>5018</v>
      </c>
      <c r="G70">
        <v>69</v>
      </c>
      <c r="H70" s="5">
        <v>3.2983854011474872E-3</v>
      </c>
      <c r="I70">
        <v>4</v>
      </c>
      <c r="J70" t="b">
        <f>AND(CCData[[#This Row],[Date]]&gt;=Calculation!$E$3,CCData[[#This Row],[Date]]&lt;Calculation!$E$3+7)</f>
        <v>0</v>
      </c>
    </row>
    <row r="71" spans="1:10">
      <c r="A71" t="s">
        <v>70</v>
      </c>
      <c r="B71" s="2">
        <v>42006.44</v>
      </c>
      <c r="C71" s="3" t="s">
        <v>5003</v>
      </c>
      <c r="D71" t="s">
        <v>5015</v>
      </c>
      <c r="E71" t="s">
        <v>5019</v>
      </c>
      <c r="F71" t="s">
        <v>5019</v>
      </c>
      <c r="G71" t="s">
        <v>5022</v>
      </c>
      <c r="H71" s="5" t="s">
        <v>5022</v>
      </c>
      <c r="I71" t="s">
        <v>5022</v>
      </c>
      <c r="J71" t="b">
        <f>AND(CCData[[#This Row],[Date]]&gt;=Calculation!$E$3,CCData[[#This Row],[Date]]&lt;Calculation!$E$3+7)</f>
        <v>0</v>
      </c>
    </row>
    <row r="72" spans="1:10">
      <c r="A72" t="s">
        <v>71</v>
      </c>
      <c r="B72" s="2">
        <v>42006.464</v>
      </c>
      <c r="C72" s="3" t="s">
        <v>5008</v>
      </c>
      <c r="D72" t="s">
        <v>5013</v>
      </c>
      <c r="E72" t="s">
        <v>5018</v>
      </c>
      <c r="F72" t="s">
        <v>5018</v>
      </c>
      <c r="G72">
        <v>120</v>
      </c>
      <c r="H72" s="5">
        <v>1.5130353065361756E-3</v>
      </c>
      <c r="I72">
        <v>4</v>
      </c>
      <c r="J72" t="b">
        <f>AND(CCData[[#This Row],[Date]]&gt;=Calculation!$E$3,CCData[[#This Row],[Date]]&lt;Calculation!$E$3+7)</f>
        <v>0</v>
      </c>
    </row>
    <row r="73" spans="1:10">
      <c r="A73" t="s">
        <v>72</v>
      </c>
      <c r="B73" s="2">
        <v>42006.464</v>
      </c>
      <c r="C73" s="3" t="s">
        <v>5005</v>
      </c>
      <c r="D73" t="s">
        <v>5015</v>
      </c>
      <c r="E73" t="s">
        <v>5018</v>
      </c>
      <c r="F73" t="s">
        <v>5018</v>
      </c>
      <c r="G73">
        <v>113</v>
      </c>
      <c r="H73" s="5">
        <v>4.0655438767319601E-3</v>
      </c>
      <c r="I73">
        <v>5</v>
      </c>
      <c r="J73" t="b">
        <f>AND(CCData[[#This Row],[Date]]&gt;=Calculation!$E$3,CCData[[#This Row],[Date]]&lt;Calculation!$E$3+7)</f>
        <v>0</v>
      </c>
    </row>
    <row r="74" spans="1:10">
      <c r="A74" t="s">
        <v>73</v>
      </c>
      <c r="B74" s="2">
        <v>42006.476999999999</v>
      </c>
      <c r="C74" s="3" t="s">
        <v>5006</v>
      </c>
      <c r="D74" t="s">
        <v>5014</v>
      </c>
      <c r="E74" t="s">
        <v>5018</v>
      </c>
      <c r="F74" t="s">
        <v>5019</v>
      </c>
      <c r="G74">
        <v>10</v>
      </c>
      <c r="H74" s="5">
        <v>1.6048591363513902E-3</v>
      </c>
      <c r="I74">
        <v>5</v>
      </c>
      <c r="J74" t="b">
        <f>AND(CCData[[#This Row],[Date]]&gt;=Calculation!$E$3,CCData[[#This Row],[Date]]&lt;Calculation!$E$3+7)</f>
        <v>0</v>
      </c>
    </row>
    <row r="75" spans="1:10">
      <c r="A75" t="s">
        <v>74</v>
      </c>
      <c r="B75" s="2">
        <v>42006.476999999999</v>
      </c>
      <c r="C75" s="3" t="s">
        <v>5004</v>
      </c>
      <c r="D75" t="s">
        <v>5012</v>
      </c>
      <c r="E75" t="s">
        <v>5018</v>
      </c>
      <c r="F75" t="s">
        <v>5018</v>
      </c>
      <c r="G75">
        <v>122</v>
      </c>
      <c r="H75" s="5">
        <v>3.3883546197981851E-3</v>
      </c>
      <c r="I75">
        <v>1</v>
      </c>
      <c r="J75" t="b">
        <f>AND(CCData[[#This Row],[Date]]&gt;=Calculation!$E$3,CCData[[#This Row],[Date]]&lt;Calculation!$E$3+7)</f>
        <v>0</v>
      </c>
    </row>
    <row r="76" spans="1:10">
      <c r="A76" t="s">
        <v>75</v>
      </c>
      <c r="B76" s="2">
        <v>42006.487999999998</v>
      </c>
      <c r="C76" s="3" t="s">
        <v>5005</v>
      </c>
      <c r="D76" t="s">
        <v>5013</v>
      </c>
      <c r="E76" t="s">
        <v>5018</v>
      </c>
      <c r="F76" t="s">
        <v>5019</v>
      </c>
      <c r="G76">
        <v>125</v>
      </c>
      <c r="H76" s="5">
        <v>1.1328006157139995E-3</v>
      </c>
      <c r="I76">
        <v>3</v>
      </c>
      <c r="J76" t="b">
        <f>AND(CCData[[#This Row],[Date]]&gt;=Calculation!$E$3,CCData[[#This Row],[Date]]&lt;Calculation!$E$3+7)</f>
        <v>0</v>
      </c>
    </row>
    <row r="77" spans="1:10">
      <c r="A77" t="s">
        <v>76</v>
      </c>
      <c r="B77" s="2">
        <v>42006.487999999998</v>
      </c>
      <c r="C77" s="3" t="s">
        <v>5003</v>
      </c>
      <c r="D77" t="s">
        <v>5015</v>
      </c>
      <c r="E77" t="s">
        <v>5019</v>
      </c>
      <c r="F77" t="s">
        <v>5019</v>
      </c>
      <c r="G77" t="s">
        <v>5022</v>
      </c>
      <c r="H77" s="5" t="s">
        <v>5022</v>
      </c>
      <c r="I77" t="s">
        <v>5022</v>
      </c>
      <c r="J77" t="b">
        <f>AND(CCData[[#This Row],[Date]]&gt;=Calculation!$E$3,CCData[[#This Row],[Date]]&lt;Calculation!$E$3+7)</f>
        <v>0</v>
      </c>
    </row>
    <row r="78" spans="1:10">
      <c r="A78" t="s">
        <v>77</v>
      </c>
      <c r="B78" s="2">
        <v>42006.491000000002</v>
      </c>
      <c r="C78" s="3" t="s">
        <v>5009</v>
      </c>
      <c r="D78" t="s">
        <v>5013</v>
      </c>
      <c r="E78" t="s">
        <v>5018</v>
      </c>
      <c r="F78" t="s">
        <v>5018</v>
      </c>
      <c r="G78">
        <v>33</v>
      </c>
      <c r="H78" s="5">
        <v>4.6061430858704323E-3</v>
      </c>
      <c r="I78">
        <v>2</v>
      </c>
      <c r="J78" t="b">
        <f>AND(CCData[[#This Row],[Date]]&gt;=Calculation!$E$3,CCData[[#This Row],[Date]]&lt;Calculation!$E$3+7)</f>
        <v>0</v>
      </c>
    </row>
    <row r="79" spans="1:10">
      <c r="A79" t="s">
        <v>78</v>
      </c>
      <c r="B79" s="2">
        <v>42006.491000000002</v>
      </c>
      <c r="C79" s="3" t="s">
        <v>5010</v>
      </c>
      <c r="D79" t="s">
        <v>5012</v>
      </c>
      <c r="E79" t="s">
        <v>5018</v>
      </c>
      <c r="F79" t="s">
        <v>5018</v>
      </c>
      <c r="G79">
        <v>51</v>
      </c>
      <c r="H79" s="5">
        <v>4.4239189952619664E-3</v>
      </c>
      <c r="I79">
        <v>2</v>
      </c>
      <c r="J79" t="b">
        <f>AND(CCData[[#This Row],[Date]]&gt;=Calculation!$E$3,CCData[[#This Row],[Date]]&lt;Calculation!$E$3+7)</f>
        <v>0</v>
      </c>
    </row>
    <row r="80" spans="1:10">
      <c r="A80" t="s">
        <v>79</v>
      </c>
      <c r="B80" s="2">
        <v>42006.495999999999</v>
      </c>
      <c r="C80" s="3" t="s">
        <v>5004</v>
      </c>
      <c r="D80" t="s">
        <v>5012</v>
      </c>
      <c r="E80" t="s">
        <v>5018</v>
      </c>
      <c r="F80" t="s">
        <v>5018</v>
      </c>
      <c r="G80">
        <v>58</v>
      </c>
      <c r="H80" s="5">
        <v>2.4079336271108798E-3</v>
      </c>
      <c r="I80">
        <v>3</v>
      </c>
      <c r="J80" t="b">
        <f>AND(CCData[[#This Row],[Date]]&gt;=Calculation!$E$3,CCData[[#This Row],[Date]]&lt;Calculation!$E$3+7)</f>
        <v>0</v>
      </c>
    </row>
    <row r="81" spans="1:10">
      <c r="A81" t="s">
        <v>80</v>
      </c>
      <c r="B81" s="2">
        <v>42006.495999999999</v>
      </c>
      <c r="C81" s="3" t="s">
        <v>5010</v>
      </c>
      <c r="D81" t="s">
        <v>5015</v>
      </c>
      <c r="E81" t="s">
        <v>5018</v>
      </c>
      <c r="F81" t="s">
        <v>5018</v>
      </c>
      <c r="G81">
        <v>121</v>
      </c>
      <c r="H81" s="5">
        <v>3.3229442436224078E-3</v>
      </c>
      <c r="I81">
        <v>5</v>
      </c>
      <c r="J81" t="b">
        <f>AND(CCData[[#This Row],[Date]]&gt;=Calculation!$E$3,CCData[[#This Row],[Date]]&lt;Calculation!$E$3+7)</f>
        <v>0</v>
      </c>
    </row>
    <row r="82" spans="1:10">
      <c r="A82" t="s">
        <v>81</v>
      </c>
      <c r="B82" s="2">
        <v>42006.5</v>
      </c>
      <c r="C82" s="3" t="s">
        <v>5003</v>
      </c>
      <c r="D82" t="s">
        <v>5015</v>
      </c>
      <c r="E82" t="s">
        <v>5018</v>
      </c>
      <c r="F82" t="s">
        <v>5018</v>
      </c>
      <c r="G82">
        <v>118</v>
      </c>
      <c r="H82" s="5">
        <v>1.4580737108563853E-3</v>
      </c>
      <c r="I82">
        <v>4</v>
      </c>
      <c r="J82" t="b">
        <f>AND(CCData[[#This Row],[Date]]&gt;=Calculation!$E$3,CCData[[#This Row],[Date]]&lt;Calculation!$E$3+7)</f>
        <v>0</v>
      </c>
    </row>
    <row r="83" spans="1:10">
      <c r="A83" t="s">
        <v>82</v>
      </c>
      <c r="B83" s="2">
        <v>42006.5</v>
      </c>
      <c r="C83" s="3" t="s">
        <v>5006</v>
      </c>
      <c r="D83" t="s">
        <v>5014</v>
      </c>
      <c r="E83" t="s">
        <v>5018</v>
      </c>
      <c r="F83" t="s">
        <v>5018</v>
      </c>
      <c r="G83">
        <v>52</v>
      </c>
      <c r="H83" s="5">
        <v>4.8180860860128584E-3</v>
      </c>
      <c r="I83">
        <v>4</v>
      </c>
      <c r="J83" t="b">
        <f>AND(CCData[[#This Row],[Date]]&gt;=Calculation!$E$3,CCData[[#This Row],[Date]]&lt;Calculation!$E$3+7)</f>
        <v>0</v>
      </c>
    </row>
    <row r="84" spans="1:10">
      <c r="A84" t="s">
        <v>83</v>
      </c>
      <c r="B84" s="2">
        <v>42006.514000000003</v>
      </c>
      <c r="C84" s="3" t="s">
        <v>5005</v>
      </c>
      <c r="D84" t="s">
        <v>5015</v>
      </c>
      <c r="E84" t="s">
        <v>5018</v>
      </c>
      <c r="F84" t="s">
        <v>5018</v>
      </c>
      <c r="G84">
        <v>55</v>
      </c>
      <c r="H84" s="5">
        <v>3.2878048356259821E-3</v>
      </c>
      <c r="I84">
        <v>3</v>
      </c>
      <c r="J84" t="b">
        <f>AND(CCData[[#This Row],[Date]]&gt;=Calculation!$E$3,CCData[[#This Row],[Date]]&lt;Calculation!$E$3+7)</f>
        <v>0</v>
      </c>
    </row>
    <row r="85" spans="1:10">
      <c r="A85" t="s">
        <v>84</v>
      </c>
      <c r="B85" s="2">
        <v>42006.514000000003</v>
      </c>
      <c r="C85" s="3" t="s">
        <v>5010</v>
      </c>
      <c r="D85" t="s">
        <v>5012</v>
      </c>
      <c r="E85" t="s">
        <v>5018</v>
      </c>
      <c r="F85" t="s">
        <v>5018</v>
      </c>
      <c r="G85">
        <v>68</v>
      </c>
      <c r="H85" s="5">
        <v>4.152578644996424E-3</v>
      </c>
      <c r="I85">
        <v>4</v>
      </c>
      <c r="J85" t="b">
        <f>AND(CCData[[#This Row],[Date]]&gt;=Calculation!$E$3,CCData[[#This Row],[Date]]&lt;Calculation!$E$3+7)</f>
        <v>0</v>
      </c>
    </row>
    <row r="86" spans="1:10">
      <c r="A86" t="s">
        <v>85</v>
      </c>
      <c r="B86" s="2">
        <v>42006.529000000002</v>
      </c>
      <c r="C86" s="3" t="s">
        <v>5004</v>
      </c>
      <c r="D86" t="s">
        <v>5013</v>
      </c>
      <c r="E86" t="s">
        <v>5018</v>
      </c>
      <c r="F86" t="s">
        <v>5018</v>
      </c>
      <c r="G86">
        <v>106</v>
      </c>
      <c r="H86" s="5">
        <v>3.0359354733590005E-3</v>
      </c>
      <c r="I86">
        <v>5</v>
      </c>
      <c r="J86" t="b">
        <f>AND(CCData[[#This Row],[Date]]&gt;=Calculation!$E$3,CCData[[#This Row],[Date]]&lt;Calculation!$E$3+7)</f>
        <v>0</v>
      </c>
    </row>
    <row r="87" spans="1:10">
      <c r="A87" t="s">
        <v>86</v>
      </c>
      <c r="B87" s="2">
        <v>42006.529000000002</v>
      </c>
      <c r="C87" s="3" t="s">
        <v>5009</v>
      </c>
      <c r="D87" t="s">
        <v>5013</v>
      </c>
      <c r="E87" t="s">
        <v>5018</v>
      </c>
      <c r="F87" t="s">
        <v>5018</v>
      </c>
      <c r="G87">
        <v>32</v>
      </c>
      <c r="H87" s="5">
        <v>3.1935470776151935E-3</v>
      </c>
      <c r="I87">
        <v>3</v>
      </c>
      <c r="J87" t="b">
        <f>AND(CCData[[#This Row],[Date]]&gt;=Calculation!$E$3,CCData[[#This Row],[Date]]&lt;Calculation!$E$3+7)</f>
        <v>0</v>
      </c>
    </row>
    <row r="88" spans="1:10">
      <c r="A88" t="s">
        <v>87</v>
      </c>
      <c r="B88" s="2">
        <v>42006.531000000003</v>
      </c>
      <c r="C88" s="3" t="s">
        <v>5007</v>
      </c>
      <c r="D88" t="s">
        <v>5014</v>
      </c>
      <c r="E88" t="s">
        <v>5019</v>
      </c>
      <c r="F88" t="s">
        <v>5019</v>
      </c>
      <c r="G88" t="s">
        <v>5022</v>
      </c>
      <c r="H88" s="5" t="s">
        <v>5022</v>
      </c>
      <c r="I88" t="s">
        <v>5022</v>
      </c>
      <c r="J88" t="b">
        <f>AND(CCData[[#This Row],[Date]]&gt;=Calculation!$E$3,CCData[[#This Row],[Date]]&lt;Calculation!$E$3+7)</f>
        <v>0</v>
      </c>
    </row>
    <row r="89" spans="1:10">
      <c r="A89" t="s">
        <v>88</v>
      </c>
      <c r="B89" s="2">
        <v>42006.531000000003</v>
      </c>
      <c r="C89" s="3" t="s">
        <v>5009</v>
      </c>
      <c r="D89" t="s">
        <v>5015</v>
      </c>
      <c r="E89" t="s">
        <v>5018</v>
      </c>
      <c r="F89" t="s">
        <v>5019</v>
      </c>
      <c r="G89">
        <v>45</v>
      </c>
      <c r="H89" s="5">
        <v>9.9263742622302214E-4</v>
      </c>
      <c r="I89">
        <v>4</v>
      </c>
      <c r="J89" t="b">
        <f>AND(CCData[[#This Row],[Date]]&gt;=Calculation!$E$3,CCData[[#This Row],[Date]]&lt;Calculation!$E$3+7)</f>
        <v>0</v>
      </c>
    </row>
    <row r="90" spans="1:10">
      <c r="A90" t="s">
        <v>89</v>
      </c>
      <c r="B90" s="2">
        <v>42006.540999999997</v>
      </c>
      <c r="C90" s="3" t="s">
        <v>5008</v>
      </c>
      <c r="D90" t="s">
        <v>5013</v>
      </c>
      <c r="E90" t="s">
        <v>5018</v>
      </c>
      <c r="F90" t="s">
        <v>5018</v>
      </c>
      <c r="G90">
        <v>119</v>
      </c>
      <c r="H90" s="5">
        <v>2.4560110908591185E-3</v>
      </c>
      <c r="I90">
        <v>4</v>
      </c>
      <c r="J90" t="b">
        <f>AND(CCData[[#This Row],[Date]]&gt;=Calculation!$E$3,CCData[[#This Row],[Date]]&lt;Calculation!$E$3+7)</f>
        <v>0</v>
      </c>
    </row>
    <row r="91" spans="1:10">
      <c r="A91" t="s">
        <v>90</v>
      </c>
      <c r="B91" s="2">
        <v>42006.540999999997</v>
      </c>
      <c r="C91" s="3" t="s">
        <v>5010</v>
      </c>
      <c r="D91" t="s">
        <v>5016</v>
      </c>
      <c r="E91" t="s">
        <v>5019</v>
      </c>
      <c r="F91" t="s">
        <v>5019</v>
      </c>
      <c r="G91" t="s">
        <v>5022</v>
      </c>
      <c r="H91" s="5" t="s">
        <v>5022</v>
      </c>
      <c r="I91" t="s">
        <v>5022</v>
      </c>
      <c r="J91" t="b">
        <f>AND(CCData[[#This Row],[Date]]&gt;=Calculation!$E$3,CCData[[#This Row],[Date]]&lt;Calculation!$E$3+7)</f>
        <v>0</v>
      </c>
    </row>
    <row r="92" spans="1:10">
      <c r="A92" t="s">
        <v>91</v>
      </c>
      <c r="B92" s="2">
        <v>42006.544000000002</v>
      </c>
      <c r="C92" s="3" t="s">
        <v>5007</v>
      </c>
      <c r="D92" t="s">
        <v>5012</v>
      </c>
      <c r="E92" t="s">
        <v>5018</v>
      </c>
      <c r="F92" t="s">
        <v>5018</v>
      </c>
      <c r="G92">
        <v>46</v>
      </c>
      <c r="H92" s="5">
        <v>3.9452883400931376E-3</v>
      </c>
      <c r="I92">
        <v>1</v>
      </c>
      <c r="J92" t="b">
        <f>AND(CCData[[#This Row],[Date]]&gt;=Calculation!$E$3,CCData[[#This Row],[Date]]&lt;Calculation!$E$3+7)</f>
        <v>0</v>
      </c>
    </row>
    <row r="93" spans="1:10">
      <c r="A93" t="s">
        <v>92</v>
      </c>
      <c r="B93" s="2">
        <v>42006.544000000002</v>
      </c>
      <c r="C93" s="3" t="s">
        <v>5005</v>
      </c>
      <c r="D93" t="s">
        <v>5013</v>
      </c>
      <c r="E93" t="s">
        <v>5018</v>
      </c>
      <c r="F93" t="s">
        <v>5018</v>
      </c>
      <c r="G93">
        <v>101</v>
      </c>
      <c r="H93" s="5">
        <v>1.0225420107549937E-3</v>
      </c>
      <c r="I93">
        <v>3</v>
      </c>
      <c r="J93" t="b">
        <f>AND(CCData[[#This Row],[Date]]&gt;=Calculation!$E$3,CCData[[#This Row],[Date]]&lt;Calculation!$E$3+7)</f>
        <v>0</v>
      </c>
    </row>
    <row r="94" spans="1:10">
      <c r="A94" t="s">
        <v>93</v>
      </c>
      <c r="B94" s="2">
        <v>42006.544999999998</v>
      </c>
      <c r="C94" s="3" t="s">
        <v>5007</v>
      </c>
      <c r="D94" t="s">
        <v>5013</v>
      </c>
      <c r="E94" t="s">
        <v>5018</v>
      </c>
      <c r="F94" t="s">
        <v>5018</v>
      </c>
      <c r="G94">
        <v>56</v>
      </c>
      <c r="H94" s="5">
        <v>1.9856283711140953E-3</v>
      </c>
      <c r="I94">
        <v>3</v>
      </c>
      <c r="J94" t="b">
        <f>AND(CCData[[#This Row],[Date]]&gt;=Calculation!$E$3,CCData[[#This Row],[Date]]&lt;Calculation!$E$3+7)</f>
        <v>0</v>
      </c>
    </row>
    <row r="95" spans="1:10">
      <c r="A95" t="s">
        <v>94</v>
      </c>
      <c r="B95" s="2">
        <v>42006.544999999998</v>
      </c>
      <c r="C95" s="3" t="s">
        <v>5004</v>
      </c>
      <c r="D95" t="s">
        <v>5013</v>
      </c>
      <c r="E95" t="s">
        <v>5018</v>
      </c>
      <c r="F95" t="s">
        <v>5018</v>
      </c>
      <c r="G95">
        <v>80</v>
      </c>
      <c r="H95" s="5">
        <v>6.1402231928786176E-4</v>
      </c>
      <c r="I95">
        <v>3</v>
      </c>
      <c r="J95" t="b">
        <f>AND(CCData[[#This Row],[Date]]&gt;=Calculation!$E$3,CCData[[#This Row],[Date]]&lt;Calculation!$E$3+7)</f>
        <v>0</v>
      </c>
    </row>
    <row r="96" spans="1:10">
      <c r="A96" t="s">
        <v>95</v>
      </c>
      <c r="B96" s="2">
        <v>42006.550999999999</v>
      </c>
      <c r="C96" s="3" t="s">
        <v>5003</v>
      </c>
      <c r="D96" t="s">
        <v>5016</v>
      </c>
      <c r="E96" t="s">
        <v>5018</v>
      </c>
      <c r="F96" t="s">
        <v>5018</v>
      </c>
      <c r="G96">
        <v>24</v>
      </c>
      <c r="H96" s="5">
        <v>1.1137848847550572E-3</v>
      </c>
      <c r="I96">
        <v>3</v>
      </c>
      <c r="J96" t="b">
        <f>AND(CCData[[#This Row],[Date]]&gt;=Calculation!$E$3,CCData[[#This Row],[Date]]&lt;Calculation!$E$3+7)</f>
        <v>0</v>
      </c>
    </row>
    <row r="97" spans="1:10">
      <c r="A97" t="s">
        <v>96</v>
      </c>
      <c r="B97" s="2">
        <v>42006.550999999999</v>
      </c>
      <c r="C97" s="3" t="s">
        <v>5005</v>
      </c>
      <c r="D97" t="s">
        <v>5014</v>
      </c>
      <c r="E97" t="s">
        <v>5018</v>
      </c>
      <c r="F97" t="s">
        <v>5018</v>
      </c>
      <c r="G97">
        <v>113</v>
      </c>
      <c r="H97" s="5">
        <v>2.7105575770521484E-3</v>
      </c>
      <c r="I97">
        <v>2</v>
      </c>
      <c r="J97" t="b">
        <f>AND(CCData[[#This Row],[Date]]&gt;=Calculation!$E$3,CCData[[#This Row],[Date]]&lt;Calculation!$E$3+7)</f>
        <v>0</v>
      </c>
    </row>
    <row r="98" spans="1:10">
      <c r="A98" t="s">
        <v>97</v>
      </c>
      <c r="B98" s="2">
        <v>42006.555999999997</v>
      </c>
      <c r="C98" s="3" t="s">
        <v>5006</v>
      </c>
      <c r="D98" t="s">
        <v>5012</v>
      </c>
      <c r="E98" t="s">
        <v>5018</v>
      </c>
      <c r="F98" t="s">
        <v>5018</v>
      </c>
      <c r="G98">
        <v>19</v>
      </c>
      <c r="H98" s="5">
        <v>1.4191503049524362E-3</v>
      </c>
      <c r="I98">
        <v>4</v>
      </c>
      <c r="J98" t="b">
        <f>AND(CCData[[#This Row],[Date]]&gt;=Calculation!$E$3,CCData[[#This Row],[Date]]&lt;Calculation!$E$3+7)</f>
        <v>0</v>
      </c>
    </row>
    <row r="99" spans="1:10">
      <c r="A99" t="s">
        <v>98</v>
      </c>
      <c r="B99" s="2">
        <v>42006.555999999997</v>
      </c>
      <c r="C99" s="3" t="s">
        <v>5009</v>
      </c>
      <c r="D99" t="s">
        <v>5016</v>
      </c>
      <c r="E99" t="s">
        <v>5019</v>
      </c>
      <c r="F99" t="s">
        <v>5019</v>
      </c>
      <c r="G99" t="s">
        <v>5022</v>
      </c>
      <c r="H99" s="5" t="s">
        <v>5022</v>
      </c>
      <c r="I99" t="s">
        <v>5022</v>
      </c>
      <c r="J99" t="b">
        <f>AND(CCData[[#This Row],[Date]]&gt;=Calculation!$E$3,CCData[[#This Row],[Date]]&lt;Calculation!$E$3+7)</f>
        <v>0</v>
      </c>
    </row>
    <row r="100" spans="1:10">
      <c r="A100" t="s">
        <v>99</v>
      </c>
      <c r="B100" s="2">
        <v>42006.555999999997</v>
      </c>
      <c r="C100" s="3" t="s">
        <v>5010</v>
      </c>
      <c r="D100" t="s">
        <v>5012</v>
      </c>
      <c r="E100" t="s">
        <v>5018</v>
      </c>
      <c r="F100" t="s">
        <v>5018</v>
      </c>
      <c r="G100">
        <v>45</v>
      </c>
      <c r="H100" s="5">
        <v>4.5970402434888343E-3</v>
      </c>
      <c r="I100">
        <v>3</v>
      </c>
      <c r="J100" t="b">
        <f>AND(CCData[[#This Row],[Date]]&gt;=Calculation!$E$3,CCData[[#This Row],[Date]]&lt;Calculation!$E$3+7)</f>
        <v>0</v>
      </c>
    </row>
    <row r="101" spans="1:10">
      <c r="A101" t="s">
        <v>100</v>
      </c>
      <c r="B101" s="2">
        <v>42006.555999999997</v>
      </c>
      <c r="C101" s="3" t="s">
        <v>5003</v>
      </c>
      <c r="D101" t="s">
        <v>5013</v>
      </c>
      <c r="E101" t="s">
        <v>5018</v>
      </c>
      <c r="F101" t="s">
        <v>5018</v>
      </c>
      <c r="G101">
        <v>95</v>
      </c>
      <c r="H101" s="5">
        <v>3.6050789719068916E-3</v>
      </c>
      <c r="I101">
        <v>1</v>
      </c>
      <c r="J101" t="b">
        <f>AND(CCData[[#This Row],[Date]]&gt;=Calculation!$E$3,CCData[[#This Row],[Date]]&lt;Calculation!$E$3+7)</f>
        <v>0</v>
      </c>
    </row>
    <row r="102" spans="1:10">
      <c r="A102" t="s">
        <v>101</v>
      </c>
      <c r="B102" s="2">
        <v>42006.572999999997</v>
      </c>
      <c r="C102" s="3" t="s">
        <v>5004</v>
      </c>
      <c r="D102" t="s">
        <v>5013</v>
      </c>
      <c r="E102" t="s">
        <v>5019</v>
      </c>
      <c r="F102" t="s">
        <v>5019</v>
      </c>
      <c r="G102" t="s">
        <v>5022</v>
      </c>
      <c r="H102" s="5" t="s">
        <v>5022</v>
      </c>
      <c r="I102" t="s">
        <v>5022</v>
      </c>
      <c r="J102" t="b">
        <f>AND(CCData[[#This Row],[Date]]&gt;=Calculation!$E$3,CCData[[#This Row],[Date]]&lt;Calculation!$E$3+7)</f>
        <v>0</v>
      </c>
    </row>
    <row r="103" spans="1:10">
      <c r="A103" t="s">
        <v>102</v>
      </c>
      <c r="B103" s="2">
        <v>42006.572999999997</v>
      </c>
      <c r="C103" s="3" t="s">
        <v>5009</v>
      </c>
      <c r="D103" t="s">
        <v>5013</v>
      </c>
      <c r="E103" t="s">
        <v>5018</v>
      </c>
      <c r="F103" t="s">
        <v>5019</v>
      </c>
      <c r="G103">
        <v>79</v>
      </c>
      <c r="H103" s="5">
        <v>3.8299598458079354E-3</v>
      </c>
      <c r="I103">
        <v>1</v>
      </c>
      <c r="J103" t="b">
        <f>AND(CCData[[#This Row],[Date]]&gt;=Calculation!$E$3,CCData[[#This Row],[Date]]&lt;Calculation!$E$3+7)</f>
        <v>0</v>
      </c>
    </row>
    <row r="104" spans="1:10">
      <c r="A104" t="s">
        <v>103</v>
      </c>
      <c r="B104" s="2">
        <v>42006.576000000001</v>
      </c>
      <c r="C104" s="3" t="s">
        <v>5003</v>
      </c>
      <c r="D104" t="s">
        <v>5014</v>
      </c>
      <c r="E104" t="s">
        <v>5018</v>
      </c>
      <c r="F104" t="s">
        <v>5018</v>
      </c>
      <c r="G104">
        <v>22</v>
      </c>
      <c r="H104" s="5">
        <v>2.7338933484967296E-3</v>
      </c>
      <c r="I104">
        <v>2</v>
      </c>
      <c r="J104" t="b">
        <f>AND(CCData[[#This Row],[Date]]&gt;=Calculation!$E$3,CCData[[#This Row],[Date]]&lt;Calculation!$E$3+7)</f>
        <v>0</v>
      </c>
    </row>
    <row r="105" spans="1:10">
      <c r="A105" t="s">
        <v>104</v>
      </c>
      <c r="B105" s="2">
        <v>42006.576000000001</v>
      </c>
      <c r="C105" s="3" t="s">
        <v>5009</v>
      </c>
      <c r="D105" t="s">
        <v>5012</v>
      </c>
      <c r="E105" t="s">
        <v>5018</v>
      </c>
      <c r="F105" t="s">
        <v>5018</v>
      </c>
      <c r="G105">
        <v>38</v>
      </c>
      <c r="H105" s="5">
        <v>4.5823674994088593E-3</v>
      </c>
      <c r="I105">
        <v>1</v>
      </c>
      <c r="J105" t="b">
        <f>AND(CCData[[#This Row],[Date]]&gt;=Calculation!$E$3,CCData[[#This Row],[Date]]&lt;Calculation!$E$3+7)</f>
        <v>0</v>
      </c>
    </row>
    <row r="106" spans="1:10">
      <c r="A106" t="s">
        <v>105</v>
      </c>
      <c r="B106" s="2">
        <v>42006.578999999998</v>
      </c>
      <c r="C106" s="3" t="s">
        <v>5004</v>
      </c>
      <c r="D106" t="s">
        <v>5013</v>
      </c>
      <c r="E106" t="s">
        <v>5018</v>
      </c>
      <c r="F106" t="s">
        <v>5018</v>
      </c>
      <c r="G106">
        <v>112</v>
      </c>
      <c r="H106" s="5">
        <v>2.3737035150585509E-3</v>
      </c>
      <c r="I106">
        <v>5</v>
      </c>
      <c r="J106" t="b">
        <f>AND(CCData[[#This Row],[Date]]&gt;=Calculation!$E$3,CCData[[#This Row],[Date]]&lt;Calculation!$E$3+7)</f>
        <v>0</v>
      </c>
    </row>
    <row r="107" spans="1:10">
      <c r="A107" t="s">
        <v>106</v>
      </c>
      <c r="B107" s="2">
        <v>42006.578999999998</v>
      </c>
      <c r="C107" s="3" t="s">
        <v>5004</v>
      </c>
      <c r="D107" t="s">
        <v>5014</v>
      </c>
      <c r="E107" t="s">
        <v>5018</v>
      </c>
      <c r="F107" t="s">
        <v>5018</v>
      </c>
      <c r="G107">
        <v>65</v>
      </c>
      <c r="H107" s="5">
        <v>3.4381770674863791E-3</v>
      </c>
      <c r="I107">
        <v>3</v>
      </c>
      <c r="J107" t="b">
        <f>AND(CCData[[#This Row],[Date]]&gt;=Calculation!$E$3,CCData[[#This Row],[Date]]&lt;Calculation!$E$3+7)</f>
        <v>0</v>
      </c>
    </row>
    <row r="108" spans="1:10">
      <c r="A108" t="s">
        <v>107</v>
      </c>
      <c r="B108" s="2">
        <v>42006.599000000002</v>
      </c>
      <c r="C108" s="3" t="s">
        <v>5008</v>
      </c>
      <c r="D108" t="s">
        <v>5016</v>
      </c>
      <c r="E108" t="s">
        <v>5019</v>
      </c>
      <c r="F108" t="s">
        <v>5019</v>
      </c>
      <c r="G108" t="s">
        <v>5022</v>
      </c>
      <c r="H108" s="5" t="s">
        <v>5022</v>
      </c>
      <c r="I108" t="s">
        <v>5022</v>
      </c>
      <c r="J108" t="b">
        <f>AND(CCData[[#This Row],[Date]]&gt;=Calculation!$E$3,CCData[[#This Row],[Date]]&lt;Calculation!$E$3+7)</f>
        <v>0</v>
      </c>
    </row>
    <row r="109" spans="1:10">
      <c r="A109" t="s">
        <v>108</v>
      </c>
      <c r="B109" s="2">
        <v>42006.599000000002</v>
      </c>
      <c r="C109" s="3" t="s">
        <v>5004</v>
      </c>
      <c r="D109" t="s">
        <v>5012</v>
      </c>
      <c r="E109" t="s">
        <v>5018</v>
      </c>
      <c r="F109" t="s">
        <v>5019</v>
      </c>
      <c r="G109">
        <v>55</v>
      </c>
      <c r="H109" s="5">
        <v>1.7553146507136492E-3</v>
      </c>
      <c r="I109">
        <v>1</v>
      </c>
      <c r="J109" t="b">
        <f>AND(CCData[[#This Row],[Date]]&gt;=Calculation!$E$3,CCData[[#This Row],[Date]]&lt;Calculation!$E$3+7)</f>
        <v>0</v>
      </c>
    </row>
    <row r="110" spans="1:10">
      <c r="A110" t="s">
        <v>109</v>
      </c>
      <c r="B110" s="2">
        <v>42006.62</v>
      </c>
      <c r="C110" s="3" t="s">
        <v>5005</v>
      </c>
      <c r="D110" t="s">
        <v>5015</v>
      </c>
      <c r="E110" t="s">
        <v>5019</v>
      </c>
      <c r="F110" t="s">
        <v>5019</v>
      </c>
      <c r="G110" t="s">
        <v>5022</v>
      </c>
      <c r="H110" s="5" t="s">
        <v>5022</v>
      </c>
      <c r="I110" t="s">
        <v>5022</v>
      </c>
      <c r="J110" t="b">
        <f>AND(CCData[[#This Row],[Date]]&gt;=Calculation!$E$3,CCData[[#This Row],[Date]]&lt;Calculation!$E$3+7)</f>
        <v>0</v>
      </c>
    </row>
    <row r="111" spans="1:10">
      <c r="A111" t="s">
        <v>110</v>
      </c>
      <c r="B111" s="2">
        <v>42006.62</v>
      </c>
      <c r="C111" s="3" t="s">
        <v>5008</v>
      </c>
      <c r="D111" t="s">
        <v>5016</v>
      </c>
      <c r="E111" t="s">
        <v>5018</v>
      </c>
      <c r="F111" t="s">
        <v>5018</v>
      </c>
      <c r="G111">
        <v>19</v>
      </c>
      <c r="H111" s="5">
        <v>1.832962493574901E-3</v>
      </c>
      <c r="I111">
        <v>2</v>
      </c>
      <c r="J111" t="b">
        <f>AND(CCData[[#This Row],[Date]]&gt;=Calculation!$E$3,CCData[[#This Row],[Date]]&lt;Calculation!$E$3+7)</f>
        <v>0</v>
      </c>
    </row>
    <row r="112" spans="1:10">
      <c r="A112" t="s">
        <v>111</v>
      </c>
      <c r="B112" s="2">
        <v>42006.631999999998</v>
      </c>
      <c r="C112" s="3" t="s">
        <v>5004</v>
      </c>
      <c r="D112" t="s">
        <v>5013</v>
      </c>
      <c r="E112" t="s">
        <v>5018</v>
      </c>
      <c r="F112" t="s">
        <v>5018</v>
      </c>
      <c r="G112">
        <v>53</v>
      </c>
      <c r="H112" s="5">
        <v>6.4982046989061845E-4</v>
      </c>
      <c r="I112">
        <v>3</v>
      </c>
      <c r="J112" t="b">
        <f>AND(CCData[[#This Row],[Date]]&gt;=Calculation!$E$3,CCData[[#This Row],[Date]]&lt;Calculation!$E$3+7)</f>
        <v>0</v>
      </c>
    </row>
    <row r="113" spans="1:10">
      <c r="A113" t="s">
        <v>112</v>
      </c>
      <c r="B113" s="2">
        <v>42006.631999999998</v>
      </c>
      <c r="C113" s="3" t="s">
        <v>5003</v>
      </c>
      <c r="D113" t="s">
        <v>5013</v>
      </c>
      <c r="E113" t="s">
        <v>5018</v>
      </c>
      <c r="F113" t="s">
        <v>5018</v>
      </c>
      <c r="G113">
        <v>24</v>
      </c>
      <c r="H113" s="5">
        <v>4.2306390263461063E-3</v>
      </c>
      <c r="I113">
        <v>5</v>
      </c>
      <c r="J113" t="b">
        <f>AND(CCData[[#This Row],[Date]]&gt;=Calculation!$E$3,CCData[[#This Row],[Date]]&lt;Calculation!$E$3+7)</f>
        <v>0</v>
      </c>
    </row>
    <row r="114" spans="1:10">
      <c r="A114" t="s">
        <v>113</v>
      </c>
      <c r="B114" s="2">
        <v>42006.65</v>
      </c>
      <c r="C114" s="3" t="s">
        <v>5009</v>
      </c>
      <c r="D114" t="s">
        <v>5016</v>
      </c>
      <c r="E114" t="s">
        <v>5018</v>
      </c>
      <c r="F114" t="s">
        <v>5018</v>
      </c>
      <c r="G114">
        <v>73</v>
      </c>
      <c r="H114" s="5">
        <v>4.1759013527695836E-3</v>
      </c>
      <c r="I114">
        <v>3</v>
      </c>
      <c r="J114" t="b">
        <f>AND(CCData[[#This Row],[Date]]&gt;=Calculation!$E$3,CCData[[#This Row],[Date]]&lt;Calculation!$E$3+7)</f>
        <v>0</v>
      </c>
    </row>
    <row r="115" spans="1:10">
      <c r="A115" t="s">
        <v>114</v>
      </c>
      <c r="B115" s="2">
        <v>42006.65</v>
      </c>
      <c r="C115" s="3" t="s">
        <v>5005</v>
      </c>
      <c r="D115" t="s">
        <v>5013</v>
      </c>
      <c r="E115" t="s">
        <v>5019</v>
      </c>
      <c r="F115" t="s">
        <v>5019</v>
      </c>
      <c r="G115" t="s">
        <v>5022</v>
      </c>
      <c r="H115" s="5" t="s">
        <v>5022</v>
      </c>
      <c r="I115" t="s">
        <v>5022</v>
      </c>
      <c r="J115" t="b">
        <f>AND(CCData[[#This Row],[Date]]&gt;=Calculation!$E$3,CCData[[#This Row],[Date]]&lt;Calculation!$E$3+7)</f>
        <v>0</v>
      </c>
    </row>
    <row r="116" spans="1:10">
      <c r="A116" t="s">
        <v>115</v>
      </c>
      <c r="B116" s="2">
        <v>42006.733999999997</v>
      </c>
      <c r="C116" s="3" t="s">
        <v>5007</v>
      </c>
      <c r="D116" t="s">
        <v>5013</v>
      </c>
      <c r="E116" t="s">
        <v>5018</v>
      </c>
      <c r="F116" t="s">
        <v>5018</v>
      </c>
      <c r="G116">
        <v>55</v>
      </c>
      <c r="H116" s="5">
        <v>4.0189374328597717E-3</v>
      </c>
      <c r="I116">
        <v>5</v>
      </c>
      <c r="J116" t="b">
        <f>AND(CCData[[#This Row],[Date]]&gt;=Calculation!$E$3,CCData[[#This Row],[Date]]&lt;Calculation!$E$3+7)</f>
        <v>0</v>
      </c>
    </row>
    <row r="117" spans="1:10">
      <c r="A117" t="s">
        <v>116</v>
      </c>
      <c r="B117" s="2">
        <v>42006.733999999997</v>
      </c>
      <c r="C117" s="3" t="s">
        <v>5006</v>
      </c>
      <c r="D117" t="s">
        <v>5014</v>
      </c>
      <c r="E117" t="s">
        <v>5019</v>
      </c>
      <c r="F117" t="s">
        <v>5019</v>
      </c>
      <c r="G117" t="s">
        <v>5022</v>
      </c>
      <c r="H117" s="5" t="s">
        <v>5022</v>
      </c>
      <c r="I117" t="s">
        <v>5022</v>
      </c>
      <c r="J117" t="b">
        <f>AND(CCData[[#This Row],[Date]]&gt;=Calculation!$E$3,CCData[[#This Row],[Date]]&lt;Calculation!$E$3+7)</f>
        <v>0</v>
      </c>
    </row>
    <row r="118" spans="1:10">
      <c r="A118" t="s">
        <v>117</v>
      </c>
      <c r="B118" s="2">
        <v>42006.741000000002</v>
      </c>
      <c r="C118" s="3" t="s">
        <v>5003</v>
      </c>
      <c r="D118" t="s">
        <v>5016</v>
      </c>
      <c r="E118" t="s">
        <v>5019</v>
      </c>
      <c r="F118" t="s">
        <v>5019</v>
      </c>
      <c r="G118" t="s">
        <v>5022</v>
      </c>
      <c r="H118" s="5" t="s">
        <v>5022</v>
      </c>
      <c r="I118" t="s">
        <v>5022</v>
      </c>
      <c r="J118" t="b">
        <f>AND(CCData[[#This Row],[Date]]&gt;=Calculation!$E$3,CCData[[#This Row],[Date]]&lt;Calculation!$E$3+7)</f>
        <v>0</v>
      </c>
    </row>
    <row r="119" spans="1:10">
      <c r="A119" t="s">
        <v>118</v>
      </c>
      <c r="B119" s="2">
        <v>42006.741000000002</v>
      </c>
      <c r="C119" s="3" t="s">
        <v>5009</v>
      </c>
      <c r="D119" t="s">
        <v>5016</v>
      </c>
      <c r="E119" t="s">
        <v>5018</v>
      </c>
      <c r="F119" t="s">
        <v>5018</v>
      </c>
      <c r="G119">
        <v>23</v>
      </c>
      <c r="H119" s="5">
        <v>3.6789799167224998E-3</v>
      </c>
      <c r="I119">
        <v>4</v>
      </c>
      <c r="J119" t="b">
        <f>AND(CCData[[#This Row],[Date]]&gt;=Calculation!$E$3,CCData[[#This Row],[Date]]&lt;Calculation!$E$3+7)</f>
        <v>0</v>
      </c>
    </row>
    <row r="120" spans="1:10">
      <c r="A120" t="s">
        <v>119</v>
      </c>
      <c r="B120" s="2">
        <v>42007.381999999998</v>
      </c>
      <c r="C120" s="3" t="s">
        <v>5010</v>
      </c>
      <c r="D120" t="s">
        <v>5014</v>
      </c>
      <c r="E120" t="s">
        <v>5018</v>
      </c>
      <c r="F120" t="s">
        <v>5019</v>
      </c>
      <c r="G120">
        <v>124</v>
      </c>
      <c r="H120" s="5">
        <v>1.6498133735719056E-3</v>
      </c>
      <c r="I120">
        <v>5</v>
      </c>
      <c r="J120" t="b">
        <f>AND(CCData[[#This Row],[Date]]&gt;=Calculation!$E$3,CCData[[#This Row],[Date]]&lt;Calculation!$E$3+7)</f>
        <v>0</v>
      </c>
    </row>
    <row r="121" spans="1:10">
      <c r="A121" t="s">
        <v>120</v>
      </c>
      <c r="B121" s="2">
        <v>42007.381999999998</v>
      </c>
      <c r="C121" s="3" t="s">
        <v>5010</v>
      </c>
      <c r="D121" t="s">
        <v>5012</v>
      </c>
      <c r="E121" t="s">
        <v>5019</v>
      </c>
      <c r="F121" t="s">
        <v>5019</v>
      </c>
      <c r="G121" t="s">
        <v>5022</v>
      </c>
      <c r="H121" s="5" t="s">
        <v>5022</v>
      </c>
      <c r="I121" t="s">
        <v>5022</v>
      </c>
      <c r="J121" t="b">
        <f>AND(CCData[[#This Row],[Date]]&gt;=Calculation!$E$3,CCData[[#This Row],[Date]]&lt;Calculation!$E$3+7)</f>
        <v>0</v>
      </c>
    </row>
    <row r="122" spans="1:10">
      <c r="A122" t="s">
        <v>121</v>
      </c>
      <c r="B122" s="2">
        <v>42007.408000000003</v>
      </c>
      <c r="C122" s="3" t="s">
        <v>5010</v>
      </c>
      <c r="D122" t="s">
        <v>5013</v>
      </c>
      <c r="E122" t="s">
        <v>5018</v>
      </c>
      <c r="F122" t="s">
        <v>5018</v>
      </c>
      <c r="G122">
        <v>103</v>
      </c>
      <c r="H122" s="5">
        <v>7.0683226653098805E-4</v>
      </c>
      <c r="I122">
        <v>4</v>
      </c>
      <c r="J122" t="b">
        <f>AND(CCData[[#This Row],[Date]]&gt;=Calculation!$E$3,CCData[[#This Row],[Date]]&lt;Calculation!$E$3+7)</f>
        <v>0</v>
      </c>
    </row>
    <row r="123" spans="1:10">
      <c r="A123" t="s">
        <v>122</v>
      </c>
      <c r="B123" s="2">
        <v>42007.408000000003</v>
      </c>
      <c r="C123" s="3" t="s">
        <v>5009</v>
      </c>
      <c r="D123" t="s">
        <v>5012</v>
      </c>
      <c r="E123" t="s">
        <v>5018</v>
      </c>
      <c r="F123" t="s">
        <v>5018</v>
      </c>
      <c r="G123">
        <v>69</v>
      </c>
      <c r="H123" s="5">
        <v>2.6047086688230701E-3</v>
      </c>
      <c r="I123">
        <v>4</v>
      </c>
      <c r="J123" t="b">
        <f>AND(CCData[[#This Row],[Date]]&gt;=Calculation!$E$3,CCData[[#This Row],[Date]]&lt;Calculation!$E$3+7)</f>
        <v>0</v>
      </c>
    </row>
    <row r="124" spans="1:10">
      <c r="A124" t="s">
        <v>123</v>
      </c>
      <c r="B124" s="2">
        <v>42007.436999999998</v>
      </c>
      <c r="C124" s="3" t="s">
        <v>5008</v>
      </c>
      <c r="D124" t="s">
        <v>5016</v>
      </c>
      <c r="E124" t="s">
        <v>5018</v>
      </c>
      <c r="F124" t="s">
        <v>5018</v>
      </c>
      <c r="G124">
        <v>78</v>
      </c>
      <c r="H124" s="5">
        <v>8.2918152974602939E-4</v>
      </c>
      <c r="I124">
        <v>3</v>
      </c>
      <c r="J124" t="b">
        <f>AND(CCData[[#This Row],[Date]]&gt;=Calculation!$E$3,CCData[[#This Row],[Date]]&lt;Calculation!$E$3+7)</f>
        <v>0</v>
      </c>
    </row>
    <row r="125" spans="1:10">
      <c r="A125" t="s">
        <v>124</v>
      </c>
      <c r="B125" s="2">
        <v>42007.436999999998</v>
      </c>
      <c r="C125" s="3" t="s">
        <v>5009</v>
      </c>
      <c r="D125" t="s">
        <v>5013</v>
      </c>
      <c r="E125" t="s">
        <v>5018</v>
      </c>
      <c r="F125" t="s">
        <v>5018</v>
      </c>
      <c r="G125">
        <v>78</v>
      </c>
      <c r="H125" s="5">
        <v>2.3836169804304819E-3</v>
      </c>
      <c r="I125">
        <v>5</v>
      </c>
      <c r="J125" t="b">
        <f>AND(CCData[[#This Row],[Date]]&gt;=Calculation!$E$3,CCData[[#This Row],[Date]]&lt;Calculation!$E$3+7)</f>
        <v>0</v>
      </c>
    </row>
    <row r="126" spans="1:10">
      <c r="A126" t="s">
        <v>125</v>
      </c>
      <c r="B126" s="2">
        <v>42007.442999999999</v>
      </c>
      <c r="C126" s="3" t="s">
        <v>5009</v>
      </c>
      <c r="D126" t="s">
        <v>5013</v>
      </c>
      <c r="E126" t="s">
        <v>5019</v>
      </c>
      <c r="F126" t="s">
        <v>5019</v>
      </c>
      <c r="G126" t="s">
        <v>5022</v>
      </c>
      <c r="H126" s="5" t="s">
        <v>5022</v>
      </c>
      <c r="I126" t="s">
        <v>5022</v>
      </c>
      <c r="J126" t="b">
        <f>AND(CCData[[#This Row],[Date]]&gt;=Calculation!$E$3,CCData[[#This Row],[Date]]&lt;Calculation!$E$3+7)</f>
        <v>0</v>
      </c>
    </row>
    <row r="127" spans="1:10">
      <c r="A127" t="s">
        <v>126</v>
      </c>
      <c r="B127" s="2">
        <v>42007.442999999999</v>
      </c>
      <c r="C127" s="3" t="s">
        <v>5003</v>
      </c>
      <c r="D127" t="s">
        <v>5014</v>
      </c>
      <c r="E127" t="s">
        <v>5018</v>
      </c>
      <c r="F127" t="s">
        <v>5018</v>
      </c>
      <c r="G127">
        <v>44</v>
      </c>
      <c r="H127" s="5">
        <v>3.9167000976566141E-3</v>
      </c>
      <c r="I127">
        <v>4</v>
      </c>
      <c r="J127" t="b">
        <f>AND(CCData[[#This Row],[Date]]&gt;=Calculation!$E$3,CCData[[#This Row],[Date]]&lt;Calculation!$E$3+7)</f>
        <v>0</v>
      </c>
    </row>
    <row r="128" spans="1:10">
      <c r="A128" t="s">
        <v>127</v>
      </c>
      <c r="B128" s="2">
        <v>42007.453000000001</v>
      </c>
      <c r="C128" s="3" t="s">
        <v>5009</v>
      </c>
      <c r="D128" t="s">
        <v>5015</v>
      </c>
      <c r="E128" t="s">
        <v>5018</v>
      </c>
      <c r="F128" t="s">
        <v>5018</v>
      </c>
      <c r="G128">
        <v>35</v>
      </c>
      <c r="H128" s="5">
        <v>1.9164302579445125E-3</v>
      </c>
      <c r="I128">
        <v>4</v>
      </c>
      <c r="J128" t="b">
        <f>AND(CCData[[#This Row],[Date]]&gt;=Calculation!$E$3,CCData[[#This Row],[Date]]&lt;Calculation!$E$3+7)</f>
        <v>0</v>
      </c>
    </row>
    <row r="129" spans="1:10">
      <c r="A129" t="s">
        <v>128</v>
      </c>
      <c r="B129" s="2">
        <v>42007.453000000001</v>
      </c>
      <c r="C129" s="3" t="s">
        <v>5004</v>
      </c>
      <c r="D129" t="s">
        <v>5015</v>
      </c>
      <c r="E129" t="s">
        <v>5018</v>
      </c>
      <c r="F129" t="s">
        <v>5018</v>
      </c>
      <c r="G129">
        <v>102</v>
      </c>
      <c r="H129" s="5">
        <v>3.7683913235178087E-3</v>
      </c>
      <c r="I129">
        <v>4</v>
      </c>
      <c r="J129" t="b">
        <f>AND(CCData[[#This Row],[Date]]&gt;=Calculation!$E$3,CCData[[#This Row],[Date]]&lt;Calculation!$E$3+7)</f>
        <v>0</v>
      </c>
    </row>
    <row r="130" spans="1:10">
      <c r="A130" t="s">
        <v>129</v>
      </c>
      <c r="B130" s="2">
        <v>42007.453000000001</v>
      </c>
      <c r="C130" s="3" t="s">
        <v>5007</v>
      </c>
      <c r="D130" t="s">
        <v>5012</v>
      </c>
      <c r="E130" t="s">
        <v>5018</v>
      </c>
      <c r="F130" t="s">
        <v>5018</v>
      </c>
      <c r="G130">
        <v>99</v>
      </c>
      <c r="H130" s="5">
        <v>4.0664410352040771E-3</v>
      </c>
      <c r="I130">
        <v>3</v>
      </c>
      <c r="J130" t="b">
        <f>AND(CCData[[#This Row],[Date]]&gt;=Calculation!$E$3,CCData[[#This Row],[Date]]&lt;Calculation!$E$3+7)</f>
        <v>0</v>
      </c>
    </row>
    <row r="131" spans="1:10">
      <c r="A131" t="s">
        <v>130</v>
      </c>
      <c r="B131" s="2">
        <v>42007.453000000001</v>
      </c>
      <c r="C131" s="3" t="s">
        <v>5007</v>
      </c>
      <c r="D131" t="s">
        <v>5015</v>
      </c>
      <c r="E131" t="s">
        <v>5018</v>
      </c>
      <c r="F131" t="s">
        <v>5018</v>
      </c>
      <c r="G131">
        <v>29</v>
      </c>
      <c r="H131" s="5">
        <v>2.8836765063313197E-3</v>
      </c>
      <c r="I131">
        <v>3</v>
      </c>
      <c r="J131" t="b">
        <f>AND(CCData[[#This Row],[Date]]&gt;=Calculation!$E$3,CCData[[#This Row],[Date]]&lt;Calculation!$E$3+7)</f>
        <v>0</v>
      </c>
    </row>
    <row r="132" spans="1:10">
      <c r="A132" t="s">
        <v>131</v>
      </c>
      <c r="B132" s="2">
        <v>42007.457000000002</v>
      </c>
      <c r="C132" s="3" t="s">
        <v>5004</v>
      </c>
      <c r="D132" t="s">
        <v>5015</v>
      </c>
      <c r="E132" t="s">
        <v>5018</v>
      </c>
      <c r="F132" t="s">
        <v>5019</v>
      </c>
      <c r="G132">
        <v>42</v>
      </c>
      <c r="H132" s="5">
        <v>6.7763276745044722E-4</v>
      </c>
      <c r="I132">
        <v>5</v>
      </c>
      <c r="J132" t="b">
        <f>AND(CCData[[#This Row],[Date]]&gt;=Calculation!$E$3,CCData[[#This Row],[Date]]&lt;Calculation!$E$3+7)</f>
        <v>0</v>
      </c>
    </row>
    <row r="133" spans="1:10">
      <c r="A133" t="s">
        <v>132</v>
      </c>
      <c r="B133" s="2">
        <v>42007.457000000002</v>
      </c>
      <c r="C133" s="3" t="s">
        <v>5003</v>
      </c>
      <c r="D133" t="s">
        <v>5014</v>
      </c>
      <c r="E133" t="s">
        <v>5018</v>
      </c>
      <c r="F133" t="s">
        <v>5018</v>
      </c>
      <c r="G133">
        <v>113</v>
      </c>
      <c r="H133" s="5">
        <v>3.9318450624441182E-3</v>
      </c>
      <c r="I133">
        <v>4</v>
      </c>
      <c r="J133" t="b">
        <f>AND(CCData[[#This Row],[Date]]&gt;=Calculation!$E$3,CCData[[#This Row],[Date]]&lt;Calculation!$E$3+7)</f>
        <v>0</v>
      </c>
    </row>
    <row r="134" spans="1:10">
      <c r="A134" t="s">
        <v>133</v>
      </c>
      <c r="B134" s="2">
        <v>42007.46</v>
      </c>
      <c r="C134" s="3" t="s">
        <v>5010</v>
      </c>
      <c r="D134" t="s">
        <v>5015</v>
      </c>
      <c r="E134" t="s">
        <v>5018</v>
      </c>
      <c r="F134" t="s">
        <v>5018</v>
      </c>
      <c r="G134">
        <v>124</v>
      </c>
      <c r="H134" s="5">
        <v>6.1572804409925502E-4</v>
      </c>
      <c r="I134">
        <v>2</v>
      </c>
      <c r="J134" t="b">
        <f>AND(CCData[[#This Row],[Date]]&gt;=Calculation!$E$3,CCData[[#This Row],[Date]]&lt;Calculation!$E$3+7)</f>
        <v>0</v>
      </c>
    </row>
    <row r="135" spans="1:10">
      <c r="A135" t="s">
        <v>134</v>
      </c>
      <c r="B135" s="2">
        <v>42007.46</v>
      </c>
      <c r="C135" s="3" t="s">
        <v>5007</v>
      </c>
      <c r="D135" t="s">
        <v>5013</v>
      </c>
      <c r="E135" t="s">
        <v>5019</v>
      </c>
      <c r="F135" t="s">
        <v>5019</v>
      </c>
      <c r="G135" t="s">
        <v>5022</v>
      </c>
      <c r="H135" s="5" t="s">
        <v>5022</v>
      </c>
      <c r="I135" t="s">
        <v>5022</v>
      </c>
      <c r="J135" t="b">
        <f>AND(CCData[[#This Row],[Date]]&gt;=Calculation!$E$3,CCData[[#This Row],[Date]]&lt;Calculation!$E$3+7)</f>
        <v>0</v>
      </c>
    </row>
    <row r="136" spans="1:10">
      <c r="A136" t="s">
        <v>135</v>
      </c>
      <c r="B136" s="2">
        <v>42007.461000000003</v>
      </c>
      <c r="C136" s="3" t="s">
        <v>5010</v>
      </c>
      <c r="D136" t="s">
        <v>5014</v>
      </c>
      <c r="E136" t="s">
        <v>5018</v>
      </c>
      <c r="F136" t="s">
        <v>5018</v>
      </c>
      <c r="G136">
        <v>55</v>
      </c>
      <c r="H136" s="5">
        <v>1.5343070271308455E-3</v>
      </c>
      <c r="I136">
        <v>1</v>
      </c>
      <c r="J136" t="b">
        <f>AND(CCData[[#This Row],[Date]]&gt;=Calculation!$E$3,CCData[[#This Row],[Date]]&lt;Calculation!$E$3+7)</f>
        <v>0</v>
      </c>
    </row>
    <row r="137" spans="1:10">
      <c r="A137" t="s">
        <v>136</v>
      </c>
      <c r="B137" s="2">
        <v>42007.461000000003</v>
      </c>
      <c r="C137" s="3" t="s">
        <v>5006</v>
      </c>
      <c r="D137" t="s">
        <v>5013</v>
      </c>
      <c r="E137" t="s">
        <v>5018</v>
      </c>
      <c r="F137" t="s">
        <v>5019</v>
      </c>
      <c r="G137">
        <v>105</v>
      </c>
      <c r="H137" s="5">
        <v>4.149773771946072E-3</v>
      </c>
      <c r="I137">
        <v>3</v>
      </c>
      <c r="J137" t="b">
        <f>AND(CCData[[#This Row],[Date]]&gt;=Calculation!$E$3,CCData[[#This Row],[Date]]&lt;Calculation!$E$3+7)</f>
        <v>0</v>
      </c>
    </row>
    <row r="138" spans="1:10">
      <c r="A138" t="s">
        <v>137</v>
      </c>
      <c r="B138" s="2">
        <v>42007.463000000003</v>
      </c>
      <c r="C138" s="3" t="s">
        <v>5005</v>
      </c>
      <c r="D138" t="s">
        <v>5012</v>
      </c>
      <c r="E138" t="s">
        <v>5018</v>
      </c>
      <c r="F138" t="s">
        <v>5019</v>
      </c>
      <c r="G138">
        <v>112</v>
      </c>
      <c r="H138" s="5">
        <v>2.2214249640435243E-3</v>
      </c>
      <c r="I138">
        <v>5</v>
      </c>
      <c r="J138" t="b">
        <f>AND(CCData[[#This Row],[Date]]&gt;=Calculation!$E$3,CCData[[#This Row],[Date]]&lt;Calculation!$E$3+7)</f>
        <v>0</v>
      </c>
    </row>
    <row r="139" spans="1:10">
      <c r="A139" t="s">
        <v>138</v>
      </c>
      <c r="B139" s="2">
        <v>42007.463000000003</v>
      </c>
      <c r="C139" s="3" t="s">
        <v>5009</v>
      </c>
      <c r="D139" t="s">
        <v>5012</v>
      </c>
      <c r="E139" t="s">
        <v>5019</v>
      </c>
      <c r="F139" t="s">
        <v>5019</v>
      </c>
      <c r="G139" t="s">
        <v>5022</v>
      </c>
      <c r="H139" s="5" t="s">
        <v>5022</v>
      </c>
      <c r="I139" t="s">
        <v>5022</v>
      </c>
      <c r="J139" t="b">
        <f>AND(CCData[[#This Row],[Date]]&gt;=Calculation!$E$3,CCData[[#This Row],[Date]]&lt;Calculation!$E$3+7)</f>
        <v>0</v>
      </c>
    </row>
    <row r="140" spans="1:10">
      <c r="A140" t="s">
        <v>139</v>
      </c>
      <c r="B140" s="2">
        <v>42007.47</v>
      </c>
      <c r="C140" s="3" t="s">
        <v>5004</v>
      </c>
      <c r="D140" t="s">
        <v>5013</v>
      </c>
      <c r="E140" t="s">
        <v>5018</v>
      </c>
      <c r="F140" t="s">
        <v>5018</v>
      </c>
      <c r="G140">
        <v>43</v>
      </c>
      <c r="H140" s="5">
        <v>4.4005726772450519E-3</v>
      </c>
      <c r="I140">
        <v>5</v>
      </c>
      <c r="J140" t="b">
        <f>AND(CCData[[#This Row],[Date]]&gt;=Calculation!$E$3,CCData[[#This Row],[Date]]&lt;Calculation!$E$3+7)</f>
        <v>0</v>
      </c>
    </row>
    <row r="141" spans="1:10">
      <c r="A141" t="s">
        <v>140</v>
      </c>
      <c r="B141" s="2">
        <v>42007.47</v>
      </c>
      <c r="C141" s="3" t="s">
        <v>5008</v>
      </c>
      <c r="D141" t="s">
        <v>5014</v>
      </c>
      <c r="E141" t="s">
        <v>5018</v>
      </c>
      <c r="F141" t="s">
        <v>5018</v>
      </c>
      <c r="G141">
        <v>20</v>
      </c>
      <c r="H141" s="5">
        <v>1.2041681731081062E-3</v>
      </c>
      <c r="I141">
        <v>3</v>
      </c>
      <c r="J141" t="b">
        <f>AND(CCData[[#This Row],[Date]]&gt;=Calculation!$E$3,CCData[[#This Row],[Date]]&lt;Calculation!$E$3+7)</f>
        <v>0</v>
      </c>
    </row>
    <row r="142" spans="1:10">
      <c r="A142" t="s">
        <v>141</v>
      </c>
      <c r="B142" s="2">
        <v>42007.476999999999</v>
      </c>
      <c r="C142" s="3" t="s">
        <v>5006</v>
      </c>
      <c r="D142" t="s">
        <v>5013</v>
      </c>
      <c r="E142" t="s">
        <v>5018</v>
      </c>
      <c r="F142" t="s">
        <v>5018</v>
      </c>
      <c r="G142">
        <v>84</v>
      </c>
      <c r="H142" s="5">
        <v>1.1885828124011636E-3</v>
      </c>
      <c r="I142">
        <v>5</v>
      </c>
      <c r="J142" t="b">
        <f>AND(CCData[[#This Row],[Date]]&gt;=Calculation!$E$3,CCData[[#This Row],[Date]]&lt;Calculation!$E$3+7)</f>
        <v>0</v>
      </c>
    </row>
    <row r="143" spans="1:10">
      <c r="A143" t="s">
        <v>142</v>
      </c>
      <c r="B143" s="2">
        <v>42007.476999999999</v>
      </c>
      <c r="C143" s="3" t="s">
        <v>5007</v>
      </c>
      <c r="D143" t="s">
        <v>5012</v>
      </c>
      <c r="E143" t="s">
        <v>5018</v>
      </c>
      <c r="F143" t="s">
        <v>5018</v>
      </c>
      <c r="G143">
        <v>20</v>
      </c>
      <c r="H143" s="5">
        <v>1.9003538860074612E-3</v>
      </c>
      <c r="I143">
        <v>4</v>
      </c>
      <c r="J143" t="b">
        <f>AND(CCData[[#This Row],[Date]]&gt;=Calculation!$E$3,CCData[[#This Row],[Date]]&lt;Calculation!$E$3+7)</f>
        <v>0</v>
      </c>
    </row>
    <row r="144" spans="1:10">
      <c r="A144" t="s">
        <v>143</v>
      </c>
      <c r="B144" s="2">
        <v>42007.485000000001</v>
      </c>
      <c r="C144" s="3" t="s">
        <v>5006</v>
      </c>
      <c r="D144" t="s">
        <v>5016</v>
      </c>
      <c r="E144" t="s">
        <v>5018</v>
      </c>
      <c r="F144" t="s">
        <v>5018</v>
      </c>
      <c r="G144">
        <v>101</v>
      </c>
      <c r="H144" s="5">
        <v>1.5746493724556163E-3</v>
      </c>
      <c r="I144">
        <v>3</v>
      </c>
      <c r="J144" t="b">
        <f>AND(CCData[[#This Row],[Date]]&gt;=Calculation!$E$3,CCData[[#This Row],[Date]]&lt;Calculation!$E$3+7)</f>
        <v>0</v>
      </c>
    </row>
    <row r="145" spans="1:10">
      <c r="A145" t="s">
        <v>144</v>
      </c>
      <c r="B145" s="2">
        <v>42007.485000000001</v>
      </c>
      <c r="C145" s="3" t="s">
        <v>5003</v>
      </c>
      <c r="D145" t="s">
        <v>5013</v>
      </c>
      <c r="E145" t="s">
        <v>5018</v>
      </c>
      <c r="F145" t="s">
        <v>5018</v>
      </c>
      <c r="G145">
        <v>31</v>
      </c>
      <c r="H145" s="5">
        <v>2.0286844506136148E-3</v>
      </c>
      <c r="I145">
        <v>5</v>
      </c>
      <c r="J145" t="b">
        <f>AND(CCData[[#This Row],[Date]]&gt;=Calculation!$E$3,CCData[[#This Row],[Date]]&lt;Calculation!$E$3+7)</f>
        <v>0</v>
      </c>
    </row>
    <row r="146" spans="1:10">
      <c r="A146" t="s">
        <v>145</v>
      </c>
      <c r="B146" s="2">
        <v>42007.495000000003</v>
      </c>
      <c r="C146" s="3" t="s">
        <v>5007</v>
      </c>
      <c r="D146" t="s">
        <v>5012</v>
      </c>
      <c r="E146" t="s">
        <v>5018</v>
      </c>
      <c r="F146" t="s">
        <v>5018</v>
      </c>
      <c r="G146">
        <v>56</v>
      </c>
      <c r="H146" s="5">
        <v>2.886752301314775E-3</v>
      </c>
      <c r="I146">
        <v>5</v>
      </c>
      <c r="J146" t="b">
        <f>AND(CCData[[#This Row],[Date]]&gt;=Calculation!$E$3,CCData[[#This Row],[Date]]&lt;Calculation!$E$3+7)</f>
        <v>0</v>
      </c>
    </row>
    <row r="147" spans="1:10">
      <c r="A147" t="s">
        <v>146</v>
      </c>
      <c r="B147" s="2">
        <v>42007.495000000003</v>
      </c>
      <c r="C147" s="3" t="s">
        <v>5008</v>
      </c>
      <c r="D147" t="s">
        <v>5012</v>
      </c>
      <c r="E147" t="s">
        <v>5019</v>
      </c>
      <c r="F147" t="s">
        <v>5019</v>
      </c>
      <c r="G147" t="s">
        <v>5022</v>
      </c>
      <c r="H147" s="5" t="s">
        <v>5022</v>
      </c>
      <c r="I147" t="s">
        <v>5022</v>
      </c>
      <c r="J147" t="b">
        <f>AND(CCData[[#This Row],[Date]]&gt;=Calculation!$E$3,CCData[[#This Row],[Date]]&lt;Calculation!$E$3+7)</f>
        <v>0</v>
      </c>
    </row>
    <row r="148" spans="1:10">
      <c r="A148" t="s">
        <v>147</v>
      </c>
      <c r="B148" s="2">
        <v>42007.497000000003</v>
      </c>
      <c r="C148" s="3" t="s">
        <v>5008</v>
      </c>
      <c r="D148" t="s">
        <v>5014</v>
      </c>
      <c r="E148" t="s">
        <v>5018</v>
      </c>
      <c r="F148" t="s">
        <v>5018</v>
      </c>
      <c r="G148">
        <v>77</v>
      </c>
      <c r="H148" s="5">
        <v>1.012570753598261E-3</v>
      </c>
      <c r="I148">
        <v>5</v>
      </c>
      <c r="J148" t="b">
        <f>AND(CCData[[#This Row],[Date]]&gt;=Calculation!$E$3,CCData[[#This Row],[Date]]&lt;Calculation!$E$3+7)</f>
        <v>0</v>
      </c>
    </row>
    <row r="149" spans="1:10">
      <c r="A149" t="s">
        <v>148</v>
      </c>
      <c r="B149" s="2">
        <v>42007.497000000003</v>
      </c>
      <c r="C149" s="3" t="s">
        <v>5007</v>
      </c>
      <c r="D149" t="s">
        <v>5014</v>
      </c>
      <c r="E149" t="s">
        <v>5018</v>
      </c>
      <c r="F149" t="s">
        <v>5018</v>
      </c>
      <c r="G149">
        <v>46</v>
      </c>
      <c r="H149" s="5">
        <v>5.7383544379020898E-4</v>
      </c>
      <c r="I149">
        <v>4</v>
      </c>
      <c r="J149" t="b">
        <f>AND(CCData[[#This Row],[Date]]&gt;=Calculation!$E$3,CCData[[#This Row],[Date]]&lt;Calculation!$E$3+7)</f>
        <v>0</v>
      </c>
    </row>
    <row r="150" spans="1:10">
      <c r="A150" t="s">
        <v>149</v>
      </c>
      <c r="B150" s="2">
        <v>42007.499000000003</v>
      </c>
      <c r="C150" s="3" t="s">
        <v>5005</v>
      </c>
      <c r="D150" t="s">
        <v>5015</v>
      </c>
      <c r="E150" t="s">
        <v>5018</v>
      </c>
      <c r="F150" t="s">
        <v>5018</v>
      </c>
      <c r="G150">
        <v>88</v>
      </c>
      <c r="H150" s="5">
        <v>3.0839578429567027E-3</v>
      </c>
      <c r="I150">
        <v>3</v>
      </c>
      <c r="J150" t="b">
        <f>AND(CCData[[#This Row],[Date]]&gt;=Calculation!$E$3,CCData[[#This Row],[Date]]&lt;Calculation!$E$3+7)</f>
        <v>0</v>
      </c>
    </row>
    <row r="151" spans="1:10">
      <c r="A151" t="s">
        <v>150</v>
      </c>
      <c r="B151" s="2">
        <v>42007.499000000003</v>
      </c>
      <c r="C151" s="3" t="s">
        <v>5003</v>
      </c>
      <c r="D151" t="s">
        <v>5014</v>
      </c>
      <c r="E151" t="s">
        <v>5018</v>
      </c>
      <c r="F151" t="s">
        <v>5018</v>
      </c>
      <c r="G151">
        <v>88</v>
      </c>
      <c r="H151" s="5">
        <v>6.6680569963678787E-4</v>
      </c>
      <c r="I151">
        <v>1</v>
      </c>
      <c r="J151" t="b">
        <f>AND(CCData[[#This Row],[Date]]&gt;=Calculation!$E$3,CCData[[#This Row],[Date]]&lt;Calculation!$E$3+7)</f>
        <v>0</v>
      </c>
    </row>
    <row r="152" spans="1:10">
      <c r="A152" t="s">
        <v>151</v>
      </c>
      <c r="B152" s="2">
        <v>42007.523000000001</v>
      </c>
      <c r="C152" s="3" t="s">
        <v>5008</v>
      </c>
      <c r="D152" t="s">
        <v>5013</v>
      </c>
      <c r="E152" t="s">
        <v>5018</v>
      </c>
      <c r="F152" t="s">
        <v>5018</v>
      </c>
      <c r="G152">
        <v>124</v>
      </c>
      <c r="H152" s="5">
        <v>4.1961594410854265E-3</v>
      </c>
      <c r="I152">
        <v>1</v>
      </c>
      <c r="J152" t="b">
        <f>AND(CCData[[#This Row],[Date]]&gt;=Calculation!$E$3,CCData[[#This Row],[Date]]&lt;Calculation!$E$3+7)</f>
        <v>0</v>
      </c>
    </row>
    <row r="153" spans="1:10">
      <c r="A153" t="s">
        <v>152</v>
      </c>
      <c r="B153" s="2">
        <v>42007.523000000001</v>
      </c>
      <c r="C153" s="3" t="s">
        <v>5005</v>
      </c>
      <c r="D153" t="s">
        <v>5012</v>
      </c>
      <c r="E153" t="s">
        <v>5019</v>
      </c>
      <c r="F153" t="s">
        <v>5019</v>
      </c>
      <c r="G153" t="s">
        <v>5022</v>
      </c>
      <c r="H153" s="5" t="s">
        <v>5022</v>
      </c>
      <c r="I153" t="s">
        <v>5022</v>
      </c>
      <c r="J153" t="b">
        <f>AND(CCData[[#This Row],[Date]]&gt;=Calculation!$E$3,CCData[[#This Row],[Date]]&lt;Calculation!$E$3+7)</f>
        <v>0</v>
      </c>
    </row>
    <row r="154" spans="1:10">
      <c r="A154" t="s">
        <v>153</v>
      </c>
      <c r="B154" s="2">
        <v>42007.538</v>
      </c>
      <c r="C154" s="3" t="s">
        <v>5009</v>
      </c>
      <c r="D154" t="s">
        <v>5014</v>
      </c>
      <c r="E154" t="s">
        <v>5018</v>
      </c>
      <c r="F154" t="s">
        <v>5019</v>
      </c>
      <c r="G154">
        <v>52</v>
      </c>
      <c r="H154" s="5">
        <v>4.8495502915016009E-3</v>
      </c>
      <c r="I154">
        <v>4</v>
      </c>
      <c r="J154" t="b">
        <f>AND(CCData[[#This Row],[Date]]&gt;=Calculation!$E$3,CCData[[#This Row],[Date]]&lt;Calculation!$E$3+7)</f>
        <v>0</v>
      </c>
    </row>
    <row r="155" spans="1:10">
      <c r="A155" t="s">
        <v>154</v>
      </c>
      <c r="B155" s="2">
        <v>42007.538</v>
      </c>
      <c r="C155" s="3" t="s">
        <v>5008</v>
      </c>
      <c r="D155" t="s">
        <v>5015</v>
      </c>
      <c r="E155" t="s">
        <v>5018</v>
      </c>
      <c r="F155" t="s">
        <v>5018</v>
      </c>
      <c r="G155">
        <v>67</v>
      </c>
      <c r="H155" s="5">
        <v>4.2862730735890951E-3</v>
      </c>
      <c r="I155">
        <v>5</v>
      </c>
      <c r="J155" t="b">
        <f>AND(CCData[[#This Row],[Date]]&gt;=Calculation!$E$3,CCData[[#This Row],[Date]]&lt;Calculation!$E$3+7)</f>
        <v>0</v>
      </c>
    </row>
    <row r="156" spans="1:10">
      <c r="A156" t="s">
        <v>155</v>
      </c>
      <c r="B156" s="2">
        <v>42007.55</v>
      </c>
      <c r="C156" s="3" t="s">
        <v>5009</v>
      </c>
      <c r="D156" t="s">
        <v>5014</v>
      </c>
      <c r="E156" t="s">
        <v>5018</v>
      </c>
      <c r="F156" t="s">
        <v>5018</v>
      </c>
      <c r="G156">
        <v>119</v>
      </c>
      <c r="H156" s="5">
        <v>2.9681440495529445E-3</v>
      </c>
      <c r="I156">
        <v>3</v>
      </c>
      <c r="J156" t="b">
        <f>AND(CCData[[#This Row],[Date]]&gt;=Calculation!$E$3,CCData[[#This Row],[Date]]&lt;Calculation!$E$3+7)</f>
        <v>0</v>
      </c>
    </row>
    <row r="157" spans="1:10">
      <c r="A157" t="s">
        <v>156</v>
      </c>
      <c r="B157" s="2">
        <v>42007.55</v>
      </c>
      <c r="C157" s="3" t="s">
        <v>5010</v>
      </c>
      <c r="D157" t="s">
        <v>5015</v>
      </c>
      <c r="E157" t="s">
        <v>5018</v>
      </c>
      <c r="F157" t="s">
        <v>5018</v>
      </c>
      <c r="G157">
        <v>98</v>
      </c>
      <c r="H157" s="5">
        <v>3.2075341939172487E-3</v>
      </c>
      <c r="I157">
        <v>2</v>
      </c>
      <c r="J157" t="b">
        <f>AND(CCData[[#This Row],[Date]]&gt;=Calculation!$E$3,CCData[[#This Row],[Date]]&lt;Calculation!$E$3+7)</f>
        <v>0</v>
      </c>
    </row>
    <row r="158" spans="1:10">
      <c r="A158" t="s">
        <v>157</v>
      </c>
      <c r="B158" s="2">
        <v>42007.552000000003</v>
      </c>
      <c r="C158" s="3" t="s">
        <v>5007</v>
      </c>
      <c r="D158" t="s">
        <v>5013</v>
      </c>
      <c r="E158" t="s">
        <v>5019</v>
      </c>
      <c r="F158" t="s">
        <v>5019</v>
      </c>
      <c r="G158" t="s">
        <v>5022</v>
      </c>
      <c r="H158" s="5" t="s">
        <v>5022</v>
      </c>
      <c r="I158" t="s">
        <v>5022</v>
      </c>
      <c r="J158" t="b">
        <f>AND(CCData[[#This Row],[Date]]&gt;=Calculation!$E$3,CCData[[#This Row],[Date]]&lt;Calculation!$E$3+7)</f>
        <v>0</v>
      </c>
    </row>
    <row r="159" spans="1:10">
      <c r="A159" t="s">
        <v>158</v>
      </c>
      <c r="B159" s="2">
        <v>42007.552000000003</v>
      </c>
      <c r="C159" s="3" t="s">
        <v>5008</v>
      </c>
      <c r="D159" t="s">
        <v>5013</v>
      </c>
      <c r="E159" t="s">
        <v>5018</v>
      </c>
      <c r="F159" t="s">
        <v>5018</v>
      </c>
      <c r="G159">
        <v>118</v>
      </c>
      <c r="H159" s="5">
        <v>2.9828234584496857E-3</v>
      </c>
      <c r="I159">
        <v>3</v>
      </c>
      <c r="J159" t="b">
        <f>AND(CCData[[#This Row],[Date]]&gt;=Calculation!$E$3,CCData[[#This Row],[Date]]&lt;Calculation!$E$3+7)</f>
        <v>0</v>
      </c>
    </row>
    <row r="160" spans="1:10">
      <c r="A160" t="s">
        <v>159</v>
      </c>
      <c r="B160" s="2">
        <v>42007.561000000002</v>
      </c>
      <c r="C160" s="3" t="s">
        <v>5004</v>
      </c>
      <c r="D160" t="s">
        <v>5015</v>
      </c>
      <c r="E160" t="s">
        <v>5018</v>
      </c>
      <c r="F160" t="s">
        <v>5018</v>
      </c>
      <c r="G160">
        <v>123</v>
      </c>
      <c r="H160" s="5">
        <v>8.70069357841667E-4</v>
      </c>
      <c r="I160">
        <v>3</v>
      </c>
      <c r="J160" t="b">
        <f>AND(CCData[[#This Row],[Date]]&gt;=Calculation!$E$3,CCData[[#This Row],[Date]]&lt;Calculation!$E$3+7)</f>
        <v>0</v>
      </c>
    </row>
    <row r="161" spans="1:10">
      <c r="A161" t="s">
        <v>160</v>
      </c>
      <c r="B161" s="2">
        <v>42007.561000000002</v>
      </c>
      <c r="C161" s="3" t="s">
        <v>5004</v>
      </c>
      <c r="D161" t="s">
        <v>5016</v>
      </c>
      <c r="E161" t="s">
        <v>5018</v>
      </c>
      <c r="F161" t="s">
        <v>5019</v>
      </c>
      <c r="G161">
        <v>86</v>
      </c>
      <c r="H161" s="5">
        <v>3.9045724452239118E-3</v>
      </c>
      <c r="I161">
        <v>1</v>
      </c>
      <c r="J161" t="b">
        <f>AND(CCData[[#This Row],[Date]]&gt;=Calculation!$E$3,CCData[[#This Row],[Date]]&lt;Calculation!$E$3+7)</f>
        <v>0</v>
      </c>
    </row>
    <row r="162" spans="1:10">
      <c r="A162" t="s">
        <v>161</v>
      </c>
      <c r="B162" s="2">
        <v>42007.565999999999</v>
      </c>
      <c r="C162" s="3" t="s">
        <v>5006</v>
      </c>
      <c r="D162" t="s">
        <v>5015</v>
      </c>
      <c r="E162" t="s">
        <v>5018</v>
      </c>
      <c r="F162" t="s">
        <v>5018</v>
      </c>
      <c r="G162">
        <v>104</v>
      </c>
      <c r="H162" s="5">
        <v>1.4902319713748621E-3</v>
      </c>
      <c r="I162">
        <v>3</v>
      </c>
      <c r="J162" t="b">
        <f>AND(CCData[[#This Row],[Date]]&gt;=Calculation!$E$3,CCData[[#This Row],[Date]]&lt;Calculation!$E$3+7)</f>
        <v>0</v>
      </c>
    </row>
    <row r="163" spans="1:10">
      <c r="A163" t="s">
        <v>162</v>
      </c>
      <c r="B163" s="2">
        <v>42007.565999999999</v>
      </c>
      <c r="C163" s="3" t="s">
        <v>5006</v>
      </c>
      <c r="D163" t="s">
        <v>5014</v>
      </c>
      <c r="E163" t="s">
        <v>5018</v>
      </c>
      <c r="F163" t="s">
        <v>5018</v>
      </c>
      <c r="G163">
        <v>69</v>
      </c>
      <c r="H163" s="5">
        <v>1.0732469359558553E-3</v>
      </c>
      <c r="I163">
        <v>2</v>
      </c>
      <c r="J163" t="b">
        <f>AND(CCData[[#This Row],[Date]]&gt;=Calculation!$E$3,CCData[[#This Row],[Date]]&lt;Calculation!$E$3+7)</f>
        <v>0</v>
      </c>
    </row>
    <row r="164" spans="1:10">
      <c r="A164" t="s">
        <v>163</v>
      </c>
      <c r="B164" s="2">
        <v>42007.582000000002</v>
      </c>
      <c r="C164" s="3" t="s">
        <v>5010</v>
      </c>
      <c r="D164" t="s">
        <v>5012</v>
      </c>
      <c r="E164" t="s">
        <v>5018</v>
      </c>
      <c r="F164" t="s">
        <v>5018</v>
      </c>
      <c r="G164">
        <v>113</v>
      </c>
      <c r="H164" s="5">
        <v>1.8244836608410822E-3</v>
      </c>
      <c r="I164">
        <v>1</v>
      </c>
      <c r="J164" t="b">
        <f>AND(CCData[[#This Row],[Date]]&gt;=Calculation!$E$3,CCData[[#This Row],[Date]]&lt;Calculation!$E$3+7)</f>
        <v>0</v>
      </c>
    </row>
    <row r="165" spans="1:10">
      <c r="A165" t="s">
        <v>164</v>
      </c>
      <c r="B165" s="2">
        <v>42007.582000000002</v>
      </c>
      <c r="C165" s="3" t="s">
        <v>5008</v>
      </c>
      <c r="D165" t="s">
        <v>5016</v>
      </c>
      <c r="E165" t="s">
        <v>5018</v>
      </c>
      <c r="F165" t="s">
        <v>5018</v>
      </c>
      <c r="G165">
        <v>88</v>
      </c>
      <c r="H165" s="5">
        <v>2.3462354370143309E-3</v>
      </c>
      <c r="I165">
        <v>5</v>
      </c>
      <c r="J165" t="b">
        <f>AND(CCData[[#This Row],[Date]]&gt;=Calculation!$E$3,CCData[[#This Row],[Date]]&lt;Calculation!$E$3+7)</f>
        <v>0</v>
      </c>
    </row>
    <row r="166" spans="1:10">
      <c r="A166" t="s">
        <v>165</v>
      </c>
      <c r="B166" s="2">
        <v>42007.582000000002</v>
      </c>
      <c r="C166" s="3" t="s">
        <v>5008</v>
      </c>
      <c r="D166" t="s">
        <v>5016</v>
      </c>
      <c r="E166" t="s">
        <v>5019</v>
      </c>
      <c r="F166" t="s">
        <v>5019</v>
      </c>
      <c r="G166" t="s">
        <v>5022</v>
      </c>
      <c r="H166" s="5" t="s">
        <v>5022</v>
      </c>
      <c r="I166" t="s">
        <v>5022</v>
      </c>
      <c r="J166" t="b">
        <f>AND(CCData[[#This Row],[Date]]&gt;=Calculation!$E$3,CCData[[#This Row],[Date]]&lt;Calculation!$E$3+7)</f>
        <v>0</v>
      </c>
    </row>
    <row r="167" spans="1:10">
      <c r="A167" t="s">
        <v>166</v>
      </c>
      <c r="B167" s="2">
        <v>42007.582000000002</v>
      </c>
      <c r="C167" s="3" t="s">
        <v>5005</v>
      </c>
      <c r="D167" t="s">
        <v>5014</v>
      </c>
      <c r="E167" t="s">
        <v>5019</v>
      </c>
      <c r="F167" t="s">
        <v>5019</v>
      </c>
      <c r="G167" t="s">
        <v>5022</v>
      </c>
      <c r="H167" s="5" t="s">
        <v>5022</v>
      </c>
      <c r="I167" t="s">
        <v>5022</v>
      </c>
      <c r="J167" t="b">
        <f>AND(CCData[[#This Row],[Date]]&gt;=Calculation!$E$3,CCData[[#This Row],[Date]]&lt;Calculation!$E$3+7)</f>
        <v>0</v>
      </c>
    </row>
    <row r="168" spans="1:10">
      <c r="A168" t="s">
        <v>167</v>
      </c>
      <c r="B168" s="2">
        <v>42007.586000000003</v>
      </c>
      <c r="C168" s="3" t="s">
        <v>5008</v>
      </c>
      <c r="D168" t="s">
        <v>5014</v>
      </c>
      <c r="E168" t="s">
        <v>5018</v>
      </c>
      <c r="F168" t="s">
        <v>5018</v>
      </c>
      <c r="G168">
        <v>84</v>
      </c>
      <c r="H168" s="5">
        <v>6.7433425117088917E-4</v>
      </c>
      <c r="I168">
        <v>2</v>
      </c>
      <c r="J168" t="b">
        <f>AND(CCData[[#This Row],[Date]]&gt;=Calculation!$E$3,CCData[[#This Row],[Date]]&lt;Calculation!$E$3+7)</f>
        <v>0</v>
      </c>
    </row>
    <row r="169" spans="1:10">
      <c r="A169" t="s">
        <v>168</v>
      </c>
      <c r="B169" s="2">
        <v>42007.586000000003</v>
      </c>
      <c r="C169" s="3" t="s">
        <v>5003</v>
      </c>
      <c r="D169" t="s">
        <v>5016</v>
      </c>
      <c r="E169" t="s">
        <v>5018</v>
      </c>
      <c r="F169" t="s">
        <v>5018</v>
      </c>
      <c r="G169">
        <v>113</v>
      </c>
      <c r="H169" s="5">
        <v>9.4908366027109635E-4</v>
      </c>
      <c r="I169">
        <v>3</v>
      </c>
      <c r="J169" t="b">
        <f>AND(CCData[[#This Row],[Date]]&gt;=Calculation!$E$3,CCData[[#This Row],[Date]]&lt;Calculation!$E$3+7)</f>
        <v>0</v>
      </c>
    </row>
    <row r="170" spans="1:10">
      <c r="A170" t="s">
        <v>169</v>
      </c>
      <c r="B170" s="2">
        <v>42007.616000000002</v>
      </c>
      <c r="C170" s="3" t="s">
        <v>5008</v>
      </c>
      <c r="D170" t="s">
        <v>5016</v>
      </c>
      <c r="E170" t="s">
        <v>5018</v>
      </c>
      <c r="F170" t="s">
        <v>5018</v>
      </c>
      <c r="G170">
        <v>38</v>
      </c>
      <c r="H170" s="5">
        <v>3.8273680431834055E-3</v>
      </c>
      <c r="I170">
        <v>4</v>
      </c>
      <c r="J170" t="b">
        <f>AND(CCData[[#This Row],[Date]]&gt;=Calculation!$E$3,CCData[[#This Row],[Date]]&lt;Calculation!$E$3+7)</f>
        <v>0</v>
      </c>
    </row>
    <row r="171" spans="1:10">
      <c r="A171" t="s">
        <v>170</v>
      </c>
      <c r="B171" s="2">
        <v>42007.616000000002</v>
      </c>
      <c r="C171" s="3" t="s">
        <v>5010</v>
      </c>
      <c r="D171" t="s">
        <v>5016</v>
      </c>
      <c r="E171" t="s">
        <v>5018</v>
      </c>
      <c r="F171" t="s">
        <v>5018</v>
      </c>
      <c r="G171">
        <v>14</v>
      </c>
      <c r="H171" s="5">
        <v>4.329380167936811E-3</v>
      </c>
      <c r="I171">
        <v>4</v>
      </c>
      <c r="J171" t="b">
        <f>AND(CCData[[#This Row],[Date]]&gt;=Calculation!$E$3,CCData[[#This Row],[Date]]&lt;Calculation!$E$3+7)</f>
        <v>0</v>
      </c>
    </row>
    <row r="172" spans="1:10">
      <c r="A172" t="s">
        <v>171</v>
      </c>
      <c r="B172" s="2">
        <v>42007.648999999998</v>
      </c>
      <c r="C172" s="3" t="s">
        <v>5009</v>
      </c>
      <c r="D172" t="s">
        <v>5016</v>
      </c>
      <c r="E172" t="s">
        <v>5018</v>
      </c>
      <c r="F172" t="s">
        <v>5019</v>
      </c>
      <c r="G172">
        <v>25</v>
      </c>
      <c r="H172" s="5">
        <v>3.8415592106509624E-3</v>
      </c>
      <c r="I172">
        <v>4</v>
      </c>
      <c r="J172" t="b">
        <f>AND(CCData[[#This Row],[Date]]&gt;=Calculation!$E$3,CCData[[#This Row],[Date]]&lt;Calculation!$E$3+7)</f>
        <v>0</v>
      </c>
    </row>
    <row r="173" spans="1:10">
      <c r="A173" t="s">
        <v>172</v>
      </c>
      <c r="B173" s="2">
        <v>42007.648999999998</v>
      </c>
      <c r="C173" s="3" t="s">
        <v>5010</v>
      </c>
      <c r="D173" t="s">
        <v>5012</v>
      </c>
      <c r="E173" t="s">
        <v>5019</v>
      </c>
      <c r="F173" t="s">
        <v>5019</v>
      </c>
      <c r="G173" t="s">
        <v>5022</v>
      </c>
      <c r="H173" s="5" t="s">
        <v>5022</v>
      </c>
      <c r="I173" t="s">
        <v>5022</v>
      </c>
      <c r="J173" t="b">
        <f>AND(CCData[[#This Row],[Date]]&gt;=Calculation!$E$3,CCData[[#This Row],[Date]]&lt;Calculation!$E$3+7)</f>
        <v>0</v>
      </c>
    </row>
    <row r="174" spans="1:10">
      <c r="A174" t="s">
        <v>173</v>
      </c>
      <c r="B174" s="2">
        <v>42007.686999999998</v>
      </c>
      <c r="C174" s="3" t="s">
        <v>5003</v>
      </c>
      <c r="D174" t="s">
        <v>5013</v>
      </c>
      <c r="E174" t="s">
        <v>5019</v>
      </c>
      <c r="F174" t="s">
        <v>5019</v>
      </c>
      <c r="G174" t="s">
        <v>5022</v>
      </c>
      <c r="H174" s="5" t="s">
        <v>5022</v>
      </c>
      <c r="I174" t="s">
        <v>5022</v>
      </c>
      <c r="J174" t="b">
        <f>AND(CCData[[#This Row],[Date]]&gt;=Calculation!$E$3,CCData[[#This Row],[Date]]&lt;Calculation!$E$3+7)</f>
        <v>0</v>
      </c>
    </row>
    <row r="175" spans="1:10">
      <c r="A175" t="s">
        <v>174</v>
      </c>
      <c r="B175" s="2">
        <v>42007.686999999998</v>
      </c>
      <c r="C175" s="3" t="s">
        <v>5008</v>
      </c>
      <c r="D175" t="s">
        <v>5014</v>
      </c>
      <c r="E175" t="s">
        <v>5018</v>
      </c>
      <c r="F175" t="s">
        <v>5018</v>
      </c>
      <c r="G175">
        <v>117</v>
      </c>
      <c r="H175" s="5">
        <v>1.4708303624234413E-3</v>
      </c>
      <c r="I175">
        <v>4</v>
      </c>
      <c r="J175" t="b">
        <f>AND(CCData[[#This Row],[Date]]&gt;=Calculation!$E$3,CCData[[#This Row],[Date]]&lt;Calculation!$E$3+7)</f>
        <v>0</v>
      </c>
    </row>
    <row r="176" spans="1:10">
      <c r="A176" t="s">
        <v>175</v>
      </c>
      <c r="B176" s="2">
        <v>42007.73</v>
      </c>
      <c r="C176" s="3" t="s">
        <v>5005</v>
      </c>
      <c r="D176" t="s">
        <v>5014</v>
      </c>
      <c r="E176" t="s">
        <v>5018</v>
      </c>
      <c r="F176" t="s">
        <v>5019</v>
      </c>
      <c r="G176">
        <v>57</v>
      </c>
      <c r="H176" s="5">
        <v>4.1781269986708117E-3</v>
      </c>
      <c r="I176">
        <v>2</v>
      </c>
      <c r="J176" t="b">
        <f>AND(CCData[[#This Row],[Date]]&gt;=Calculation!$E$3,CCData[[#This Row],[Date]]&lt;Calculation!$E$3+7)</f>
        <v>0</v>
      </c>
    </row>
    <row r="177" spans="1:10">
      <c r="A177" t="s">
        <v>176</v>
      </c>
      <c r="B177" s="2">
        <v>42007.73</v>
      </c>
      <c r="C177" s="3" t="s">
        <v>5009</v>
      </c>
      <c r="D177" t="s">
        <v>5013</v>
      </c>
      <c r="E177" t="s">
        <v>5018</v>
      </c>
      <c r="F177" t="s">
        <v>5018</v>
      </c>
      <c r="G177">
        <v>119</v>
      </c>
      <c r="H177" s="5">
        <v>3.6959565156963847E-3</v>
      </c>
      <c r="I177">
        <v>5</v>
      </c>
      <c r="J177" t="b">
        <f>AND(CCData[[#This Row],[Date]]&gt;=Calculation!$E$3,CCData[[#This Row],[Date]]&lt;Calculation!$E$3+7)</f>
        <v>0</v>
      </c>
    </row>
    <row r="178" spans="1:10">
      <c r="A178" t="s">
        <v>177</v>
      </c>
      <c r="B178" s="2">
        <v>42008.375999999997</v>
      </c>
      <c r="C178" s="3" t="s">
        <v>5009</v>
      </c>
      <c r="D178" t="s">
        <v>5012</v>
      </c>
      <c r="E178" t="s">
        <v>5019</v>
      </c>
      <c r="F178" t="s">
        <v>5019</v>
      </c>
      <c r="G178" t="s">
        <v>5022</v>
      </c>
      <c r="H178" s="5" t="s">
        <v>5022</v>
      </c>
      <c r="I178" t="s">
        <v>5022</v>
      </c>
      <c r="J178" t="b">
        <f>AND(CCData[[#This Row],[Date]]&gt;=Calculation!$E$3,CCData[[#This Row],[Date]]&lt;Calculation!$E$3+7)</f>
        <v>0</v>
      </c>
    </row>
    <row r="179" spans="1:10">
      <c r="A179" t="s">
        <v>178</v>
      </c>
      <c r="B179" s="2">
        <v>42008.375999999997</v>
      </c>
      <c r="C179" s="3" t="s">
        <v>5003</v>
      </c>
      <c r="D179" t="s">
        <v>5016</v>
      </c>
      <c r="E179" t="s">
        <v>5018</v>
      </c>
      <c r="F179" t="s">
        <v>5018</v>
      </c>
      <c r="G179">
        <v>93</v>
      </c>
      <c r="H179" s="5">
        <v>4.5414505755535465E-3</v>
      </c>
      <c r="I179">
        <v>5</v>
      </c>
      <c r="J179" t="b">
        <f>AND(CCData[[#This Row],[Date]]&gt;=Calculation!$E$3,CCData[[#This Row],[Date]]&lt;Calculation!$E$3+7)</f>
        <v>0</v>
      </c>
    </row>
    <row r="180" spans="1:10">
      <c r="A180" t="s">
        <v>179</v>
      </c>
      <c r="B180" s="2">
        <v>42008.396999999997</v>
      </c>
      <c r="C180" s="3" t="s">
        <v>5009</v>
      </c>
      <c r="D180" t="s">
        <v>5014</v>
      </c>
      <c r="E180" t="s">
        <v>5018</v>
      </c>
      <c r="F180" t="s">
        <v>5018</v>
      </c>
      <c r="G180">
        <v>86</v>
      </c>
      <c r="H180" s="5">
        <v>7.4472211700860752E-4</v>
      </c>
      <c r="I180">
        <v>4</v>
      </c>
      <c r="J180" t="b">
        <f>AND(CCData[[#This Row],[Date]]&gt;=Calculation!$E$3,CCData[[#This Row],[Date]]&lt;Calculation!$E$3+7)</f>
        <v>0</v>
      </c>
    </row>
    <row r="181" spans="1:10">
      <c r="A181" t="s">
        <v>180</v>
      </c>
      <c r="B181" s="2">
        <v>42008.396999999997</v>
      </c>
      <c r="C181" s="3" t="s">
        <v>5008</v>
      </c>
      <c r="D181" t="s">
        <v>5016</v>
      </c>
      <c r="E181" t="s">
        <v>5019</v>
      </c>
      <c r="F181" t="s">
        <v>5019</v>
      </c>
      <c r="G181" t="s">
        <v>5022</v>
      </c>
      <c r="H181" s="5" t="s">
        <v>5022</v>
      </c>
      <c r="I181" t="s">
        <v>5022</v>
      </c>
      <c r="J181" t="b">
        <f>AND(CCData[[#This Row],[Date]]&gt;=Calculation!$E$3,CCData[[#This Row],[Date]]&lt;Calculation!$E$3+7)</f>
        <v>0</v>
      </c>
    </row>
    <row r="182" spans="1:10">
      <c r="A182" t="s">
        <v>181</v>
      </c>
      <c r="B182" s="2">
        <v>42008.404999999999</v>
      </c>
      <c r="C182" s="3" t="s">
        <v>5010</v>
      </c>
      <c r="D182" t="s">
        <v>5012</v>
      </c>
      <c r="E182" t="s">
        <v>5018</v>
      </c>
      <c r="F182" t="s">
        <v>5018</v>
      </c>
      <c r="G182">
        <v>92</v>
      </c>
      <c r="H182" s="5">
        <v>2.0692256294683226E-3</v>
      </c>
      <c r="I182">
        <v>3</v>
      </c>
      <c r="J182" t="b">
        <f>AND(CCData[[#This Row],[Date]]&gt;=Calculation!$E$3,CCData[[#This Row],[Date]]&lt;Calculation!$E$3+7)</f>
        <v>0</v>
      </c>
    </row>
    <row r="183" spans="1:10">
      <c r="A183" t="s">
        <v>182</v>
      </c>
      <c r="B183" s="2">
        <v>42008.404999999999</v>
      </c>
      <c r="C183" s="3" t="s">
        <v>5006</v>
      </c>
      <c r="D183" t="s">
        <v>5016</v>
      </c>
      <c r="E183" t="s">
        <v>5019</v>
      </c>
      <c r="F183" t="s">
        <v>5019</v>
      </c>
      <c r="G183" t="s">
        <v>5022</v>
      </c>
      <c r="H183" s="5" t="s">
        <v>5022</v>
      </c>
      <c r="I183" t="s">
        <v>5022</v>
      </c>
      <c r="J183" t="b">
        <f>AND(CCData[[#This Row],[Date]]&gt;=Calculation!$E$3,CCData[[#This Row],[Date]]&lt;Calculation!$E$3+7)</f>
        <v>0</v>
      </c>
    </row>
    <row r="184" spans="1:10">
      <c r="A184" t="s">
        <v>183</v>
      </c>
      <c r="B184" s="2">
        <v>42008.419000000002</v>
      </c>
      <c r="C184" s="3" t="s">
        <v>5009</v>
      </c>
      <c r="D184" t="s">
        <v>5013</v>
      </c>
      <c r="E184" t="s">
        <v>5018</v>
      </c>
      <c r="F184" t="s">
        <v>5018</v>
      </c>
      <c r="G184">
        <v>106</v>
      </c>
      <c r="H184" s="5">
        <v>3.9552895355790844E-3</v>
      </c>
      <c r="I184">
        <v>3</v>
      </c>
      <c r="J184" t="b">
        <f>AND(CCData[[#This Row],[Date]]&gt;=Calculation!$E$3,CCData[[#This Row],[Date]]&lt;Calculation!$E$3+7)</f>
        <v>0</v>
      </c>
    </row>
    <row r="185" spans="1:10">
      <c r="A185" t="s">
        <v>184</v>
      </c>
      <c r="B185" s="2">
        <v>42008.419000000002</v>
      </c>
      <c r="C185" s="3" t="s">
        <v>5005</v>
      </c>
      <c r="D185" t="s">
        <v>5013</v>
      </c>
      <c r="E185" t="s">
        <v>5018</v>
      </c>
      <c r="F185" t="s">
        <v>5018</v>
      </c>
      <c r="G185">
        <v>67</v>
      </c>
      <c r="H185" s="5">
        <v>1.902229846983182E-3</v>
      </c>
      <c r="I185">
        <v>3</v>
      </c>
      <c r="J185" t="b">
        <f>AND(CCData[[#This Row],[Date]]&gt;=Calculation!$E$3,CCData[[#This Row],[Date]]&lt;Calculation!$E$3+7)</f>
        <v>0</v>
      </c>
    </row>
    <row r="186" spans="1:10">
      <c r="A186" t="s">
        <v>185</v>
      </c>
      <c r="B186" s="2">
        <v>42008.436000000002</v>
      </c>
      <c r="C186" s="3" t="s">
        <v>5007</v>
      </c>
      <c r="D186" t="s">
        <v>5016</v>
      </c>
      <c r="E186" t="s">
        <v>5018</v>
      </c>
      <c r="F186" t="s">
        <v>5018</v>
      </c>
      <c r="G186">
        <v>90</v>
      </c>
      <c r="H186" s="5">
        <v>2.9694421526944258E-3</v>
      </c>
      <c r="I186">
        <v>3</v>
      </c>
      <c r="J186" t="b">
        <f>AND(CCData[[#This Row],[Date]]&gt;=Calculation!$E$3,CCData[[#This Row],[Date]]&lt;Calculation!$E$3+7)</f>
        <v>0</v>
      </c>
    </row>
    <row r="187" spans="1:10">
      <c r="A187" t="s">
        <v>186</v>
      </c>
      <c r="B187" s="2">
        <v>42008.436000000002</v>
      </c>
      <c r="C187" s="3" t="s">
        <v>5003</v>
      </c>
      <c r="D187" t="s">
        <v>5013</v>
      </c>
      <c r="E187" t="s">
        <v>5019</v>
      </c>
      <c r="F187" t="s">
        <v>5019</v>
      </c>
      <c r="G187" t="s">
        <v>5022</v>
      </c>
      <c r="H187" s="5" t="s">
        <v>5022</v>
      </c>
      <c r="I187" t="s">
        <v>5022</v>
      </c>
      <c r="J187" t="b">
        <f>AND(CCData[[#This Row],[Date]]&gt;=Calculation!$E$3,CCData[[#This Row],[Date]]&lt;Calculation!$E$3+7)</f>
        <v>0</v>
      </c>
    </row>
    <row r="188" spans="1:10">
      <c r="A188" t="s">
        <v>187</v>
      </c>
      <c r="B188" s="2">
        <v>42008.464999999997</v>
      </c>
      <c r="C188" s="3" t="s">
        <v>5004</v>
      </c>
      <c r="D188" t="s">
        <v>5016</v>
      </c>
      <c r="E188" t="s">
        <v>5018</v>
      </c>
      <c r="F188" t="s">
        <v>5019</v>
      </c>
      <c r="G188">
        <v>50</v>
      </c>
      <c r="H188" s="5">
        <v>2.6546212429100348E-3</v>
      </c>
      <c r="I188">
        <v>4</v>
      </c>
      <c r="J188" t="b">
        <f>AND(CCData[[#This Row],[Date]]&gt;=Calculation!$E$3,CCData[[#This Row],[Date]]&lt;Calculation!$E$3+7)</f>
        <v>0</v>
      </c>
    </row>
    <row r="189" spans="1:10">
      <c r="A189" t="s">
        <v>188</v>
      </c>
      <c r="B189" s="2">
        <v>42008.464999999997</v>
      </c>
      <c r="C189" s="3" t="s">
        <v>5003</v>
      </c>
      <c r="D189" t="s">
        <v>5015</v>
      </c>
      <c r="E189" t="s">
        <v>5018</v>
      </c>
      <c r="F189" t="s">
        <v>5019</v>
      </c>
      <c r="G189">
        <v>89</v>
      </c>
      <c r="H189" s="5">
        <v>2.9664489295672882E-3</v>
      </c>
      <c r="I189">
        <v>3</v>
      </c>
      <c r="J189" t="b">
        <f>AND(CCData[[#This Row],[Date]]&gt;=Calculation!$E$3,CCData[[#This Row],[Date]]&lt;Calculation!$E$3+7)</f>
        <v>0</v>
      </c>
    </row>
    <row r="190" spans="1:10">
      <c r="A190" t="s">
        <v>189</v>
      </c>
      <c r="B190" s="2">
        <v>42008.468000000001</v>
      </c>
      <c r="C190" s="3" t="s">
        <v>5007</v>
      </c>
      <c r="D190" t="s">
        <v>5015</v>
      </c>
      <c r="E190" t="s">
        <v>5018</v>
      </c>
      <c r="F190" t="s">
        <v>5018</v>
      </c>
      <c r="G190">
        <v>74</v>
      </c>
      <c r="H190" s="5">
        <v>4.3743821124633143E-3</v>
      </c>
      <c r="I190">
        <v>3</v>
      </c>
      <c r="J190" t="b">
        <f>AND(CCData[[#This Row],[Date]]&gt;=Calculation!$E$3,CCData[[#This Row],[Date]]&lt;Calculation!$E$3+7)</f>
        <v>0</v>
      </c>
    </row>
    <row r="191" spans="1:10">
      <c r="A191" t="s">
        <v>190</v>
      </c>
      <c r="B191" s="2">
        <v>42008.468000000001</v>
      </c>
      <c r="C191" s="3" t="s">
        <v>5009</v>
      </c>
      <c r="D191" t="s">
        <v>5014</v>
      </c>
      <c r="E191" t="s">
        <v>5018</v>
      </c>
      <c r="F191" t="s">
        <v>5018</v>
      </c>
      <c r="G191">
        <v>63</v>
      </c>
      <c r="H191" s="5">
        <v>1.6448932532771754E-3</v>
      </c>
      <c r="I191">
        <v>2</v>
      </c>
      <c r="J191" t="b">
        <f>AND(CCData[[#This Row],[Date]]&gt;=Calculation!$E$3,CCData[[#This Row],[Date]]&lt;Calculation!$E$3+7)</f>
        <v>0</v>
      </c>
    </row>
    <row r="192" spans="1:10">
      <c r="A192" t="s">
        <v>191</v>
      </c>
      <c r="B192" s="2">
        <v>42008.470999999998</v>
      </c>
      <c r="C192" s="3" t="s">
        <v>5004</v>
      </c>
      <c r="D192" t="s">
        <v>5012</v>
      </c>
      <c r="E192" t="s">
        <v>5018</v>
      </c>
      <c r="F192" t="s">
        <v>5018</v>
      </c>
      <c r="G192">
        <v>45</v>
      </c>
      <c r="H192" s="5">
        <v>4.5221302301782602E-3</v>
      </c>
      <c r="I192">
        <v>5</v>
      </c>
      <c r="J192" t="b">
        <f>AND(CCData[[#This Row],[Date]]&gt;=Calculation!$E$3,CCData[[#This Row],[Date]]&lt;Calculation!$E$3+7)</f>
        <v>0</v>
      </c>
    </row>
    <row r="193" spans="1:10">
      <c r="A193" t="s">
        <v>192</v>
      </c>
      <c r="B193" s="2">
        <v>42008.470999999998</v>
      </c>
      <c r="C193" s="3" t="s">
        <v>5009</v>
      </c>
      <c r="D193" t="s">
        <v>5013</v>
      </c>
      <c r="E193" t="s">
        <v>5019</v>
      </c>
      <c r="F193" t="s">
        <v>5019</v>
      </c>
      <c r="G193" t="s">
        <v>5022</v>
      </c>
      <c r="H193" s="5" t="s">
        <v>5022</v>
      </c>
      <c r="I193" t="s">
        <v>5022</v>
      </c>
      <c r="J193" t="b">
        <f>AND(CCData[[#This Row],[Date]]&gt;=Calculation!$E$3,CCData[[#This Row],[Date]]&lt;Calculation!$E$3+7)</f>
        <v>0</v>
      </c>
    </row>
    <row r="194" spans="1:10">
      <c r="A194" t="s">
        <v>193</v>
      </c>
      <c r="B194" s="2">
        <v>42008.474000000002</v>
      </c>
      <c r="C194" s="3" t="s">
        <v>5010</v>
      </c>
      <c r="D194" t="s">
        <v>5014</v>
      </c>
      <c r="E194" t="s">
        <v>5018</v>
      </c>
      <c r="F194" t="s">
        <v>5018</v>
      </c>
      <c r="G194">
        <v>31</v>
      </c>
      <c r="H194" s="5">
        <v>4.6639261787104411E-3</v>
      </c>
      <c r="I194">
        <v>2</v>
      </c>
      <c r="J194" t="b">
        <f>AND(CCData[[#This Row],[Date]]&gt;=Calculation!$E$3,CCData[[#This Row],[Date]]&lt;Calculation!$E$3+7)</f>
        <v>0</v>
      </c>
    </row>
    <row r="195" spans="1:10">
      <c r="A195" t="s">
        <v>194</v>
      </c>
      <c r="B195" s="2">
        <v>42008.474000000002</v>
      </c>
      <c r="C195" s="3" t="s">
        <v>5008</v>
      </c>
      <c r="D195" t="s">
        <v>5016</v>
      </c>
      <c r="E195" t="s">
        <v>5019</v>
      </c>
      <c r="F195" t="s">
        <v>5019</v>
      </c>
      <c r="G195" t="s">
        <v>5022</v>
      </c>
      <c r="H195" s="5" t="s">
        <v>5022</v>
      </c>
      <c r="I195" t="s">
        <v>5022</v>
      </c>
      <c r="J195" t="b">
        <f>AND(CCData[[#This Row],[Date]]&gt;=Calculation!$E$3,CCData[[#This Row],[Date]]&lt;Calculation!$E$3+7)</f>
        <v>0</v>
      </c>
    </row>
    <row r="196" spans="1:10">
      <c r="A196" t="s">
        <v>195</v>
      </c>
      <c r="B196" s="2">
        <v>42008.481</v>
      </c>
      <c r="C196" s="3" t="s">
        <v>5008</v>
      </c>
      <c r="D196" t="s">
        <v>5012</v>
      </c>
      <c r="E196" t="s">
        <v>5018</v>
      </c>
      <c r="F196" t="s">
        <v>5018</v>
      </c>
      <c r="G196">
        <v>43</v>
      </c>
      <c r="H196" s="5">
        <v>2.5902343037247917E-3</v>
      </c>
      <c r="I196">
        <v>5</v>
      </c>
      <c r="J196" t="b">
        <f>AND(CCData[[#This Row],[Date]]&gt;=Calculation!$E$3,CCData[[#This Row],[Date]]&lt;Calculation!$E$3+7)</f>
        <v>0</v>
      </c>
    </row>
    <row r="197" spans="1:10">
      <c r="A197" t="s">
        <v>196</v>
      </c>
      <c r="B197" s="2">
        <v>42008.481</v>
      </c>
      <c r="C197" s="3" t="s">
        <v>5009</v>
      </c>
      <c r="D197" t="s">
        <v>5016</v>
      </c>
      <c r="E197" t="s">
        <v>5018</v>
      </c>
      <c r="F197" t="s">
        <v>5018</v>
      </c>
      <c r="G197">
        <v>50</v>
      </c>
      <c r="H197" s="5">
        <v>3.9546387728140843E-3</v>
      </c>
      <c r="I197">
        <v>4</v>
      </c>
      <c r="J197" t="b">
        <f>AND(CCData[[#This Row],[Date]]&gt;=Calculation!$E$3,CCData[[#This Row],[Date]]&lt;Calculation!$E$3+7)</f>
        <v>0</v>
      </c>
    </row>
    <row r="198" spans="1:10">
      <c r="A198" t="s">
        <v>197</v>
      </c>
      <c r="B198" s="2">
        <v>42008.502</v>
      </c>
      <c r="C198" s="3" t="s">
        <v>5010</v>
      </c>
      <c r="D198" t="s">
        <v>5013</v>
      </c>
      <c r="E198" t="s">
        <v>5018</v>
      </c>
      <c r="F198" t="s">
        <v>5018</v>
      </c>
      <c r="G198">
        <v>48</v>
      </c>
      <c r="H198" s="5">
        <v>3.6064880315046181E-3</v>
      </c>
      <c r="I198">
        <v>4</v>
      </c>
      <c r="J198" t="b">
        <f>AND(CCData[[#This Row],[Date]]&gt;=Calculation!$E$3,CCData[[#This Row],[Date]]&lt;Calculation!$E$3+7)</f>
        <v>0</v>
      </c>
    </row>
    <row r="199" spans="1:10">
      <c r="A199" t="s">
        <v>198</v>
      </c>
      <c r="B199" s="2">
        <v>42008.502</v>
      </c>
      <c r="C199" s="3" t="s">
        <v>5009</v>
      </c>
      <c r="D199" t="s">
        <v>5015</v>
      </c>
      <c r="E199" t="s">
        <v>5018</v>
      </c>
      <c r="F199" t="s">
        <v>5018</v>
      </c>
      <c r="G199">
        <v>113</v>
      </c>
      <c r="H199" s="5">
        <v>1.8928151315969965E-3</v>
      </c>
      <c r="I199">
        <v>5</v>
      </c>
      <c r="J199" t="b">
        <f>AND(CCData[[#This Row],[Date]]&gt;=Calculation!$E$3,CCData[[#This Row],[Date]]&lt;Calculation!$E$3+7)</f>
        <v>0</v>
      </c>
    </row>
    <row r="200" spans="1:10">
      <c r="A200" t="s">
        <v>199</v>
      </c>
      <c r="B200" s="2">
        <v>42008.510999999999</v>
      </c>
      <c r="C200" s="3" t="s">
        <v>5007</v>
      </c>
      <c r="D200" t="s">
        <v>5016</v>
      </c>
      <c r="E200" t="s">
        <v>5019</v>
      </c>
      <c r="F200" t="s">
        <v>5019</v>
      </c>
      <c r="G200" t="s">
        <v>5022</v>
      </c>
      <c r="H200" s="5" t="s">
        <v>5022</v>
      </c>
      <c r="I200" t="s">
        <v>5022</v>
      </c>
      <c r="J200" t="b">
        <f>AND(CCData[[#This Row],[Date]]&gt;=Calculation!$E$3,CCData[[#This Row],[Date]]&lt;Calculation!$E$3+7)</f>
        <v>0</v>
      </c>
    </row>
    <row r="201" spans="1:10">
      <c r="A201" t="s">
        <v>200</v>
      </c>
      <c r="B201" s="2">
        <v>42008.510999999999</v>
      </c>
      <c r="C201" s="3" t="s">
        <v>5008</v>
      </c>
      <c r="D201" t="s">
        <v>5013</v>
      </c>
      <c r="E201" t="s">
        <v>5018</v>
      </c>
      <c r="F201" t="s">
        <v>5018</v>
      </c>
      <c r="G201">
        <v>103</v>
      </c>
      <c r="H201" s="5">
        <v>4.6303756316147587E-3</v>
      </c>
      <c r="I201">
        <v>5</v>
      </c>
      <c r="J201" t="b">
        <f>AND(CCData[[#This Row],[Date]]&gt;=Calculation!$E$3,CCData[[#This Row],[Date]]&lt;Calculation!$E$3+7)</f>
        <v>0</v>
      </c>
    </row>
    <row r="202" spans="1:10">
      <c r="A202" t="s">
        <v>201</v>
      </c>
      <c r="B202" s="2">
        <v>42008.510999999999</v>
      </c>
      <c r="C202" s="3" t="s">
        <v>5004</v>
      </c>
      <c r="D202" t="s">
        <v>5013</v>
      </c>
      <c r="E202" t="s">
        <v>5018</v>
      </c>
      <c r="F202" t="s">
        <v>5019</v>
      </c>
      <c r="G202">
        <v>95</v>
      </c>
      <c r="H202" s="5">
        <v>3.0959485690276213E-3</v>
      </c>
      <c r="I202">
        <v>3</v>
      </c>
      <c r="J202" t="b">
        <f>AND(CCData[[#This Row],[Date]]&gt;=Calculation!$E$3,CCData[[#This Row],[Date]]&lt;Calculation!$E$3+7)</f>
        <v>0</v>
      </c>
    </row>
    <row r="203" spans="1:10">
      <c r="A203" t="s">
        <v>202</v>
      </c>
      <c r="B203" s="2">
        <v>42008.510999999999</v>
      </c>
      <c r="C203" s="3" t="s">
        <v>5008</v>
      </c>
      <c r="D203" t="s">
        <v>5015</v>
      </c>
      <c r="E203" t="s">
        <v>5018</v>
      </c>
      <c r="F203" t="s">
        <v>5018</v>
      </c>
      <c r="G203">
        <v>30</v>
      </c>
      <c r="H203" s="5">
        <v>3.5174292243158132E-3</v>
      </c>
      <c r="I203">
        <v>1</v>
      </c>
      <c r="J203" t="b">
        <f>AND(CCData[[#This Row],[Date]]&gt;=Calculation!$E$3,CCData[[#This Row],[Date]]&lt;Calculation!$E$3+7)</f>
        <v>0</v>
      </c>
    </row>
    <row r="204" spans="1:10">
      <c r="A204" t="s">
        <v>203</v>
      </c>
      <c r="B204" s="2">
        <v>42008.563999999998</v>
      </c>
      <c r="C204" s="3" t="s">
        <v>5006</v>
      </c>
      <c r="D204" t="s">
        <v>5015</v>
      </c>
      <c r="E204" t="s">
        <v>5018</v>
      </c>
      <c r="F204" t="s">
        <v>5018</v>
      </c>
      <c r="G204">
        <v>124</v>
      </c>
      <c r="H204" s="5">
        <v>2.2996560932257758E-3</v>
      </c>
      <c r="I204">
        <v>3</v>
      </c>
      <c r="J204" t="b">
        <f>AND(CCData[[#This Row],[Date]]&gt;=Calculation!$E$3,CCData[[#This Row],[Date]]&lt;Calculation!$E$3+7)</f>
        <v>0</v>
      </c>
    </row>
    <row r="205" spans="1:10">
      <c r="A205" t="s">
        <v>204</v>
      </c>
      <c r="B205" s="2">
        <v>42008.563999999998</v>
      </c>
      <c r="C205" s="3" t="s">
        <v>5003</v>
      </c>
      <c r="D205" t="s">
        <v>5015</v>
      </c>
      <c r="E205" t="s">
        <v>5018</v>
      </c>
      <c r="F205" t="s">
        <v>5018</v>
      </c>
      <c r="G205">
        <v>17</v>
      </c>
      <c r="H205" s="5">
        <v>1.4229286973498222E-3</v>
      </c>
      <c r="I205">
        <v>5</v>
      </c>
      <c r="J205" t="b">
        <f>AND(CCData[[#This Row],[Date]]&gt;=Calculation!$E$3,CCData[[#This Row],[Date]]&lt;Calculation!$E$3+7)</f>
        <v>0</v>
      </c>
    </row>
    <row r="206" spans="1:10">
      <c r="A206" t="s">
        <v>205</v>
      </c>
      <c r="B206" s="2">
        <v>42008.572999999997</v>
      </c>
      <c r="C206" s="3" t="s">
        <v>5005</v>
      </c>
      <c r="D206" t="s">
        <v>5016</v>
      </c>
      <c r="E206" t="s">
        <v>5018</v>
      </c>
      <c r="F206" t="s">
        <v>5018</v>
      </c>
      <c r="G206">
        <v>113</v>
      </c>
      <c r="H206" s="5">
        <v>4.1644223424737239E-3</v>
      </c>
      <c r="I206">
        <v>3</v>
      </c>
      <c r="J206" t="b">
        <f>AND(CCData[[#This Row],[Date]]&gt;=Calculation!$E$3,CCData[[#This Row],[Date]]&lt;Calculation!$E$3+7)</f>
        <v>0</v>
      </c>
    </row>
    <row r="207" spans="1:10">
      <c r="A207" t="s">
        <v>206</v>
      </c>
      <c r="B207" s="2">
        <v>42008.572999999997</v>
      </c>
      <c r="C207" s="3" t="s">
        <v>5007</v>
      </c>
      <c r="D207" t="s">
        <v>5013</v>
      </c>
      <c r="E207" t="s">
        <v>5018</v>
      </c>
      <c r="F207" t="s">
        <v>5018</v>
      </c>
      <c r="G207">
        <v>25</v>
      </c>
      <c r="H207" s="5">
        <v>1.7036113891036018E-3</v>
      </c>
      <c r="I207">
        <v>5</v>
      </c>
      <c r="J207" t="b">
        <f>AND(CCData[[#This Row],[Date]]&gt;=Calculation!$E$3,CCData[[#This Row],[Date]]&lt;Calculation!$E$3+7)</f>
        <v>0</v>
      </c>
    </row>
    <row r="208" spans="1:10">
      <c r="A208" t="s">
        <v>207</v>
      </c>
      <c r="B208" s="2">
        <v>42008.580999999998</v>
      </c>
      <c r="C208" s="3" t="s">
        <v>5007</v>
      </c>
      <c r="D208" t="s">
        <v>5015</v>
      </c>
      <c r="E208" t="s">
        <v>5018</v>
      </c>
      <c r="F208" t="s">
        <v>5018</v>
      </c>
      <c r="G208">
        <v>52</v>
      </c>
      <c r="H208" s="5">
        <v>3.0370516891089663E-3</v>
      </c>
      <c r="I208">
        <v>5</v>
      </c>
      <c r="J208" t="b">
        <f>AND(CCData[[#This Row],[Date]]&gt;=Calculation!$E$3,CCData[[#This Row],[Date]]&lt;Calculation!$E$3+7)</f>
        <v>0</v>
      </c>
    </row>
    <row r="209" spans="1:10">
      <c r="A209" t="s">
        <v>208</v>
      </c>
      <c r="B209" s="2">
        <v>42008.580999999998</v>
      </c>
      <c r="C209" s="3" t="s">
        <v>5010</v>
      </c>
      <c r="D209" t="s">
        <v>5015</v>
      </c>
      <c r="E209" t="s">
        <v>5018</v>
      </c>
      <c r="F209" t="s">
        <v>5018</v>
      </c>
      <c r="G209">
        <v>28</v>
      </c>
      <c r="H209" s="5">
        <v>1.8950963758707961E-3</v>
      </c>
      <c r="I209">
        <v>5</v>
      </c>
      <c r="J209" t="b">
        <f>AND(CCData[[#This Row],[Date]]&gt;=Calculation!$E$3,CCData[[#This Row],[Date]]&lt;Calculation!$E$3+7)</f>
        <v>0</v>
      </c>
    </row>
    <row r="210" spans="1:10">
      <c r="A210" t="s">
        <v>209</v>
      </c>
      <c r="B210" s="2">
        <v>42008.601000000002</v>
      </c>
      <c r="C210" s="3" t="s">
        <v>5006</v>
      </c>
      <c r="D210" t="s">
        <v>5013</v>
      </c>
      <c r="E210" t="s">
        <v>5018</v>
      </c>
      <c r="F210" t="s">
        <v>5018</v>
      </c>
      <c r="G210">
        <v>69</v>
      </c>
      <c r="H210" s="5">
        <v>2.1361516839150888E-3</v>
      </c>
      <c r="I210">
        <v>3</v>
      </c>
      <c r="J210" t="b">
        <f>AND(CCData[[#This Row],[Date]]&gt;=Calculation!$E$3,CCData[[#This Row],[Date]]&lt;Calculation!$E$3+7)</f>
        <v>0</v>
      </c>
    </row>
    <row r="211" spans="1:10">
      <c r="A211" t="s">
        <v>210</v>
      </c>
      <c r="B211" s="2">
        <v>42008.601000000002</v>
      </c>
      <c r="C211" s="3" t="s">
        <v>5009</v>
      </c>
      <c r="D211" t="s">
        <v>5016</v>
      </c>
      <c r="E211" t="s">
        <v>5018</v>
      </c>
      <c r="F211" t="s">
        <v>5018</v>
      </c>
      <c r="G211">
        <v>106</v>
      </c>
      <c r="H211" s="5">
        <v>2.6813390173947706E-3</v>
      </c>
      <c r="I211">
        <v>3</v>
      </c>
      <c r="J211" t="b">
        <f>AND(CCData[[#This Row],[Date]]&gt;=Calculation!$E$3,CCData[[#This Row],[Date]]&lt;Calculation!$E$3+7)</f>
        <v>0</v>
      </c>
    </row>
    <row r="212" spans="1:10">
      <c r="A212" t="s">
        <v>211</v>
      </c>
      <c r="B212" s="2">
        <v>42008.603000000003</v>
      </c>
      <c r="C212" s="3" t="s">
        <v>5007</v>
      </c>
      <c r="D212" t="s">
        <v>5013</v>
      </c>
      <c r="E212" t="s">
        <v>5019</v>
      </c>
      <c r="F212" t="s">
        <v>5019</v>
      </c>
      <c r="G212" t="s">
        <v>5022</v>
      </c>
      <c r="H212" s="5" t="s">
        <v>5022</v>
      </c>
      <c r="I212" t="s">
        <v>5022</v>
      </c>
      <c r="J212" t="b">
        <f>AND(CCData[[#This Row],[Date]]&gt;=Calculation!$E$3,CCData[[#This Row],[Date]]&lt;Calculation!$E$3+7)</f>
        <v>0</v>
      </c>
    </row>
    <row r="213" spans="1:10">
      <c r="A213" t="s">
        <v>212</v>
      </c>
      <c r="B213" s="2">
        <v>42008.603000000003</v>
      </c>
      <c r="C213" s="3" t="s">
        <v>5008</v>
      </c>
      <c r="D213" t="s">
        <v>5014</v>
      </c>
      <c r="E213" t="s">
        <v>5018</v>
      </c>
      <c r="F213" t="s">
        <v>5018</v>
      </c>
      <c r="G213">
        <v>26</v>
      </c>
      <c r="H213" s="5">
        <v>3.4624657525766087E-3</v>
      </c>
      <c r="I213">
        <v>3</v>
      </c>
      <c r="J213" t="b">
        <f>AND(CCData[[#This Row],[Date]]&gt;=Calculation!$E$3,CCData[[#This Row],[Date]]&lt;Calculation!$E$3+7)</f>
        <v>0</v>
      </c>
    </row>
    <row r="214" spans="1:10">
      <c r="A214" t="s">
        <v>213</v>
      </c>
      <c r="B214" s="2">
        <v>42008.605000000003</v>
      </c>
      <c r="C214" s="3" t="s">
        <v>5008</v>
      </c>
      <c r="D214" t="s">
        <v>5014</v>
      </c>
      <c r="E214" t="s">
        <v>5018</v>
      </c>
      <c r="F214" t="s">
        <v>5018</v>
      </c>
      <c r="G214">
        <v>53</v>
      </c>
      <c r="H214" s="5">
        <v>4.1104386139121955E-3</v>
      </c>
      <c r="I214">
        <v>4</v>
      </c>
      <c r="J214" t="b">
        <f>AND(CCData[[#This Row],[Date]]&gt;=Calculation!$E$3,CCData[[#This Row],[Date]]&lt;Calculation!$E$3+7)</f>
        <v>0</v>
      </c>
    </row>
    <row r="215" spans="1:10">
      <c r="A215" t="s">
        <v>214</v>
      </c>
      <c r="B215" s="2">
        <v>42008.605000000003</v>
      </c>
      <c r="C215" s="3" t="s">
        <v>5009</v>
      </c>
      <c r="D215" t="s">
        <v>5013</v>
      </c>
      <c r="E215" t="s">
        <v>5018</v>
      </c>
      <c r="F215" t="s">
        <v>5018</v>
      </c>
      <c r="G215">
        <v>77</v>
      </c>
      <c r="H215" s="5">
        <v>2.8977736763334222E-3</v>
      </c>
      <c r="I215">
        <v>2</v>
      </c>
      <c r="J215" t="b">
        <f>AND(CCData[[#This Row],[Date]]&gt;=Calculation!$E$3,CCData[[#This Row],[Date]]&lt;Calculation!$E$3+7)</f>
        <v>0</v>
      </c>
    </row>
    <row r="216" spans="1:10">
      <c r="A216" t="s">
        <v>215</v>
      </c>
      <c r="B216" s="2">
        <v>42008.618000000002</v>
      </c>
      <c r="C216" s="3" t="s">
        <v>5007</v>
      </c>
      <c r="D216" t="s">
        <v>5012</v>
      </c>
      <c r="E216" t="s">
        <v>5018</v>
      </c>
      <c r="F216" t="s">
        <v>5018</v>
      </c>
      <c r="G216">
        <v>45</v>
      </c>
      <c r="H216" s="5">
        <v>2.106600042071363E-3</v>
      </c>
      <c r="I216">
        <v>3</v>
      </c>
      <c r="J216" t="b">
        <f>AND(CCData[[#This Row],[Date]]&gt;=Calculation!$E$3,CCData[[#This Row],[Date]]&lt;Calculation!$E$3+7)</f>
        <v>0</v>
      </c>
    </row>
    <row r="217" spans="1:10">
      <c r="A217" t="s">
        <v>216</v>
      </c>
      <c r="B217" s="2">
        <v>42008.618000000002</v>
      </c>
      <c r="C217" s="3" t="s">
        <v>5004</v>
      </c>
      <c r="D217" t="s">
        <v>5013</v>
      </c>
      <c r="E217" t="s">
        <v>5019</v>
      </c>
      <c r="F217" t="s">
        <v>5019</v>
      </c>
      <c r="G217" t="s">
        <v>5022</v>
      </c>
      <c r="H217" s="5" t="s">
        <v>5022</v>
      </c>
      <c r="I217" t="s">
        <v>5022</v>
      </c>
      <c r="J217" t="b">
        <f>AND(CCData[[#This Row],[Date]]&gt;=Calculation!$E$3,CCData[[#This Row],[Date]]&lt;Calculation!$E$3+7)</f>
        <v>0</v>
      </c>
    </row>
    <row r="218" spans="1:10">
      <c r="A218" t="s">
        <v>217</v>
      </c>
      <c r="B218" s="2">
        <v>42008.641000000003</v>
      </c>
      <c r="C218" s="3" t="s">
        <v>5006</v>
      </c>
      <c r="D218" t="s">
        <v>5016</v>
      </c>
      <c r="E218" t="s">
        <v>5018</v>
      </c>
      <c r="F218" t="s">
        <v>5018</v>
      </c>
      <c r="G218">
        <v>56</v>
      </c>
      <c r="H218" s="5">
        <v>2.9674292218989907E-3</v>
      </c>
      <c r="I218">
        <v>4</v>
      </c>
      <c r="J218" t="b">
        <f>AND(CCData[[#This Row],[Date]]&gt;=Calculation!$E$3,CCData[[#This Row],[Date]]&lt;Calculation!$E$3+7)</f>
        <v>0</v>
      </c>
    </row>
    <row r="219" spans="1:10">
      <c r="A219" t="s">
        <v>218</v>
      </c>
      <c r="B219" s="2">
        <v>42008.641000000003</v>
      </c>
      <c r="C219" s="3" t="s">
        <v>5005</v>
      </c>
      <c r="D219" t="s">
        <v>5015</v>
      </c>
      <c r="E219" t="s">
        <v>5018</v>
      </c>
      <c r="F219" t="s">
        <v>5018</v>
      </c>
      <c r="G219">
        <v>13</v>
      </c>
      <c r="H219" s="5">
        <v>2.7328915813308731E-3</v>
      </c>
      <c r="I219">
        <v>2</v>
      </c>
      <c r="J219" t="b">
        <f>AND(CCData[[#This Row],[Date]]&gt;=Calculation!$E$3,CCData[[#This Row],[Date]]&lt;Calculation!$E$3+7)</f>
        <v>0</v>
      </c>
    </row>
    <row r="220" spans="1:10">
      <c r="A220" t="s">
        <v>219</v>
      </c>
      <c r="B220" s="2">
        <v>42008.659</v>
      </c>
      <c r="C220" s="3" t="s">
        <v>5005</v>
      </c>
      <c r="D220" t="s">
        <v>5015</v>
      </c>
      <c r="E220" t="s">
        <v>5018</v>
      </c>
      <c r="F220" t="s">
        <v>5018</v>
      </c>
      <c r="G220">
        <v>120</v>
      </c>
      <c r="H220" s="5">
        <v>4.743753553479094E-3</v>
      </c>
      <c r="I220">
        <v>5</v>
      </c>
      <c r="J220" t="b">
        <f>AND(CCData[[#This Row],[Date]]&gt;=Calculation!$E$3,CCData[[#This Row],[Date]]&lt;Calculation!$E$3+7)</f>
        <v>0</v>
      </c>
    </row>
    <row r="221" spans="1:10">
      <c r="A221" t="s">
        <v>220</v>
      </c>
      <c r="B221" s="2">
        <v>42008.659</v>
      </c>
      <c r="C221" s="3" t="s">
        <v>5003</v>
      </c>
      <c r="D221" t="s">
        <v>5014</v>
      </c>
      <c r="E221" t="s">
        <v>5018</v>
      </c>
      <c r="F221" t="s">
        <v>5018</v>
      </c>
      <c r="G221">
        <v>22</v>
      </c>
      <c r="H221" s="5">
        <v>5.7964311267357069E-4</v>
      </c>
      <c r="I221">
        <v>1</v>
      </c>
      <c r="J221" t="b">
        <f>AND(CCData[[#This Row],[Date]]&gt;=Calculation!$E$3,CCData[[#This Row],[Date]]&lt;Calculation!$E$3+7)</f>
        <v>0</v>
      </c>
    </row>
    <row r="222" spans="1:10">
      <c r="A222" t="s">
        <v>221</v>
      </c>
      <c r="B222" s="2">
        <v>42008.7</v>
      </c>
      <c r="C222" s="3" t="s">
        <v>5009</v>
      </c>
      <c r="D222" t="s">
        <v>5014</v>
      </c>
      <c r="E222" t="s">
        <v>5018</v>
      </c>
      <c r="F222" t="s">
        <v>5018</v>
      </c>
      <c r="G222">
        <v>81</v>
      </c>
      <c r="H222" s="5">
        <v>2.3217418713968973E-3</v>
      </c>
      <c r="I222">
        <v>4</v>
      </c>
      <c r="J222" t="b">
        <f>AND(CCData[[#This Row],[Date]]&gt;=Calculation!$E$3,CCData[[#This Row],[Date]]&lt;Calculation!$E$3+7)</f>
        <v>0</v>
      </c>
    </row>
    <row r="223" spans="1:10">
      <c r="A223" t="s">
        <v>222</v>
      </c>
      <c r="B223" s="2">
        <v>42008.7</v>
      </c>
      <c r="C223" s="3" t="s">
        <v>5007</v>
      </c>
      <c r="D223" t="s">
        <v>5016</v>
      </c>
      <c r="E223" t="s">
        <v>5019</v>
      </c>
      <c r="F223" t="s">
        <v>5019</v>
      </c>
      <c r="G223" t="s">
        <v>5022</v>
      </c>
      <c r="H223" s="5" t="s">
        <v>5022</v>
      </c>
      <c r="I223" t="s">
        <v>5022</v>
      </c>
      <c r="J223" t="b">
        <f>AND(CCData[[#This Row],[Date]]&gt;=Calculation!$E$3,CCData[[#This Row],[Date]]&lt;Calculation!$E$3+7)</f>
        <v>0</v>
      </c>
    </row>
    <row r="224" spans="1:10">
      <c r="A224" t="s">
        <v>223</v>
      </c>
      <c r="B224" s="2">
        <v>42008.701000000001</v>
      </c>
      <c r="C224" s="3" t="s">
        <v>5009</v>
      </c>
      <c r="D224" t="s">
        <v>5012</v>
      </c>
      <c r="E224" t="s">
        <v>5018</v>
      </c>
      <c r="F224" t="s">
        <v>5018</v>
      </c>
      <c r="G224">
        <v>71</v>
      </c>
      <c r="H224" s="5">
        <v>5.5204749962795387E-4</v>
      </c>
      <c r="I224">
        <v>2</v>
      </c>
      <c r="J224" t="b">
        <f>AND(CCData[[#This Row],[Date]]&gt;=Calculation!$E$3,CCData[[#This Row],[Date]]&lt;Calculation!$E$3+7)</f>
        <v>0</v>
      </c>
    </row>
    <row r="225" spans="1:10">
      <c r="A225" t="s">
        <v>224</v>
      </c>
      <c r="B225" s="2">
        <v>42008.701000000001</v>
      </c>
      <c r="C225" s="3" t="s">
        <v>5005</v>
      </c>
      <c r="D225" t="s">
        <v>5014</v>
      </c>
      <c r="E225" t="s">
        <v>5018</v>
      </c>
      <c r="F225" t="s">
        <v>5018</v>
      </c>
      <c r="G225">
        <v>75</v>
      </c>
      <c r="H225" s="5">
        <v>1.0735677215322433E-3</v>
      </c>
      <c r="I225">
        <v>4</v>
      </c>
      <c r="J225" t="b">
        <f>AND(CCData[[#This Row],[Date]]&gt;=Calculation!$E$3,CCData[[#This Row],[Date]]&lt;Calculation!$E$3+7)</f>
        <v>0</v>
      </c>
    </row>
    <row r="226" spans="1:10">
      <c r="A226" t="s">
        <v>225</v>
      </c>
      <c r="B226" s="2">
        <v>42008.701000000001</v>
      </c>
      <c r="C226" s="3" t="s">
        <v>5009</v>
      </c>
      <c r="D226" t="s">
        <v>5013</v>
      </c>
      <c r="E226" t="s">
        <v>5018</v>
      </c>
      <c r="F226" t="s">
        <v>5018</v>
      </c>
      <c r="G226">
        <v>77</v>
      </c>
      <c r="H226" s="5">
        <v>1.8798257917756454E-3</v>
      </c>
      <c r="I226">
        <v>4</v>
      </c>
      <c r="J226" t="b">
        <f>AND(CCData[[#This Row],[Date]]&gt;=Calculation!$E$3,CCData[[#This Row],[Date]]&lt;Calculation!$E$3+7)</f>
        <v>0</v>
      </c>
    </row>
    <row r="227" spans="1:10">
      <c r="A227" t="s">
        <v>226</v>
      </c>
      <c r="B227" s="2">
        <v>42008.701000000001</v>
      </c>
      <c r="C227" s="3" t="s">
        <v>5008</v>
      </c>
      <c r="D227" t="s">
        <v>5016</v>
      </c>
      <c r="E227" t="s">
        <v>5018</v>
      </c>
      <c r="F227" t="s">
        <v>5018</v>
      </c>
      <c r="G227">
        <v>88</v>
      </c>
      <c r="H227" s="5">
        <v>4.4746326248673455E-3</v>
      </c>
      <c r="I227">
        <v>4</v>
      </c>
      <c r="J227" t="b">
        <f>AND(CCData[[#This Row],[Date]]&gt;=Calculation!$E$3,CCData[[#This Row],[Date]]&lt;Calculation!$E$3+7)</f>
        <v>0</v>
      </c>
    </row>
    <row r="228" spans="1:10">
      <c r="A228" t="s">
        <v>227</v>
      </c>
      <c r="B228" s="2">
        <v>42008.733</v>
      </c>
      <c r="C228" s="3" t="s">
        <v>5005</v>
      </c>
      <c r="D228" t="s">
        <v>5015</v>
      </c>
      <c r="E228" t="s">
        <v>5018</v>
      </c>
      <c r="F228" t="s">
        <v>5018</v>
      </c>
      <c r="G228">
        <v>82</v>
      </c>
      <c r="H228" s="5">
        <v>2.1375492271722631E-3</v>
      </c>
      <c r="I228">
        <v>2</v>
      </c>
      <c r="J228" t="b">
        <f>AND(CCData[[#This Row],[Date]]&gt;=Calculation!$E$3,CCData[[#This Row],[Date]]&lt;Calculation!$E$3+7)</f>
        <v>0</v>
      </c>
    </row>
    <row r="229" spans="1:10">
      <c r="A229" t="s">
        <v>228</v>
      </c>
      <c r="B229" s="2">
        <v>42008.733</v>
      </c>
      <c r="C229" s="3" t="s">
        <v>5007</v>
      </c>
      <c r="D229" t="s">
        <v>5013</v>
      </c>
      <c r="E229" t="s">
        <v>5018</v>
      </c>
      <c r="F229" t="s">
        <v>5018</v>
      </c>
      <c r="G229">
        <v>110</v>
      </c>
      <c r="H229" s="5">
        <v>4.5125513659143952E-3</v>
      </c>
      <c r="I229">
        <v>3</v>
      </c>
      <c r="J229" t="b">
        <f>AND(CCData[[#This Row],[Date]]&gt;=Calculation!$E$3,CCData[[#This Row],[Date]]&lt;Calculation!$E$3+7)</f>
        <v>0</v>
      </c>
    </row>
    <row r="230" spans="1:10">
      <c r="A230" t="s">
        <v>229</v>
      </c>
      <c r="B230" s="2">
        <v>42008.735999999997</v>
      </c>
      <c r="C230" s="3" t="s">
        <v>5009</v>
      </c>
      <c r="D230" t="s">
        <v>5015</v>
      </c>
      <c r="E230" t="s">
        <v>5018</v>
      </c>
      <c r="F230" t="s">
        <v>5019</v>
      </c>
      <c r="G230">
        <v>70</v>
      </c>
      <c r="H230" s="5">
        <v>1.060724987533014E-3</v>
      </c>
      <c r="I230">
        <v>3</v>
      </c>
      <c r="J230" t="b">
        <f>AND(CCData[[#This Row],[Date]]&gt;=Calculation!$E$3,CCData[[#This Row],[Date]]&lt;Calculation!$E$3+7)</f>
        <v>0</v>
      </c>
    </row>
    <row r="231" spans="1:10">
      <c r="A231" t="s">
        <v>230</v>
      </c>
      <c r="B231" s="2">
        <v>42008.735999999997</v>
      </c>
      <c r="C231" s="3" t="s">
        <v>5004</v>
      </c>
      <c r="D231" t="s">
        <v>5015</v>
      </c>
      <c r="E231" t="s">
        <v>5018</v>
      </c>
      <c r="F231" t="s">
        <v>5018</v>
      </c>
      <c r="G231">
        <v>117</v>
      </c>
      <c r="H231" s="5">
        <v>2.5453285978010746E-3</v>
      </c>
      <c r="I231">
        <v>3</v>
      </c>
      <c r="J231" t="b">
        <f>AND(CCData[[#This Row],[Date]]&gt;=Calculation!$E$3,CCData[[#This Row],[Date]]&lt;Calculation!$E$3+7)</f>
        <v>0</v>
      </c>
    </row>
    <row r="232" spans="1:10">
      <c r="A232" t="s">
        <v>231</v>
      </c>
      <c r="B232" s="2">
        <v>42009.381000000001</v>
      </c>
      <c r="C232" s="3" t="s">
        <v>5008</v>
      </c>
      <c r="D232" t="s">
        <v>5016</v>
      </c>
      <c r="E232" t="s">
        <v>5018</v>
      </c>
      <c r="F232" t="s">
        <v>5018</v>
      </c>
      <c r="G232">
        <v>18</v>
      </c>
      <c r="H232" s="5">
        <v>5.8053182877574108E-4</v>
      </c>
      <c r="I232">
        <v>3</v>
      </c>
      <c r="J232" t="b">
        <f>AND(CCData[[#This Row],[Date]]&gt;=Calculation!$E$3,CCData[[#This Row],[Date]]&lt;Calculation!$E$3+7)</f>
        <v>0</v>
      </c>
    </row>
    <row r="233" spans="1:10">
      <c r="A233" t="s">
        <v>232</v>
      </c>
      <c r="B233" s="2">
        <v>42009.381000000001</v>
      </c>
      <c r="C233" s="3" t="s">
        <v>5008</v>
      </c>
      <c r="D233" t="s">
        <v>5016</v>
      </c>
      <c r="E233" t="s">
        <v>5018</v>
      </c>
      <c r="F233" t="s">
        <v>5018</v>
      </c>
      <c r="G233">
        <v>113</v>
      </c>
      <c r="H233" s="5">
        <v>1.8090889371782559E-3</v>
      </c>
      <c r="I233">
        <v>4</v>
      </c>
      <c r="J233" t="b">
        <f>AND(CCData[[#This Row],[Date]]&gt;=Calculation!$E$3,CCData[[#This Row],[Date]]&lt;Calculation!$E$3+7)</f>
        <v>0</v>
      </c>
    </row>
    <row r="234" spans="1:10">
      <c r="A234" t="s">
        <v>233</v>
      </c>
      <c r="B234" s="2">
        <v>42009.392999999996</v>
      </c>
      <c r="C234" s="3" t="s">
        <v>5005</v>
      </c>
      <c r="D234" t="s">
        <v>5012</v>
      </c>
      <c r="E234" t="s">
        <v>5018</v>
      </c>
      <c r="F234" t="s">
        <v>5019</v>
      </c>
      <c r="G234">
        <v>68</v>
      </c>
      <c r="H234" s="5">
        <v>2.4196460593716206E-3</v>
      </c>
      <c r="I234">
        <v>5</v>
      </c>
      <c r="J234" t="b">
        <f>AND(CCData[[#This Row],[Date]]&gt;=Calculation!$E$3,CCData[[#This Row],[Date]]&lt;Calculation!$E$3+7)</f>
        <v>0</v>
      </c>
    </row>
    <row r="235" spans="1:10">
      <c r="A235" t="s">
        <v>234</v>
      </c>
      <c r="B235" s="2">
        <v>42009.392999999996</v>
      </c>
      <c r="C235" s="3" t="s">
        <v>5006</v>
      </c>
      <c r="D235" t="s">
        <v>5014</v>
      </c>
      <c r="E235" t="s">
        <v>5018</v>
      </c>
      <c r="F235" t="s">
        <v>5018</v>
      </c>
      <c r="G235">
        <v>67</v>
      </c>
      <c r="H235" s="5">
        <v>2.9452686513555672E-3</v>
      </c>
      <c r="I235">
        <v>5</v>
      </c>
      <c r="J235" t="b">
        <f>AND(CCData[[#This Row],[Date]]&gt;=Calculation!$E$3,CCData[[#This Row],[Date]]&lt;Calculation!$E$3+7)</f>
        <v>0</v>
      </c>
    </row>
    <row r="236" spans="1:10">
      <c r="A236" t="s">
        <v>235</v>
      </c>
      <c r="B236" s="2">
        <v>42009.398000000001</v>
      </c>
      <c r="C236" s="3" t="s">
        <v>5008</v>
      </c>
      <c r="D236" t="s">
        <v>5013</v>
      </c>
      <c r="E236" t="s">
        <v>5018</v>
      </c>
      <c r="F236" t="s">
        <v>5018</v>
      </c>
      <c r="G236">
        <v>36</v>
      </c>
      <c r="H236" s="5">
        <v>7.7960034736063773E-4</v>
      </c>
      <c r="I236">
        <v>5</v>
      </c>
      <c r="J236" t="b">
        <f>AND(CCData[[#This Row],[Date]]&gt;=Calculation!$E$3,CCData[[#This Row],[Date]]&lt;Calculation!$E$3+7)</f>
        <v>0</v>
      </c>
    </row>
    <row r="237" spans="1:10">
      <c r="A237" t="s">
        <v>236</v>
      </c>
      <c r="B237" s="2">
        <v>42009.398000000001</v>
      </c>
      <c r="C237" s="3" t="s">
        <v>5005</v>
      </c>
      <c r="D237" t="s">
        <v>5016</v>
      </c>
      <c r="E237" t="s">
        <v>5019</v>
      </c>
      <c r="F237" t="s">
        <v>5019</v>
      </c>
      <c r="G237" t="s">
        <v>5022</v>
      </c>
      <c r="H237" s="5" t="s">
        <v>5022</v>
      </c>
      <c r="I237" t="s">
        <v>5022</v>
      </c>
      <c r="J237" t="b">
        <f>AND(CCData[[#This Row],[Date]]&gt;=Calculation!$E$3,CCData[[#This Row],[Date]]&lt;Calculation!$E$3+7)</f>
        <v>0</v>
      </c>
    </row>
    <row r="238" spans="1:10">
      <c r="A238" t="s">
        <v>237</v>
      </c>
      <c r="B238" s="2">
        <v>42009.417000000001</v>
      </c>
      <c r="C238" s="3" t="s">
        <v>5004</v>
      </c>
      <c r="D238" t="s">
        <v>5013</v>
      </c>
      <c r="E238" t="s">
        <v>5018</v>
      </c>
      <c r="F238" t="s">
        <v>5018</v>
      </c>
      <c r="G238">
        <v>33</v>
      </c>
      <c r="H238" s="5">
        <v>1.7366051647823722E-3</v>
      </c>
      <c r="I238">
        <v>1</v>
      </c>
      <c r="J238" t="b">
        <f>AND(CCData[[#This Row],[Date]]&gt;=Calculation!$E$3,CCData[[#This Row],[Date]]&lt;Calculation!$E$3+7)</f>
        <v>0</v>
      </c>
    </row>
    <row r="239" spans="1:10">
      <c r="A239" t="s">
        <v>238</v>
      </c>
      <c r="B239" s="2">
        <v>42009.417000000001</v>
      </c>
      <c r="C239" s="3" t="s">
        <v>5010</v>
      </c>
      <c r="D239" t="s">
        <v>5012</v>
      </c>
      <c r="E239" t="s">
        <v>5018</v>
      </c>
      <c r="F239" t="s">
        <v>5018</v>
      </c>
      <c r="G239">
        <v>113</v>
      </c>
      <c r="H239" s="5">
        <v>1.3827273269148134E-3</v>
      </c>
      <c r="I239">
        <v>5</v>
      </c>
      <c r="J239" t="b">
        <f>AND(CCData[[#This Row],[Date]]&gt;=Calculation!$E$3,CCData[[#This Row],[Date]]&lt;Calculation!$E$3+7)</f>
        <v>0</v>
      </c>
    </row>
    <row r="240" spans="1:10">
      <c r="A240" t="s">
        <v>239</v>
      </c>
      <c r="B240" s="2">
        <v>42009.451000000001</v>
      </c>
      <c r="C240" s="3" t="s">
        <v>5006</v>
      </c>
      <c r="D240" t="s">
        <v>5012</v>
      </c>
      <c r="E240" t="s">
        <v>5018</v>
      </c>
      <c r="F240" t="s">
        <v>5018</v>
      </c>
      <c r="G240">
        <v>106</v>
      </c>
      <c r="H240" s="5">
        <v>4.3814203738813447E-3</v>
      </c>
      <c r="I240">
        <v>3</v>
      </c>
      <c r="J240" t="b">
        <f>AND(CCData[[#This Row],[Date]]&gt;=Calculation!$E$3,CCData[[#This Row],[Date]]&lt;Calculation!$E$3+7)</f>
        <v>0</v>
      </c>
    </row>
    <row r="241" spans="1:10">
      <c r="A241" t="s">
        <v>240</v>
      </c>
      <c r="B241" s="2">
        <v>42009.451000000001</v>
      </c>
      <c r="C241" s="3" t="s">
        <v>5008</v>
      </c>
      <c r="D241" t="s">
        <v>5016</v>
      </c>
      <c r="E241" t="s">
        <v>5018</v>
      </c>
      <c r="F241" t="s">
        <v>5018</v>
      </c>
      <c r="G241">
        <v>23</v>
      </c>
      <c r="H241" s="5">
        <v>3.4582803967830728E-3</v>
      </c>
      <c r="I241">
        <v>3</v>
      </c>
      <c r="J241" t="b">
        <f>AND(CCData[[#This Row],[Date]]&gt;=Calculation!$E$3,CCData[[#This Row],[Date]]&lt;Calculation!$E$3+7)</f>
        <v>0</v>
      </c>
    </row>
    <row r="242" spans="1:10">
      <c r="A242" t="s">
        <v>241</v>
      </c>
      <c r="B242" s="2">
        <v>42009.48</v>
      </c>
      <c r="C242" s="3" t="s">
        <v>5008</v>
      </c>
      <c r="D242" t="s">
        <v>5016</v>
      </c>
      <c r="E242" t="s">
        <v>5019</v>
      </c>
      <c r="F242" t="s">
        <v>5019</v>
      </c>
      <c r="G242" t="s">
        <v>5022</v>
      </c>
      <c r="H242" s="5" t="s">
        <v>5022</v>
      </c>
      <c r="I242" t="s">
        <v>5022</v>
      </c>
      <c r="J242" t="b">
        <f>AND(CCData[[#This Row],[Date]]&gt;=Calculation!$E$3,CCData[[#This Row],[Date]]&lt;Calculation!$E$3+7)</f>
        <v>0</v>
      </c>
    </row>
    <row r="243" spans="1:10">
      <c r="A243" t="s">
        <v>242</v>
      </c>
      <c r="B243" s="2">
        <v>42009.48</v>
      </c>
      <c r="C243" s="3" t="s">
        <v>5006</v>
      </c>
      <c r="D243" t="s">
        <v>5014</v>
      </c>
      <c r="E243" t="s">
        <v>5018</v>
      </c>
      <c r="F243" t="s">
        <v>5018</v>
      </c>
      <c r="G243">
        <v>11</v>
      </c>
      <c r="H243" s="5">
        <v>3.2639267843406631E-3</v>
      </c>
      <c r="I243">
        <v>1</v>
      </c>
      <c r="J243" t="b">
        <f>AND(CCData[[#This Row],[Date]]&gt;=Calculation!$E$3,CCData[[#This Row],[Date]]&lt;Calculation!$E$3+7)</f>
        <v>0</v>
      </c>
    </row>
    <row r="244" spans="1:10">
      <c r="A244" t="s">
        <v>243</v>
      </c>
      <c r="B244" s="2">
        <v>42009.487000000001</v>
      </c>
      <c r="C244" s="3" t="s">
        <v>5006</v>
      </c>
      <c r="D244" t="s">
        <v>5012</v>
      </c>
      <c r="E244" t="s">
        <v>5018</v>
      </c>
      <c r="F244" t="s">
        <v>5018</v>
      </c>
      <c r="G244">
        <v>73</v>
      </c>
      <c r="H244" s="5">
        <v>3.2973614199848134E-3</v>
      </c>
      <c r="I244">
        <v>5</v>
      </c>
      <c r="J244" t="b">
        <f>AND(CCData[[#This Row],[Date]]&gt;=Calculation!$E$3,CCData[[#This Row],[Date]]&lt;Calculation!$E$3+7)</f>
        <v>0</v>
      </c>
    </row>
    <row r="245" spans="1:10">
      <c r="A245" t="s">
        <v>244</v>
      </c>
      <c r="B245" s="2">
        <v>42009.487000000001</v>
      </c>
      <c r="C245" s="3" t="s">
        <v>5010</v>
      </c>
      <c r="D245" t="s">
        <v>5015</v>
      </c>
      <c r="E245" t="s">
        <v>5018</v>
      </c>
      <c r="F245" t="s">
        <v>5018</v>
      </c>
      <c r="G245">
        <v>109</v>
      </c>
      <c r="H245" s="5">
        <v>3.3400932795062022E-3</v>
      </c>
      <c r="I245">
        <v>5</v>
      </c>
      <c r="J245" t="b">
        <f>AND(CCData[[#This Row],[Date]]&gt;=Calculation!$E$3,CCData[[#This Row],[Date]]&lt;Calculation!$E$3+7)</f>
        <v>0</v>
      </c>
    </row>
    <row r="246" spans="1:10">
      <c r="A246" t="s">
        <v>245</v>
      </c>
      <c r="B246" s="2">
        <v>42009.493000000002</v>
      </c>
      <c r="C246" s="3" t="s">
        <v>5009</v>
      </c>
      <c r="D246" t="s">
        <v>5014</v>
      </c>
      <c r="E246" t="s">
        <v>5018</v>
      </c>
      <c r="F246" t="s">
        <v>5018</v>
      </c>
      <c r="G246">
        <v>29</v>
      </c>
      <c r="H246" s="5">
        <v>2.9394814532504756E-3</v>
      </c>
      <c r="I246">
        <v>4</v>
      </c>
      <c r="J246" t="b">
        <f>AND(CCData[[#This Row],[Date]]&gt;=Calculation!$E$3,CCData[[#This Row],[Date]]&lt;Calculation!$E$3+7)</f>
        <v>0</v>
      </c>
    </row>
    <row r="247" spans="1:10">
      <c r="A247" t="s">
        <v>246</v>
      </c>
      <c r="B247" s="2">
        <v>42009.493000000002</v>
      </c>
      <c r="C247" s="3" t="s">
        <v>5010</v>
      </c>
      <c r="D247" t="s">
        <v>5016</v>
      </c>
      <c r="E247" t="s">
        <v>5019</v>
      </c>
      <c r="F247" t="s">
        <v>5019</v>
      </c>
      <c r="G247" t="s">
        <v>5022</v>
      </c>
      <c r="H247" s="5" t="s">
        <v>5022</v>
      </c>
      <c r="I247" t="s">
        <v>5022</v>
      </c>
      <c r="J247" t="b">
        <f>AND(CCData[[#This Row],[Date]]&gt;=Calculation!$E$3,CCData[[#This Row],[Date]]&lt;Calculation!$E$3+7)</f>
        <v>0</v>
      </c>
    </row>
    <row r="248" spans="1:10">
      <c r="A248" t="s">
        <v>247</v>
      </c>
      <c r="B248" s="2">
        <v>42009.493000000002</v>
      </c>
      <c r="C248" s="3" t="s">
        <v>5004</v>
      </c>
      <c r="D248" t="s">
        <v>5015</v>
      </c>
      <c r="E248" t="s">
        <v>5018</v>
      </c>
      <c r="F248" t="s">
        <v>5018</v>
      </c>
      <c r="G248">
        <v>81</v>
      </c>
      <c r="H248" s="5">
        <v>8.6134345966530016E-4</v>
      </c>
      <c r="I248">
        <v>4</v>
      </c>
      <c r="J248" t="b">
        <f>AND(CCData[[#This Row],[Date]]&gt;=Calculation!$E$3,CCData[[#This Row],[Date]]&lt;Calculation!$E$3+7)</f>
        <v>0</v>
      </c>
    </row>
    <row r="249" spans="1:10">
      <c r="A249" t="s">
        <v>248</v>
      </c>
      <c r="B249" s="2">
        <v>42009.493000000002</v>
      </c>
      <c r="C249" s="3" t="s">
        <v>5006</v>
      </c>
      <c r="D249" t="s">
        <v>5012</v>
      </c>
      <c r="E249" t="s">
        <v>5018</v>
      </c>
      <c r="F249" t="s">
        <v>5018</v>
      </c>
      <c r="G249">
        <v>59</v>
      </c>
      <c r="H249" s="5">
        <v>2.6880119203273049E-3</v>
      </c>
      <c r="I249">
        <v>1</v>
      </c>
      <c r="J249" t="b">
        <f>AND(CCData[[#This Row],[Date]]&gt;=Calculation!$E$3,CCData[[#This Row],[Date]]&lt;Calculation!$E$3+7)</f>
        <v>0</v>
      </c>
    </row>
    <row r="250" spans="1:10">
      <c r="A250" t="s">
        <v>249</v>
      </c>
      <c r="B250" s="2">
        <v>42009.5</v>
      </c>
      <c r="C250" s="3" t="s">
        <v>5004</v>
      </c>
      <c r="D250" t="s">
        <v>5016</v>
      </c>
      <c r="E250" t="s">
        <v>5018</v>
      </c>
      <c r="F250" t="s">
        <v>5018</v>
      </c>
      <c r="G250">
        <v>32</v>
      </c>
      <c r="H250" s="5">
        <v>4.5013559860943081E-3</v>
      </c>
      <c r="I250">
        <v>4</v>
      </c>
      <c r="J250" t="b">
        <f>AND(CCData[[#This Row],[Date]]&gt;=Calculation!$E$3,CCData[[#This Row],[Date]]&lt;Calculation!$E$3+7)</f>
        <v>0</v>
      </c>
    </row>
    <row r="251" spans="1:10">
      <c r="A251" t="s">
        <v>250</v>
      </c>
      <c r="B251" s="2">
        <v>42009.5</v>
      </c>
      <c r="C251" s="3" t="s">
        <v>5009</v>
      </c>
      <c r="D251" t="s">
        <v>5015</v>
      </c>
      <c r="E251" t="s">
        <v>5018</v>
      </c>
      <c r="F251" t="s">
        <v>5018</v>
      </c>
      <c r="G251">
        <v>116</v>
      </c>
      <c r="H251" s="5">
        <v>4.9107930754859028E-4</v>
      </c>
      <c r="I251">
        <v>4</v>
      </c>
      <c r="J251" t="b">
        <f>AND(CCData[[#This Row],[Date]]&gt;=Calculation!$E$3,CCData[[#This Row],[Date]]&lt;Calculation!$E$3+7)</f>
        <v>0</v>
      </c>
    </row>
    <row r="252" spans="1:10">
      <c r="A252" t="s">
        <v>251</v>
      </c>
      <c r="B252" s="2">
        <v>42009.508999999998</v>
      </c>
      <c r="C252" s="3" t="s">
        <v>5003</v>
      </c>
      <c r="D252" t="s">
        <v>5014</v>
      </c>
      <c r="E252" t="s">
        <v>5018</v>
      </c>
      <c r="F252" t="s">
        <v>5018</v>
      </c>
      <c r="G252">
        <v>92</v>
      </c>
      <c r="H252" s="5">
        <v>1.3294401756255591E-3</v>
      </c>
      <c r="I252">
        <v>5</v>
      </c>
      <c r="J252" t="b">
        <f>AND(CCData[[#This Row],[Date]]&gt;=Calculation!$E$3,CCData[[#This Row],[Date]]&lt;Calculation!$E$3+7)</f>
        <v>0</v>
      </c>
    </row>
    <row r="253" spans="1:10">
      <c r="A253" t="s">
        <v>252</v>
      </c>
      <c r="B253" s="2">
        <v>42009.508999999998</v>
      </c>
      <c r="C253" s="3" t="s">
        <v>5006</v>
      </c>
      <c r="D253" t="s">
        <v>5016</v>
      </c>
      <c r="E253" t="s">
        <v>5018</v>
      </c>
      <c r="F253" t="s">
        <v>5018</v>
      </c>
      <c r="G253">
        <v>62</v>
      </c>
      <c r="H253" s="5">
        <v>4.1869203845765627E-3</v>
      </c>
      <c r="I253">
        <v>5</v>
      </c>
      <c r="J253" t="b">
        <f>AND(CCData[[#This Row],[Date]]&gt;=Calculation!$E$3,CCData[[#This Row],[Date]]&lt;Calculation!$E$3+7)</f>
        <v>0</v>
      </c>
    </row>
    <row r="254" spans="1:10">
      <c r="A254" t="s">
        <v>253</v>
      </c>
      <c r="B254" s="2">
        <v>42009.544999999998</v>
      </c>
      <c r="C254" s="3" t="s">
        <v>5008</v>
      </c>
      <c r="D254" t="s">
        <v>5014</v>
      </c>
      <c r="E254" t="s">
        <v>5018</v>
      </c>
      <c r="F254" t="s">
        <v>5018</v>
      </c>
      <c r="G254">
        <v>83</v>
      </c>
      <c r="H254" s="5">
        <v>1.3050859744192993E-3</v>
      </c>
      <c r="I254">
        <v>5</v>
      </c>
      <c r="J254" t="b">
        <f>AND(CCData[[#This Row],[Date]]&gt;=Calculation!$E$3,CCData[[#This Row],[Date]]&lt;Calculation!$E$3+7)</f>
        <v>0</v>
      </c>
    </row>
    <row r="255" spans="1:10">
      <c r="A255" t="s">
        <v>254</v>
      </c>
      <c r="B255" s="2">
        <v>42009.544999999998</v>
      </c>
      <c r="C255" s="3" t="s">
        <v>5008</v>
      </c>
      <c r="D255" t="s">
        <v>5015</v>
      </c>
      <c r="E255" t="s">
        <v>5018</v>
      </c>
      <c r="F255" t="s">
        <v>5018</v>
      </c>
      <c r="G255">
        <v>71</v>
      </c>
      <c r="H255" s="5">
        <v>1.7463720558427945E-3</v>
      </c>
      <c r="I255">
        <v>3</v>
      </c>
      <c r="J255" t="b">
        <f>AND(CCData[[#This Row],[Date]]&gt;=Calculation!$E$3,CCData[[#This Row],[Date]]&lt;Calculation!$E$3+7)</f>
        <v>0</v>
      </c>
    </row>
    <row r="256" spans="1:10">
      <c r="A256" t="s">
        <v>255</v>
      </c>
      <c r="B256" s="2">
        <v>42009.582999999999</v>
      </c>
      <c r="C256" s="3" t="s">
        <v>5006</v>
      </c>
      <c r="D256" t="s">
        <v>5015</v>
      </c>
      <c r="E256" t="s">
        <v>5018</v>
      </c>
      <c r="F256" t="s">
        <v>5019</v>
      </c>
      <c r="G256">
        <v>74</v>
      </c>
      <c r="H256" s="5">
        <v>3.1444651001409003E-3</v>
      </c>
      <c r="I256">
        <v>3</v>
      </c>
      <c r="J256" t="b">
        <f>AND(CCData[[#This Row],[Date]]&gt;=Calculation!$E$3,CCData[[#This Row],[Date]]&lt;Calculation!$E$3+7)</f>
        <v>0</v>
      </c>
    </row>
    <row r="257" spans="1:10">
      <c r="A257" t="s">
        <v>256</v>
      </c>
      <c r="B257" s="2">
        <v>42009.582999999999</v>
      </c>
      <c r="C257" s="3" t="s">
        <v>5008</v>
      </c>
      <c r="D257" t="s">
        <v>5013</v>
      </c>
      <c r="E257" t="s">
        <v>5018</v>
      </c>
      <c r="F257" t="s">
        <v>5018</v>
      </c>
      <c r="G257">
        <v>96</v>
      </c>
      <c r="H257" s="5">
        <v>4.0063547746517188E-3</v>
      </c>
      <c r="I257">
        <v>4</v>
      </c>
      <c r="J257" t="b">
        <f>AND(CCData[[#This Row],[Date]]&gt;=Calculation!$E$3,CCData[[#This Row],[Date]]&lt;Calculation!$E$3+7)</f>
        <v>0</v>
      </c>
    </row>
    <row r="258" spans="1:10">
      <c r="A258" t="s">
        <v>257</v>
      </c>
      <c r="B258" s="2">
        <v>42009.612999999998</v>
      </c>
      <c r="C258" s="3" t="s">
        <v>5003</v>
      </c>
      <c r="D258" t="s">
        <v>5015</v>
      </c>
      <c r="E258" t="s">
        <v>5018</v>
      </c>
      <c r="F258" t="s">
        <v>5018</v>
      </c>
      <c r="G258">
        <v>110</v>
      </c>
      <c r="H258" s="5">
        <v>1.1727304598456066E-3</v>
      </c>
      <c r="I258">
        <v>1</v>
      </c>
      <c r="J258" t="b">
        <f>AND(CCData[[#This Row],[Date]]&gt;=Calculation!$E$3,CCData[[#This Row],[Date]]&lt;Calculation!$E$3+7)</f>
        <v>0</v>
      </c>
    </row>
    <row r="259" spans="1:10">
      <c r="A259" t="s">
        <v>258</v>
      </c>
      <c r="B259" s="2">
        <v>42009.612999999998</v>
      </c>
      <c r="C259" s="3" t="s">
        <v>5007</v>
      </c>
      <c r="D259" t="s">
        <v>5016</v>
      </c>
      <c r="E259" t="s">
        <v>5018</v>
      </c>
      <c r="F259" t="s">
        <v>5019</v>
      </c>
      <c r="G259">
        <v>110</v>
      </c>
      <c r="H259" s="5">
        <v>1.8337008053886329E-3</v>
      </c>
      <c r="I259">
        <v>3</v>
      </c>
      <c r="J259" t="b">
        <f>AND(CCData[[#This Row],[Date]]&gt;=Calculation!$E$3,CCData[[#This Row],[Date]]&lt;Calculation!$E$3+7)</f>
        <v>0</v>
      </c>
    </row>
    <row r="260" spans="1:10">
      <c r="A260" t="s">
        <v>259</v>
      </c>
      <c r="B260" s="2">
        <v>42009.637999999999</v>
      </c>
      <c r="C260" s="3" t="s">
        <v>5010</v>
      </c>
      <c r="D260" t="s">
        <v>5013</v>
      </c>
      <c r="E260" t="s">
        <v>5018</v>
      </c>
      <c r="F260" t="s">
        <v>5018</v>
      </c>
      <c r="G260">
        <v>117</v>
      </c>
      <c r="H260" s="5">
        <v>2.1151584633144322E-3</v>
      </c>
      <c r="I260">
        <v>4</v>
      </c>
      <c r="J260" t="b">
        <f>AND(CCData[[#This Row],[Date]]&gt;=Calculation!$E$3,CCData[[#This Row],[Date]]&lt;Calculation!$E$3+7)</f>
        <v>0</v>
      </c>
    </row>
    <row r="261" spans="1:10">
      <c r="A261" t="s">
        <v>260</v>
      </c>
      <c r="B261" s="2">
        <v>42009.637999999999</v>
      </c>
      <c r="C261" s="3" t="s">
        <v>5004</v>
      </c>
      <c r="D261" t="s">
        <v>5015</v>
      </c>
      <c r="E261" t="s">
        <v>5018</v>
      </c>
      <c r="F261" t="s">
        <v>5018</v>
      </c>
      <c r="G261">
        <v>44</v>
      </c>
      <c r="H261" s="5">
        <v>4.0826393625334276E-3</v>
      </c>
      <c r="I261">
        <v>3</v>
      </c>
      <c r="J261" t="b">
        <f>AND(CCData[[#This Row],[Date]]&gt;=Calculation!$E$3,CCData[[#This Row],[Date]]&lt;Calculation!$E$3+7)</f>
        <v>0</v>
      </c>
    </row>
    <row r="262" spans="1:10">
      <c r="A262" t="s">
        <v>261</v>
      </c>
      <c r="B262" s="2">
        <v>42009.639000000003</v>
      </c>
      <c r="C262" s="3" t="s">
        <v>5003</v>
      </c>
      <c r="D262" t="s">
        <v>5012</v>
      </c>
      <c r="E262" t="s">
        <v>5018</v>
      </c>
      <c r="F262" t="s">
        <v>5018</v>
      </c>
      <c r="G262">
        <v>47</v>
      </c>
      <c r="H262" s="5">
        <v>4.1909343529444925E-3</v>
      </c>
      <c r="I262">
        <v>4</v>
      </c>
      <c r="J262" t="b">
        <f>AND(CCData[[#This Row],[Date]]&gt;=Calculation!$E$3,CCData[[#This Row],[Date]]&lt;Calculation!$E$3+7)</f>
        <v>0</v>
      </c>
    </row>
    <row r="263" spans="1:10">
      <c r="A263" t="s">
        <v>262</v>
      </c>
      <c r="B263" s="2">
        <v>42009.639000000003</v>
      </c>
      <c r="C263" s="3" t="s">
        <v>5006</v>
      </c>
      <c r="D263" t="s">
        <v>5015</v>
      </c>
      <c r="E263" t="s">
        <v>5018</v>
      </c>
      <c r="F263" t="s">
        <v>5018</v>
      </c>
      <c r="G263">
        <v>97</v>
      </c>
      <c r="H263" s="5">
        <v>8.7929967529705997E-4</v>
      </c>
      <c r="I263">
        <v>3</v>
      </c>
      <c r="J263" t="b">
        <f>AND(CCData[[#This Row],[Date]]&gt;=Calculation!$E$3,CCData[[#This Row],[Date]]&lt;Calculation!$E$3+7)</f>
        <v>0</v>
      </c>
    </row>
    <row r="264" spans="1:10">
      <c r="A264" t="s">
        <v>263</v>
      </c>
      <c r="B264" s="2">
        <v>42009.646999999997</v>
      </c>
      <c r="C264" s="3" t="s">
        <v>5006</v>
      </c>
      <c r="D264" t="s">
        <v>5016</v>
      </c>
      <c r="E264" t="s">
        <v>5018</v>
      </c>
      <c r="F264" t="s">
        <v>5018</v>
      </c>
      <c r="G264">
        <v>67</v>
      </c>
      <c r="H264" s="5">
        <v>1.8439273872373184E-3</v>
      </c>
      <c r="I264">
        <v>4</v>
      </c>
      <c r="J264" t="b">
        <f>AND(CCData[[#This Row],[Date]]&gt;=Calculation!$E$3,CCData[[#This Row],[Date]]&lt;Calculation!$E$3+7)</f>
        <v>0</v>
      </c>
    </row>
    <row r="265" spans="1:10">
      <c r="A265" t="s">
        <v>264</v>
      </c>
      <c r="B265" s="2">
        <v>42009.646999999997</v>
      </c>
      <c r="C265" s="3" t="s">
        <v>5003</v>
      </c>
      <c r="D265" t="s">
        <v>5016</v>
      </c>
      <c r="E265" t="s">
        <v>5018</v>
      </c>
      <c r="F265" t="s">
        <v>5018</v>
      </c>
      <c r="G265">
        <v>72</v>
      </c>
      <c r="H265" s="5">
        <v>4.7179937352489305E-3</v>
      </c>
      <c r="I265">
        <v>3</v>
      </c>
      <c r="J265" t="b">
        <f>AND(CCData[[#This Row],[Date]]&gt;=Calculation!$E$3,CCData[[#This Row],[Date]]&lt;Calculation!$E$3+7)</f>
        <v>0</v>
      </c>
    </row>
    <row r="266" spans="1:10">
      <c r="A266" t="s">
        <v>265</v>
      </c>
      <c r="B266" s="2">
        <v>42009.646999999997</v>
      </c>
      <c r="C266" s="3" t="s">
        <v>5004</v>
      </c>
      <c r="D266" t="s">
        <v>5012</v>
      </c>
      <c r="E266" t="s">
        <v>5018</v>
      </c>
      <c r="F266" t="s">
        <v>5018</v>
      </c>
      <c r="G266">
        <v>68</v>
      </c>
      <c r="H266" s="5">
        <v>3.0248284581076059E-3</v>
      </c>
      <c r="I266">
        <v>3</v>
      </c>
      <c r="J266" t="b">
        <f>AND(CCData[[#This Row],[Date]]&gt;=Calculation!$E$3,CCData[[#This Row],[Date]]&lt;Calculation!$E$3+7)</f>
        <v>0</v>
      </c>
    </row>
    <row r="267" spans="1:10">
      <c r="A267" t="s">
        <v>266</v>
      </c>
      <c r="B267" s="2">
        <v>42009.646999999997</v>
      </c>
      <c r="C267" s="3" t="s">
        <v>5008</v>
      </c>
      <c r="D267" t="s">
        <v>5014</v>
      </c>
      <c r="E267" t="s">
        <v>5018</v>
      </c>
      <c r="F267" t="s">
        <v>5018</v>
      </c>
      <c r="G267">
        <v>98</v>
      </c>
      <c r="H267" s="5">
        <v>4.4183251876607843E-3</v>
      </c>
      <c r="I267">
        <v>5</v>
      </c>
      <c r="J267" t="b">
        <f>AND(CCData[[#This Row],[Date]]&gt;=Calculation!$E$3,CCData[[#This Row],[Date]]&lt;Calculation!$E$3+7)</f>
        <v>0</v>
      </c>
    </row>
    <row r="268" spans="1:10">
      <c r="A268" t="s">
        <v>267</v>
      </c>
      <c r="B268" s="2">
        <v>42009.650999999998</v>
      </c>
      <c r="C268" s="3" t="s">
        <v>5008</v>
      </c>
      <c r="D268" t="s">
        <v>5016</v>
      </c>
      <c r="E268" t="s">
        <v>5018</v>
      </c>
      <c r="F268" t="s">
        <v>5018</v>
      </c>
      <c r="G268">
        <v>120</v>
      </c>
      <c r="H268" s="5">
        <v>6.4431795212470237E-4</v>
      </c>
      <c r="I268">
        <v>3</v>
      </c>
      <c r="J268" t="b">
        <f>AND(CCData[[#This Row],[Date]]&gt;=Calculation!$E$3,CCData[[#This Row],[Date]]&lt;Calculation!$E$3+7)</f>
        <v>0</v>
      </c>
    </row>
    <row r="269" spans="1:10">
      <c r="A269" t="s">
        <v>268</v>
      </c>
      <c r="B269" s="2">
        <v>42009.650999999998</v>
      </c>
      <c r="C269" s="3" t="s">
        <v>5010</v>
      </c>
      <c r="D269" t="s">
        <v>5014</v>
      </c>
      <c r="E269" t="s">
        <v>5018</v>
      </c>
      <c r="F269" t="s">
        <v>5018</v>
      </c>
      <c r="G269">
        <v>13</v>
      </c>
      <c r="H269" s="5">
        <v>1.7704100112410158E-3</v>
      </c>
      <c r="I269">
        <v>1</v>
      </c>
      <c r="J269" t="b">
        <f>AND(CCData[[#This Row],[Date]]&gt;=Calculation!$E$3,CCData[[#This Row],[Date]]&lt;Calculation!$E$3+7)</f>
        <v>0</v>
      </c>
    </row>
    <row r="270" spans="1:10">
      <c r="A270" t="s">
        <v>269</v>
      </c>
      <c r="B270" s="2">
        <v>42009.656000000003</v>
      </c>
      <c r="C270" s="3" t="s">
        <v>5007</v>
      </c>
      <c r="D270" t="s">
        <v>5015</v>
      </c>
      <c r="E270" t="s">
        <v>5018</v>
      </c>
      <c r="F270" t="s">
        <v>5018</v>
      </c>
      <c r="G270">
        <v>95</v>
      </c>
      <c r="H270" s="5">
        <v>1.2421273889264826E-3</v>
      </c>
      <c r="I270">
        <v>5</v>
      </c>
      <c r="J270" t="b">
        <f>AND(CCData[[#This Row],[Date]]&gt;=Calculation!$E$3,CCData[[#This Row],[Date]]&lt;Calculation!$E$3+7)</f>
        <v>0</v>
      </c>
    </row>
    <row r="271" spans="1:10">
      <c r="A271" t="s">
        <v>270</v>
      </c>
      <c r="B271" s="2">
        <v>42009.656000000003</v>
      </c>
      <c r="C271" s="3" t="s">
        <v>5009</v>
      </c>
      <c r="D271" t="s">
        <v>5014</v>
      </c>
      <c r="E271" t="s">
        <v>5018</v>
      </c>
      <c r="F271" t="s">
        <v>5018</v>
      </c>
      <c r="G271">
        <v>31</v>
      </c>
      <c r="H271" s="5">
        <v>4.8253611076367714E-4</v>
      </c>
      <c r="I271">
        <v>5</v>
      </c>
      <c r="J271" t="b">
        <f>AND(CCData[[#This Row],[Date]]&gt;=Calculation!$E$3,CCData[[#This Row],[Date]]&lt;Calculation!$E$3+7)</f>
        <v>0</v>
      </c>
    </row>
    <row r="272" spans="1:10">
      <c r="A272" t="s">
        <v>271</v>
      </c>
      <c r="B272" s="2">
        <v>42009.671000000002</v>
      </c>
      <c r="C272" s="3" t="s">
        <v>5010</v>
      </c>
      <c r="D272" t="s">
        <v>5016</v>
      </c>
      <c r="E272" t="s">
        <v>5018</v>
      </c>
      <c r="F272" t="s">
        <v>5018</v>
      </c>
      <c r="G272">
        <v>113</v>
      </c>
      <c r="H272" s="5">
        <v>4.4190508264040631E-3</v>
      </c>
      <c r="I272">
        <v>3</v>
      </c>
      <c r="J272" t="b">
        <f>AND(CCData[[#This Row],[Date]]&gt;=Calculation!$E$3,CCData[[#This Row],[Date]]&lt;Calculation!$E$3+7)</f>
        <v>0</v>
      </c>
    </row>
    <row r="273" spans="1:10">
      <c r="A273" t="s">
        <v>272</v>
      </c>
      <c r="B273" s="2">
        <v>42009.671000000002</v>
      </c>
      <c r="C273" s="3" t="s">
        <v>5009</v>
      </c>
      <c r="D273" t="s">
        <v>5013</v>
      </c>
      <c r="E273" t="s">
        <v>5018</v>
      </c>
      <c r="F273" t="s">
        <v>5018</v>
      </c>
      <c r="G273">
        <v>116</v>
      </c>
      <c r="H273" s="5">
        <v>3.242824829063436E-3</v>
      </c>
      <c r="I273">
        <v>3</v>
      </c>
      <c r="J273" t="b">
        <f>AND(CCData[[#This Row],[Date]]&gt;=Calculation!$E$3,CCData[[#This Row],[Date]]&lt;Calculation!$E$3+7)</f>
        <v>0</v>
      </c>
    </row>
    <row r="274" spans="1:10">
      <c r="A274" t="s">
        <v>273</v>
      </c>
      <c r="B274" s="2">
        <v>42009.678</v>
      </c>
      <c r="C274" s="3" t="s">
        <v>5009</v>
      </c>
      <c r="D274" t="s">
        <v>5015</v>
      </c>
      <c r="E274" t="s">
        <v>5018</v>
      </c>
      <c r="F274" t="s">
        <v>5019</v>
      </c>
      <c r="G274">
        <v>94</v>
      </c>
      <c r="H274" s="5">
        <v>3.8055195309055208E-3</v>
      </c>
      <c r="I274">
        <v>5</v>
      </c>
      <c r="J274" t="b">
        <f>AND(CCData[[#This Row],[Date]]&gt;=Calculation!$E$3,CCData[[#This Row],[Date]]&lt;Calculation!$E$3+7)</f>
        <v>0</v>
      </c>
    </row>
    <row r="275" spans="1:10">
      <c r="A275" t="s">
        <v>274</v>
      </c>
      <c r="B275" s="2">
        <v>42009.678</v>
      </c>
      <c r="C275" s="3" t="s">
        <v>5009</v>
      </c>
      <c r="D275" t="s">
        <v>5015</v>
      </c>
      <c r="E275" t="s">
        <v>5018</v>
      </c>
      <c r="F275" t="s">
        <v>5019</v>
      </c>
      <c r="G275">
        <v>51</v>
      </c>
      <c r="H275" s="5">
        <v>3.265624019165692E-3</v>
      </c>
      <c r="I275">
        <v>4</v>
      </c>
      <c r="J275" t="b">
        <f>AND(CCData[[#This Row],[Date]]&gt;=Calculation!$E$3,CCData[[#This Row],[Date]]&lt;Calculation!$E$3+7)</f>
        <v>0</v>
      </c>
    </row>
    <row r="276" spans="1:10">
      <c r="A276" t="s">
        <v>275</v>
      </c>
      <c r="B276" s="2">
        <v>42009.686000000002</v>
      </c>
      <c r="C276" s="3" t="s">
        <v>5003</v>
      </c>
      <c r="D276" t="s">
        <v>5013</v>
      </c>
      <c r="E276" t="s">
        <v>5018</v>
      </c>
      <c r="F276" t="s">
        <v>5018</v>
      </c>
      <c r="G276">
        <v>60</v>
      </c>
      <c r="H276" s="5">
        <v>2.864433230648777E-3</v>
      </c>
      <c r="I276">
        <v>4</v>
      </c>
      <c r="J276" t="b">
        <f>AND(CCData[[#This Row],[Date]]&gt;=Calculation!$E$3,CCData[[#This Row],[Date]]&lt;Calculation!$E$3+7)</f>
        <v>0</v>
      </c>
    </row>
    <row r="277" spans="1:10">
      <c r="A277" t="s">
        <v>276</v>
      </c>
      <c r="B277" s="2">
        <v>42009.686000000002</v>
      </c>
      <c r="C277" s="3" t="s">
        <v>5003</v>
      </c>
      <c r="D277" t="s">
        <v>5012</v>
      </c>
      <c r="E277" t="s">
        <v>5018</v>
      </c>
      <c r="F277" t="s">
        <v>5018</v>
      </c>
      <c r="G277">
        <v>59</v>
      </c>
      <c r="H277" s="5">
        <v>4.216507092224952E-3</v>
      </c>
      <c r="I277">
        <v>2</v>
      </c>
      <c r="J277" t="b">
        <f>AND(CCData[[#This Row],[Date]]&gt;=Calculation!$E$3,CCData[[#This Row],[Date]]&lt;Calculation!$E$3+7)</f>
        <v>0</v>
      </c>
    </row>
    <row r="278" spans="1:10">
      <c r="A278" t="s">
        <v>277</v>
      </c>
      <c r="B278" s="2">
        <v>42009.726000000002</v>
      </c>
      <c r="C278" s="3" t="s">
        <v>5005</v>
      </c>
      <c r="D278" t="s">
        <v>5013</v>
      </c>
      <c r="E278" t="s">
        <v>5019</v>
      </c>
      <c r="F278" t="s">
        <v>5019</v>
      </c>
      <c r="G278" t="s">
        <v>5022</v>
      </c>
      <c r="H278" s="5" t="s">
        <v>5022</v>
      </c>
      <c r="I278" t="s">
        <v>5022</v>
      </c>
      <c r="J278" t="b">
        <f>AND(CCData[[#This Row],[Date]]&gt;=Calculation!$E$3,CCData[[#This Row],[Date]]&lt;Calculation!$E$3+7)</f>
        <v>0</v>
      </c>
    </row>
    <row r="279" spans="1:10">
      <c r="A279" t="s">
        <v>278</v>
      </c>
      <c r="B279" s="2">
        <v>42009.726000000002</v>
      </c>
      <c r="C279" s="3" t="s">
        <v>5006</v>
      </c>
      <c r="D279" t="s">
        <v>5014</v>
      </c>
      <c r="E279" t="s">
        <v>5019</v>
      </c>
      <c r="F279" t="s">
        <v>5019</v>
      </c>
      <c r="G279" t="s">
        <v>5022</v>
      </c>
      <c r="H279" s="5" t="s">
        <v>5022</v>
      </c>
      <c r="I279" t="s">
        <v>5022</v>
      </c>
      <c r="J279" t="b">
        <f>AND(CCData[[#This Row],[Date]]&gt;=Calculation!$E$3,CCData[[#This Row],[Date]]&lt;Calculation!$E$3+7)</f>
        <v>0</v>
      </c>
    </row>
    <row r="280" spans="1:10">
      <c r="A280" t="s">
        <v>279</v>
      </c>
      <c r="B280" s="2">
        <v>42009.728999999999</v>
      </c>
      <c r="C280" s="3" t="s">
        <v>5008</v>
      </c>
      <c r="D280" t="s">
        <v>5013</v>
      </c>
      <c r="E280" t="s">
        <v>5019</v>
      </c>
      <c r="F280" t="s">
        <v>5019</v>
      </c>
      <c r="G280" t="s">
        <v>5022</v>
      </c>
      <c r="H280" s="5" t="s">
        <v>5022</v>
      </c>
      <c r="I280" t="s">
        <v>5022</v>
      </c>
      <c r="J280" t="b">
        <f>AND(CCData[[#This Row],[Date]]&gt;=Calculation!$E$3,CCData[[#This Row],[Date]]&lt;Calculation!$E$3+7)</f>
        <v>0</v>
      </c>
    </row>
    <row r="281" spans="1:10">
      <c r="A281" t="s">
        <v>280</v>
      </c>
      <c r="B281" s="2">
        <v>42009.728999999999</v>
      </c>
      <c r="C281" s="3" t="s">
        <v>5010</v>
      </c>
      <c r="D281" t="s">
        <v>5012</v>
      </c>
      <c r="E281" t="s">
        <v>5018</v>
      </c>
      <c r="F281" t="s">
        <v>5018</v>
      </c>
      <c r="G281">
        <v>16</v>
      </c>
      <c r="H281" s="5">
        <v>2.4622654542950642E-3</v>
      </c>
      <c r="I281">
        <v>4</v>
      </c>
      <c r="J281" t="b">
        <f>AND(CCData[[#This Row],[Date]]&gt;=Calculation!$E$3,CCData[[#This Row],[Date]]&lt;Calculation!$E$3+7)</f>
        <v>0</v>
      </c>
    </row>
    <row r="282" spans="1:10">
      <c r="A282" t="s">
        <v>281</v>
      </c>
      <c r="B282" s="2">
        <v>42009.735000000001</v>
      </c>
      <c r="C282" s="3" t="s">
        <v>5003</v>
      </c>
      <c r="D282" t="s">
        <v>5013</v>
      </c>
      <c r="E282" t="s">
        <v>5018</v>
      </c>
      <c r="F282" t="s">
        <v>5018</v>
      </c>
      <c r="G282">
        <v>81</v>
      </c>
      <c r="H282" s="5">
        <v>1.2884281415967648E-3</v>
      </c>
      <c r="I282">
        <v>3</v>
      </c>
      <c r="J282" t="b">
        <f>AND(CCData[[#This Row],[Date]]&gt;=Calculation!$E$3,CCData[[#This Row],[Date]]&lt;Calculation!$E$3+7)</f>
        <v>0</v>
      </c>
    </row>
    <row r="283" spans="1:10">
      <c r="A283" t="s">
        <v>282</v>
      </c>
      <c r="B283" s="2">
        <v>42009.735000000001</v>
      </c>
      <c r="C283" s="3" t="s">
        <v>5008</v>
      </c>
      <c r="D283" t="s">
        <v>5016</v>
      </c>
      <c r="E283" t="s">
        <v>5018</v>
      </c>
      <c r="F283" t="s">
        <v>5018</v>
      </c>
      <c r="G283">
        <v>65</v>
      </c>
      <c r="H283" s="5">
        <v>4.7031091926163504E-3</v>
      </c>
      <c r="I283">
        <v>1</v>
      </c>
      <c r="J283" t="b">
        <f>AND(CCData[[#This Row],[Date]]&gt;=Calculation!$E$3,CCData[[#This Row],[Date]]&lt;Calculation!$E$3+7)</f>
        <v>0</v>
      </c>
    </row>
    <row r="284" spans="1:10">
      <c r="A284" t="s">
        <v>283</v>
      </c>
      <c r="B284" s="2">
        <v>42009.739000000001</v>
      </c>
      <c r="C284" s="3" t="s">
        <v>5009</v>
      </c>
      <c r="D284" t="s">
        <v>5016</v>
      </c>
      <c r="E284" t="s">
        <v>5018</v>
      </c>
      <c r="F284" t="s">
        <v>5018</v>
      </c>
      <c r="G284">
        <v>55</v>
      </c>
      <c r="H284" s="5">
        <v>2.1306548122468748E-3</v>
      </c>
      <c r="I284">
        <v>2</v>
      </c>
      <c r="J284" t="b">
        <f>AND(CCData[[#This Row],[Date]]&gt;=Calculation!$E$3,CCData[[#This Row],[Date]]&lt;Calculation!$E$3+7)</f>
        <v>0</v>
      </c>
    </row>
    <row r="285" spans="1:10">
      <c r="A285" t="s">
        <v>284</v>
      </c>
      <c r="B285" s="2">
        <v>42009.739000000001</v>
      </c>
      <c r="C285" s="3" t="s">
        <v>5009</v>
      </c>
      <c r="D285" t="s">
        <v>5013</v>
      </c>
      <c r="E285" t="s">
        <v>5019</v>
      </c>
      <c r="F285" t="s">
        <v>5019</v>
      </c>
      <c r="G285" t="s">
        <v>5022</v>
      </c>
      <c r="H285" s="5" t="s">
        <v>5022</v>
      </c>
      <c r="I285" t="s">
        <v>5022</v>
      </c>
      <c r="J285" t="b">
        <f>AND(CCData[[#This Row],[Date]]&gt;=Calculation!$E$3,CCData[[#This Row],[Date]]&lt;Calculation!$E$3+7)</f>
        <v>0</v>
      </c>
    </row>
    <row r="286" spans="1:10">
      <c r="A286" t="s">
        <v>285</v>
      </c>
      <c r="B286" s="2">
        <v>42009.748</v>
      </c>
      <c r="C286" s="3" t="s">
        <v>5009</v>
      </c>
      <c r="D286" t="s">
        <v>5013</v>
      </c>
      <c r="E286" t="s">
        <v>5018</v>
      </c>
      <c r="F286" t="s">
        <v>5018</v>
      </c>
      <c r="G286">
        <v>31</v>
      </c>
      <c r="H286" s="5">
        <v>1.6780169462341792E-3</v>
      </c>
      <c r="I286">
        <v>4</v>
      </c>
      <c r="J286" t="b">
        <f>AND(CCData[[#This Row],[Date]]&gt;=Calculation!$E$3,CCData[[#This Row],[Date]]&lt;Calculation!$E$3+7)</f>
        <v>0</v>
      </c>
    </row>
    <row r="287" spans="1:10">
      <c r="A287" t="s">
        <v>286</v>
      </c>
      <c r="B287" s="2">
        <v>42009.748</v>
      </c>
      <c r="C287" s="3" t="s">
        <v>5003</v>
      </c>
      <c r="D287" t="s">
        <v>5016</v>
      </c>
      <c r="E287" t="s">
        <v>5018</v>
      </c>
      <c r="F287" t="s">
        <v>5018</v>
      </c>
      <c r="G287">
        <v>45</v>
      </c>
      <c r="H287" s="5">
        <v>3.6174388404248549E-3</v>
      </c>
      <c r="I287">
        <v>2</v>
      </c>
      <c r="J287" t="b">
        <f>AND(CCData[[#This Row],[Date]]&gt;=Calculation!$E$3,CCData[[#This Row],[Date]]&lt;Calculation!$E$3+7)</f>
        <v>0</v>
      </c>
    </row>
    <row r="288" spans="1:10">
      <c r="A288" t="s">
        <v>287</v>
      </c>
      <c r="B288" s="2">
        <v>42010.381000000001</v>
      </c>
      <c r="C288" s="3" t="s">
        <v>5006</v>
      </c>
      <c r="D288" t="s">
        <v>5013</v>
      </c>
      <c r="E288" t="s">
        <v>5019</v>
      </c>
      <c r="F288" t="s">
        <v>5019</v>
      </c>
      <c r="G288" t="s">
        <v>5022</v>
      </c>
      <c r="H288" s="5" t="s">
        <v>5022</v>
      </c>
      <c r="I288" t="s">
        <v>5022</v>
      </c>
      <c r="J288" t="b">
        <f>AND(CCData[[#This Row],[Date]]&gt;=Calculation!$E$3,CCData[[#This Row],[Date]]&lt;Calculation!$E$3+7)</f>
        <v>0</v>
      </c>
    </row>
    <row r="289" spans="1:10">
      <c r="A289" t="s">
        <v>288</v>
      </c>
      <c r="B289" s="2">
        <v>42010.381000000001</v>
      </c>
      <c r="C289" s="3" t="s">
        <v>5005</v>
      </c>
      <c r="D289" t="s">
        <v>5014</v>
      </c>
      <c r="E289" t="s">
        <v>5018</v>
      </c>
      <c r="F289" t="s">
        <v>5018</v>
      </c>
      <c r="G289">
        <v>43</v>
      </c>
      <c r="H289" s="5">
        <v>1.4916992714967563E-3</v>
      </c>
      <c r="I289">
        <v>5</v>
      </c>
      <c r="J289" t="b">
        <f>AND(CCData[[#This Row],[Date]]&gt;=Calculation!$E$3,CCData[[#This Row],[Date]]&lt;Calculation!$E$3+7)</f>
        <v>0</v>
      </c>
    </row>
    <row r="290" spans="1:10">
      <c r="A290" t="s">
        <v>289</v>
      </c>
      <c r="B290" s="2">
        <v>42010.421000000002</v>
      </c>
      <c r="C290" s="3" t="s">
        <v>5005</v>
      </c>
      <c r="D290" t="s">
        <v>5013</v>
      </c>
      <c r="E290" t="s">
        <v>5018</v>
      </c>
      <c r="F290" t="s">
        <v>5018</v>
      </c>
      <c r="G290">
        <v>55</v>
      </c>
      <c r="H290" s="5">
        <v>4.1210297212373997E-3</v>
      </c>
      <c r="I290">
        <v>4</v>
      </c>
      <c r="J290" t="b">
        <f>AND(CCData[[#This Row],[Date]]&gt;=Calculation!$E$3,CCData[[#This Row],[Date]]&lt;Calculation!$E$3+7)</f>
        <v>0</v>
      </c>
    </row>
    <row r="291" spans="1:10">
      <c r="A291" t="s">
        <v>290</v>
      </c>
      <c r="B291" s="2">
        <v>42010.421000000002</v>
      </c>
      <c r="C291" s="3" t="s">
        <v>5005</v>
      </c>
      <c r="D291" t="s">
        <v>5012</v>
      </c>
      <c r="E291" t="s">
        <v>5018</v>
      </c>
      <c r="F291" t="s">
        <v>5018</v>
      </c>
      <c r="G291">
        <v>63</v>
      </c>
      <c r="H291" s="5">
        <v>1.6096535229051696E-3</v>
      </c>
      <c r="I291">
        <v>3</v>
      </c>
      <c r="J291" t="b">
        <f>AND(CCData[[#This Row],[Date]]&gt;=Calculation!$E$3,CCData[[#This Row],[Date]]&lt;Calculation!$E$3+7)</f>
        <v>0</v>
      </c>
    </row>
    <row r="292" spans="1:10">
      <c r="A292" t="s">
        <v>291</v>
      </c>
      <c r="B292" s="2">
        <v>42010.421999999999</v>
      </c>
      <c r="C292" s="3" t="s">
        <v>5008</v>
      </c>
      <c r="D292" t="s">
        <v>5014</v>
      </c>
      <c r="E292" t="s">
        <v>5019</v>
      </c>
      <c r="F292" t="s">
        <v>5019</v>
      </c>
      <c r="G292" t="s">
        <v>5022</v>
      </c>
      <c r="H292" s="5" t="s">
        <v>5022</v>
      </c>
      <c r="I292" t="s">
        <v>5022</v>
      </c>
      <c r="J292" t="b">
        <f>AND(CCData[[#This Row],[Date]]&gt;=Calculation!$E$3,CCData[[#This Row],[Date]]&lt;Calculation!$E$3+7)</f>
        <v>0</v>
      </c>
    </row>
    <row r="293" spans="1:10">
      <c r="A293" t="s">
        <v>292</v>
      </c>
      <c r="B293" s="2">
        <v>42010.421999999999</v>
      </c>
      <c r="C293" s="3" t="s">
        <v>5007</v>
      </c>
      <c r="D293" t="s">
        <v>5012</v>
      </c>
      <c r="E293" t="s">
        <v>5018</v>
      </c>
      <c r="F293" t="s">
        <v>5018</v>
      </c>
      <c r="G293">
        <v>122</v>
      </c>
      <c r="H293" s="5">
        <v>4.0782411016429057E-3</v>
      </c>
      <c r="I293">
        <v>1</v>
      </c>
      <c r="J293" t="b">
        <f>AND(CCData[[#This Row],[Date]]&gt;=Calculation!$E$3,CCData[[#This Row],[Date]]&lt;Calculation!$E$3+7)</f>
        <v>0</v>
      </c>
    </row>
    <row r="294" spans="1:10">
      <c r="A294" t="s">
        <v>293</v>
      </c>
      <c r="B294" s="2">
        <v>42010.438999999998</v>
      </c>
      <c r="C294" s="3" t="s">
        <v>5005</v>
      </c>
      <c r="D294" t="s">
        <v>5012</v>
      </c>
      <c r="E294" t="s">
        <v>5018</v>
      </c>
      <c r="F294" t="s">
        <v>5018</v>
      </c>
      <c r="G294">
        <v>71</v>
      </c>
      <c r="H294" s="5">
        <v>1.8364514561719769E-3</v>
      </c>
      <c r="I294">
        <v>4</v>
      </c>
      <c r="J294" t="b">
        <f>AND(CCData[[#This Row],[Date]]&gt;=Calculation!$E$3,CCData[[#This Row],[Date]]&lt;Calculation!$E$3+7)</f>
        <v>0</v>
      </c>
    </row>
    <row r="295" spans="1:10">
      <c r="A295" t="s">
        <v>294</v>
      </c>
      <c r="B295" s="2">
        <v>42010.438999999998</v>
      </c>
      <c r="C295" s="3" t="s">
        <v>5007</v>
      </c>
      <c r="D295" t="s">
        <v>5013</v>
      </c>
      <c r="E295" t="s">
        <v>5018</v>
      </c>
      <c r="F295" t="s">
        <v>5018</v>
      </c>
      <c r="G295">
        <v>54</v>
      </c>
      <c r="H295" s="5">
        <v>3.4341787138805857E-3</v>
      </c>
      <c r="I295">
        <v>4</v>
      </c>
      <c r="J295" t="b">
        <f>AND(CCData[[#This Row],[Date]]&gt;=Calculation!$E$3,CCData[[#This Row],[Date]]&lt;Calculation!$E$3+7)</f>
        <v>0</v>
      </c>
    </row>
    <row r="296" spans="1:10">
      <c r="A296" t="s">
        <v>295</v>
      </c>
      <c r="B296" s="2">
        <v>42010.446000000004</v>
      </c>
      <c r="C296" s="3" t="s">
        <v>5005</v>
      </c>
      <c r="D296" t="s">
        <v>5016</v>
      </c>
      <c r="E296" t="s">
        <v>5018</v>
      </c>
      <c r="F296" t="s">
        <v>5018</v>
      </c>
      <c r="G296">
        <v>74</v>
      </c>
      <c r="H296" s="5">
        <v>2.3431203004963038E-3</v>
      </c>
      <c r="I296">
        <v>4</v>
      </c>
      <c r="J296" t="b">
        <f>AND(CCData[[#This Row],[Date]]&gt;=Calculation!$E$3,CCData[[#This Row],[Date]]&lt;Calculation!$E$3+7)</f>
        <v>0</v>
      </c>
    </row>
    <row r="297" spans="1:10">
      <c r="A297" t="s">
        <v>296</v>
      </c>
      <c r="B297" s="2">
        <v>42010.446000000004</v>
      </c>
      <c r="C297" s="3" t="s">
        <v>5005</v>
      </c>
      <c r="D297" t="s">
        <v>5015</v>
      </c>
      <c r="E297" t="s">
        <v>5018</v>
      </c>
      <c r="F297" t="s">
        <v>5018</v>
      </c>
      <c r="G297">
        <v>125</v>
      </c>
      <c r="H297" s="5">
        <v>3.3232836225361288E-3</v>
      </c>
      <c r="I297">
        <v>4</v>
      </c>
      <c r="J297" t="b">
        <f>AND(CCData[[#This Row],[Date]]&gt;=Calculation!$E$3,CCData[[#This Row],[Date]]&lt;Calculation!$E$3+7)</f>
        <v>0</v>
      </c>
    </row>
    <row r="298" spans="1:10">
      <c r="A298" t="s">
        <v>297</v>
      </c>
      <c r="B298" s="2">
        <v>42010.466999999997</v>
      </c>
      <c r="C298" s="3" t="s">
        <v>5010</v>
      </c>
      <c r="D298" t="s">
        <v>5014</v>
      </c>
      <c r="E298" t="s">
        <v>5018</v>
      </c>
      <c r="F298" t="s">
        <v>5018</v>
      </c>
      <c r="G298">
        <v>110</v>
      </c>
      <c r="H298" s="5">
        <v>2.5856477338859112E-3</v>
      </c>
      <c r="I298">
        <v>3</v>
      </c>
      <c r="J298" t="b">
        <f>AND(CCData[[#This Row],[Date]]&gt;=Calculation!$E$3,CCData[[#This Row],[Date]]&lt;Calculation!$E$3+7)</f>
        <v>0</v>
      </c>
    </row>
    <row r="299" spans="1:10">
      <c r="A299" t="s">
        <v>298</v>
      </c>
      <c r="B299" s="2">
        <v>42010.466999999997</v>
      </c>
      <c r="C299" s="3" t="s">
        <v>5004</v>
      </c>
      <c r="D299" t="s">
        <v>5016</v>
      </c>
      <c r="E299" t="s">
        <v>5019</v>
      </c>
      <c r="F299" t="s">
        <v>5019</v>
      </c>
      <c r="G299" t="s">
        <v>5022</v>
      </c>
      <c r="H299" s="5" t="s">
        <v>5022</v>
      </c>
      <c r="I299" t="s">
        <v>5022</v>
      </c>
      <c r="J299" t="b">
        <f>AND(CCData[[#This Row],[Date]]&gt;=Calculation!$E$3,CCData[[#This Row],[Date]]&lt;Calculation!$E$3+7)</f>
        <v>0</v>
      </c>
    </row>
    <row r="300" spans="1:10">
      <c r="A300" t="s">
        <v>299</v>
      </c>
      <c r="B300" s="2">
        <v>42010.478999999999</v>
      </c>
      <c r="C300" s="3" t="s">
        <v>5009</v>
      </c>
      <c r="D300" t="s">
        <v>5013</v>
      </c>
      <c r="E300" t="s">
        <v>5018</v>
      </c>
      <c r="F300" t="s">
        <v>5018</v>
      </c>
      <c r="G300">
        <v>74</v>
      </c>
      <c r="H300" s="5">
        <v>1.0584087081309996E-3</v>
      </c>
      <c r="I300">
        <v>5</v>
      </c>
      <c r="J300" t="b">
        <f>AND(CCData[[#This Row],[Date]]&gt;=Calculation!$E$3,CCData[[#This Row],[Date]]&lt;Calculation!$E$3+7)</f>
        <v>0</v>
      </c>
    </row>
    <row r="301" spans="1:10">
      <c r="A301" t="s">
        <v>300</v>
      </c>
      <c r="B301" s="2">
        <v>42010.478999999999</v>
      </c>
      <c r="C301" s="3" t="s">
        <v>5003</v>
      </c>
      <c r="D301" t="s">
        <v>5014</v>
      </c>
      <c r="E301" t="s">
        <v>5018</v>
      </c>
      <c r="F301" t="s">
        <v>5018</v>
      </c>
      <c r="G301">
        <v>80</v>
      </c>
      <c r="H301" s="5">
        <v>3.0909928120942316E-3</v>
      </c>
      <c r="I301">
        <v>4</v>
      </c>
      <c r="J301" t="b">
        <f>AND(CCData[[#This Row],[Date]]&gt;=Calculation!$E$3,CCData[[#This Row],[Date]]&lt;Calculation!$E$3+7)</f>
        <v>0</v>
      </c>
    </row>
    <row r="302" spans="1:10">
      <c r="A302" t="s">
        <v>301</v>
      </c>
      <c r="B302" s="2">
        <v>42010.485000000001</v>
      </c>
      <c r="C302" s="3" t="s">
        <v>5010</v>
      </c>
      <c r="D302" t="s">
        <v>5014</v>
      </c>
      <c r="E302" t="s">
        <v>5019</v>
      </c>
      <c r="F302" t="s">
        <v>5019</v>
      </c>
      <c r="G302" t="s">
        <v>5022</v>
      </c>
      <c r="H302" s="5" t="s">
        <v>5022</v>
      </c>
      <c r="I302" t="s">
        <v>5022</v>
      </c>
      <c r="J302" t="b">
        <f>AND(CCData[[#This Row],[Date]]&gt;=Calculation!$E$3,CCData[[#This Row],[Date]]&lt;Calculation!$E$3+7)</f>
        <v>0</v>
      </c>
    </row>
    <row r="303" spans="1:10">
      <c r="A303" t="s">
        <v>302</v>
      </c>
      <c r="B303" s="2">
        <v>42010.485000000001</v>
      </c>
      <c r="C303" s="3" t="s">
        <v>5008</v>
      </c>
      <c r="D303" t="s">
        <v>5012</v>
      </c>
      <c r="E303" t="s">
        <v>5018</v>
      </c>
      <c r="F303" t="s">
        <v>5018</v>
      </c>
      <c r="G303">
        <v>110</v>
      </c>
      <c r="H303" s="5">
        <v>2.7128452890747188E-3</v>
      </c>
      <c r="I303">
        <v>2</v>
      </c>
      <c r="J303" t="b">
        <f>AND(CCData[[#This Row],[Date]]&gt;=Calculation!$E$3,CCData[[#This Row],[Date]]&lt;Calculation!$E$3+7)</f>
        <v>0</v>
      </c>
    </row>
    <row r="304" spans="1:10">
      <c r="A304" t="s">
        <v>303</v>
      </c>
      <c r="B304" s="2">
        <v>42010.49</v>
      </c>
      <c r="C304" s="3" t="s">
        <v>5005</v>
      </c>
      <c r="D304" t="s">
        <v>5014</v>
      </c>
      <c r="E304" t="s">
        <v>5018</v>
      </c>
      <c r="F304" t="s">
        <v>5018</v>
      </c>
      <c r="G304">
        <v>26</v>
      </c>
      <c r="H304" s="5">
        <v>2.1804310513624126E-3</v>
      </c>
      <c r="I304">
        <v>3</v>
      </c>
      <c r="J304" t="b">
        <f>AND(CCData[[#This Row],[Date]]&gt;=Calculation!$E$3,CCData[[#This Row],[Date]]&lt;Calculation!$E$3+7)</f>
        <v>0</v>
      </c>
    </row>
    <row r="305" spans="1:10">
      <c r="A305" t="s">
        <v>304</v>
      </c>
      <c r="B305" s="2">
        <v>42010.49</v>
      </c>
      <c r="C305" s="3" t="s">
        <v>5006</v>
      </c>
      <c r="D305" t="s">
        <v>5013</v>
      </c>
      <c r="E305" t="s">
        <v>5019</v>
      </c>
      <c r="F305" t="s">
        <v>5019</v>
      </c>
      <c r="G305" t="s">
        <v>5022</v>
      </c>
      <c r="H305" s="5" t="s">
        <v>5022</v>
      </c>
      <c r="I305" t="s">
        <v>5022</v>
      </c>
      <c r="J305" t="b">
        <f>AND(CCData[[#This Row],[Date]]&gt;=Calculation!$E$3,CCData[[#This Row],[Date]]&lt;Calculation!$E$3+7)</f>
        <v>0</v>
      </c>
    </row>
    <row r="306" spans="1:10">
      <c r="A306" t="s">
        <v>305</v>
      </c>
      <c r="B306" s="2">
        <v>42010.504000000001</v>
      </c>
      <c r="C306" s="3" t="s">
        <v>5008</v>
      </c>
      <c r="D306" t="s">
        <v>5015</v>
      </c>
      <c r="E306" t="s">
        <v>5018</v>
      </c>
      <c r="F306" t="s">
        <v>5018</v>
      </c>
      <c r="G306">
        <v>97</v>
      </c>
      <c r="H306" s="5">
        <v>1.2428730881414386E-3</v>
      </c>
      <c r="I306">
        <v>3</v>
      </c>
      <c r="J306" t="b">
        <f>AND(CCData[[#This Row],[Date]]&gt;=Calculation!$E$3,CCData[[#This Row],[Date]]&lt;Calculation!$E$3+7)</f>
        <v>0</v>
      </c>
    </row>
    <row r="307" spans="1:10">
      <c r="A307" t="s">
        <v>306</v>
      </c>
      <c r="B307" s="2">
        <v>42010.504000000001</v>
      </c>
      <c r="C307" s="3" t="s">
        <v>5010</v>
      </c>
      <c r="D307" t="s">
        <v>5015</v>
      </c>
      <c r="E307" t="s">
        <v>5018</v>
      </c>
      <c r="F307" t="s">
        <v>5019</v>
      </c>
      <c r="G307">
        <v>82</v>
      </c>
      <c r="H307" s="5">
        <v>3.9382601616803703E-3</v>
      </c>
      <c r="I307">
        <v>3</v>
      </c>
      <c r="J307" t="b">
        <f>AND(CCData[[#This Row],[Date]]&gt;=Calculation!$E$3,CCData[[#This Row],[Date]]&lt;Calculation!$E$3+7)</f>
        <v>0</v>
      </c>
    </row>
    <row r="308" spans="1:10">
      <c r="A308" t="s">
        <v>307</v>
      </c>
      <c r="B308" s="2">
        <v>42010.504999999997</v>
      </c>
      <c r="C308" s="3" t="s">
        <v>5004</v>
      </c>
      <c r="D308" t="s">
        <v>5016</v>
      </c>
      <c r="E308" t="s">
        <v>5018</v>
      </c>
      <c r="F308" t="s">
        <v>5019</v>
      </c>
      <c r="G308">
        <v>102</v>
      </c>
      <c r="H308" s="5">
        <v>4.0830844893449013E-3</v>
      </c>
      <c r="I308">
        <v>5</v>
      </c>
      <c r="J308" t="b">
        <f>AND(CCData[[#This Row],[Date]]&gt;=Calculation!$E$3,CCData[[#This Row],[Date]]&lt;Calculation!$E$3+7)</f>
        <v>0</v>
      </c>
    </row>
    <row r="309" spans="1:10">
      <c r="A309" t="s">
        <v>308</v>
      </c>
      <c r="B309" s="2">
        <v>42010.504999999997</v>
      </c>
      <c r="C309" s="3" t="s">
        <v>5007</v>
      </c>
      <c r="D309" t="s">
        <v>5015</v>
      </c>
      <c r="E309" t="s">
        <v>5018</v>
      </c>
      <c r="F309" t="s">
        <v>5018</v>
      </c>
      <c r="G309">
        <v>120</v>
      </c>
      <c r="H309" s="5">
        <v>6.0712032995466673E-4</v>
      </c>
      <c r="I309">
        <v>5</v>
      </c>
      <c r="J309" t="b">
        <f>AND(CCData[[#This Row],[Date]]&gt;=Calculation!$E$3,CCData[[#This Row],[Date]]&lt;Calculation!$E$3+7)</f>
        <v>0</v>
      </c>
    </row>
    <row r="310" spans="1:10">
      <c r="A310" t="s">
        <v>309</v>
      </c>
      <c r="B310" s="2">
        <v>42010.563000000002</v>
      </c>
      <c r="C310" s="3" t="s">
        <v>5006</v>
      </c>
      <c r="D310" t="s">
        <v>5016</v>
      </c>
      <c r="E310" t="s">
        <v>5018</v>
      </c>
      <c r="F310" t="s">
        <v>5018</v>
      </c>
      <c r="G310">
        <v>70</v>
      </c>
      <c r="H310" s="5">
        <v>3.6958403351328587E-3</v>
      </c>
      <c r="I310">
        <v>3</v>
      </c>
      <c r="J310" t="b">
        <f>AND(CCData[[#This Row],[Date]]&gt;=Calculation!$E$3,CCData[[#This Row],[Date]]&lt;Calculation!$E$3+7)</f>
        <v>0</v>
      </c>
    </row>
    <row r="311" spans="1:10">
      <c r="A311" t="s">
        <v>310</v>
      </c>
      <c r="B311" s="2">
        <v>42010.563000000002</v>
      </c>
      <c r="C311" s="3" t="s">
        <v>5003</v>
      </c>
      <c r="D311" t="s">
        <v>5015</v>
      </c>
      <c r="E311" t="s">
        <v>5019</v>
      </c>
      <c r="F311" t="s">
        <v>5019</v>
      </c>
      <c r="G311" t="s">
        <v>5022</v>
      </c>
      <c r="H311" s="5" t="s">
        <v>5022</v>
      </c>
      <c r="I311" t="s">
        <v>5022</v>
      </c>
      <c r="J311" t="b">
        <f>AND(CCData[[#This Row],[Date]]&gt;=Calculation!$E$3,CCData[[#This Row],[Date]]&lt;Calculation!$E$3+7)</f>
        <v>0</v>
      </c>
    </row>
    <row r="312" spans="1:10">
      <c r="A312" t="s">
        <v>311</v>
      </c>
      <c r="B312" s="2">
        <v>42010.582000000002</v>
      </c>
      <c r="C312" s="3" t="s">
        <v>5005</v>
      </c>
      <c r="D312" t="s">
        <v>5014</v>
      </c>
      <c r="E312" t="s">
        <v>5018</v>
      </c>
      <c r="F312" t="s">
        <v>5018</v>
      </c>
      <c r="G312">
        <v>122</v>
      </c>
      <c r="H312" s="5">
        <v>2.0316946661552249E-3</v>
      </c>
      <c r="I312">
        <v>3</v>
      </c>
      <c r="J312" t="b">
        <f>AND(CCData[[#This Row],[Date]]&gt;=Calculation!$E$3,CCData[[#This Row],[Date]]&lt;Calculation!$E$3+7)</f>
        <v>0</v>
      </c>
    </row>
    <row r="313" spans="1:10">
      <c r="A313" t="s">
        <v>312</v>
      </c>
      <c r="B313" s="2">
        <v>42010.582000000002</v>
      </c>
      <c r="C313" s="3" t="s">
        <v>5009</v>
      </c>
      <c r="D313" t="s">
        <v>5016</v>
      </c>
      <c r="E313" t="s">
        <v>5019</v>
      </c>
      <c r="F313" t="s">
        <v>5019</v>
      </c>
      <c r="G313" t="s">
        <v>5022</v>
      </c>
      <c r="H313" s="5" t="s">
        <v>5022</v>
      </c>
      <c r="I313" t="s">
        <v>5022</v>
      </c>
      <c r="J313" t="b">
        <f>AND(CCData[[#This Row],[Date]]&gt;=Calculation!$E$3,CCData[[#This Row],[Date]]&lt;Calculation!$E$3+7)</f>
        <v>0</v>
      </c>
    </row>
    <row r="314" spans="1:10">
      <c r="A314" t="s">
        <v>313</v>
      </c>
      <c r="B314" s="2">
        <v>42010.586000000003</v>
      </c>
      <c r="C314" s="3" t="s">
        <v>5008</v>
      </c>
      <c r="D314" t="s">
        <v>5014</v>
      </c>
      <c r="E314" t="s">
        <v>5018</v>
      </c>
      <c r="F314" t="s">
        <v>5018</v>
      </c>
      <c r="G314">
        <v>19</v>
      </c>
      <c r="H314" s="5">
        <v>6.3729501834975636E-4</v>
      </c>
      <c r="I314">
        <v>1</v>
      </c>
      <c r="J314" t="b">
        <f>AND(CCData[[#This Row],[Date]]&gt;=Calculation!$E$3,CCData[[#This Row],[Date]]&lt;Calculation!$E$3+7)</f>
        <v>0</v>
      </c>
    </row>
    <row r="315" spans="1:10">
      <c r="A315" t="s">
        <v>314</v>
      </c>
      <c r="B315" s="2">
        <v>42010.586000000003</v>
      </c>
      <c r="C315" s="3" t="s">
        <v>5006</v>
      </c>
      <c r="D315" t="s">
        <v>5014</v>
      </c>
      <c r="E315" t="s">
        <v>5018</v>
      </c>
      <c r="F315" t="s">
        <v>5018</v>
      </c>
      <c r="G315">
        <v>71</v>
      </c>
      <c r="H315" s="5">
        <v>1.8119149779671885E-3</v>
      </c>
      <c r="I315">
        <v>4</v>
      </c>
      <c r="J315" t="b">
        <f>AND(CCData[[#This Row],[Date]]&gt;=Calculation!$E$3,CCData[[#This Row],[Date]]&lt;Calculation!$E$3+7)</f>
        <v>0</v>
      </c>
    </row>
    <row r="316" spans="1:10">
      <c r="A316" t="s">
        <v>315</v>
      </c>
      <c r="B316" s="2">
        <v>42010.593000000001</v>
      </c>
      <c r="C316" s="3" t="s">
        <v>5008</v>
      </c>
      <c r="D316" t="s">
        <v>5013</v>
      </c>
      <c r="E316" t="s">
        <v>5018</v>
      </c>
      <c r="F316" t="s">
        <v>5018</v>
      </c>
      <c r="G316">
        <v>24</v>
      </c>
      <c r="H316" s="5">
        <v>3.4658739705145983E-3</v>
      </c>
      <c r="I316">
        <v>1</v>
      </c>
      <c r="J316" t="b">
        <f>AND(CCData[[#This Row],[Date]]&gt;=Calculation!$E$3,CCData[[#This Row],[Date]]&lt;Calculation!$E$3+7)</f>
        <v>0</v>
      </c>
    </row>
    <row r="317" spans="1:10">
      <c r="A317" t="s">
        <v>316</v>
      </c>
      <c r="B317" s="2">
        <v>42010.593000000001</v>
      </c>
      <c r="C317" s="3" t="s">
        <v>5009</v>
      </c>
      <c r="D317" t="s">
        <v>5013</v>
      </c>
      <c r="E317" t="s">
        <v>5018</v>
      </c>
      <c r="F317" t="s">
        <v>5018</v>
      </c>
      <c r="G317">
        <v>67</v>
      </c>
      <c r="H317" s="5">
        <v>3.8832808573865205E-3</v>
      </c>
      <c r="I317">
        <v>1</v>
      </c>
      <c r="J317" t="b">
        <f>AND(CCData[[#This Row],[Date]]&gt;=Calculation!$E$3,CCData[[#This Row],[Date]]&lt;Calculation!$E$3+7)</f>
        <v>0</v>
      </c>
    </row>
    <row r="318" spans="1:10">
      <c r="A318" t="s">
        <v>317</v>
      </c>
      <c r="B318" s="2">
        <v>42010.606</v>
      </c>
      <c r="C318" s="3" t="s">
        <v>5009</v>
      </c>
      <c r="D318" t="s">
        <v>5016</v>
      </c>
      <c r="E318" t="s">
        <v>5018</v>
      </c>
      <c r="F318" t="s">
        <v>5019</v>
      </c>
      <c r="G318">
        <v>57</v>
      </c>
      <c r="H318" s="5">
        <v>2.9400943731312753E-3</v>
      </c>
      <c r="I318">
        <v>3</v>
      </c>
      <c r="J318" t="b">
        <f>AND(CCData[[#This Row],[Date]]&gt;=Calculation!$E$3,CCData[[#This Row],[Date]]&lt;Calculation!$E$3+7)</f>
        <v>0</v>
      </c>
    </row>
    <row r="319" spans="1:10">
      <c r="A319" t="s">
        <v>318</v>
      </c>
      <c r="B319" s="2">
        <v>42010.606</v>
      </c>
      <c r="C319" s="3" t="s">
        <v>5003</v>
      </c>
      <c r="D319" t="s">
        <v>5016</v>
      </c>
      <c r="E319" t="s">
        <v>5018</v>
      </c>
      <c r="F319" t="s">
        <v>5018</v>
      </c>
      <c r="G319">
        <v>108</v>
      </c>
      <c r="H319" s="5">
        <v>3.5039144918613927E-3</v>
      </c>
      <c r="I319">
        <v>4</v>
      </c>
      <c r="J319" t="b">
        <f>AND(CCData[[#This Row],[Date]]&gt;=Calculation!$E$3,CCData[[#This Row],[Date]]&lt;Calculation!$E$3+7)</f>
        <v>0</v>
      </c>
    </row>
    <row r="320" spans="1:10">
      <c r="A320" t="s">
        <v>319</v>
      </c>
      <c r="B320" s="2">
        <v>42010.623</v>
      </c>
      <c r="C320" s="3" t="s">
        <v>5005</v>
      </c>
      <c r="D320" t="s">
        <v>5014</v>
      </c>
      <c r="E320" t="s">
        <v>5018</v>
      </c>
      <c r="F320" t="s">
        <v>5018</v>
      </c>
      <c r="G320">
        <v>99</v>
      </c>
      <c r="H320" s="5">
        <v>2.8723754536772641E-3</v>
      </c>
      <c r="I320">
        <v>4</v>
      </c>
      <c r="J320" t="b">
        <f>AND(CCData[[#This Row],[Date]]&gt;=Calculation!$E$3,CCData[[#This Row],[Date]]&lt;Calculation!$E$3+7)</f>
        <v>0</v>
      </c>
    </row>
    <row r="321" spans="1:10">
      <c r="A321" t="s">
        <v>320</v>
      </c>
      <c r="B321" s="2">
        <v>42010.623</v>
      </c>
      <c r="C321" s="3" t="s">
        <v>5005</v>
      </c>
      <c r="D321" t="s">
        <v>5014</v>
      </c>
      <c r="E321" t="s">
        <v>5018</v>
      </c>
      <c r="F321" t="s">
        <v>5018</v>
      </c>
      <c r="G321">
        <v>56</v>
      </c>
      <c r="H321" s="5">
        <v>3.3833261457879809E-3</v>
      </c>
      <c r="I321">
        <v>1</v>
      </c>
      <c r="J321" t="b">
        <f>AND(CCData[[#This Row],[Date]]&gt;=Calculation!$E$3,CCData[[#This Row],[Date]]&lt;Calculation!$E$3+7)</f>
        <v>0</v>
      </c>
    </row>
    <row r="322" spans="1:10">
      <c r="A322" t="s">
        <v>321</v>
      </c>
      <c r="B322" s="2">
        <v>42010.627</v>
      </c>
      <c r="C322" s="3" t="s">
        <v>5005</v>
      </c>
      <c r="D322" t="s">
        <v>5014</v>
      </c>
      <c r="E322" t="s">
        <v>5018</v>
      </c>
      <c r="F322" t="s">
        <v>5018</v>
      </c>
      <c r="G322">
        <v>121</v>
      </c>
      <c r="H322" s="5">
        <v>2.7380475968844143E-3</v>
      </c>
      <c r="I322">
        <v>3</v>
      </c>
      <c r="J322" t="b">
        <f>AND(CCData[[#This Row],[Date]]&gt;=Calculation!$E$3,CCData[[#This Row],[Date]]&lt;Calculation!$E$3+7)</f>
        <v>0</v>
      </c>
    </row>
    <row r="323" spans="1:10">
      <c r="A323" t="s">
        <v>322</v>
      </c>
      <c r="B323" s="2">
        <v>42010.627</v>
      </c>
      <c r="C323" s="3" t="s">
        <v>5006</v>
      </c>
      <c r="D323" t="s">
        <v>5015</v>
      </c>
      <c r="E323" t="s">
        <v>5019</v>
      </c>
      <c r="F323" t="s">
        <v>5019</v>
      </c>
      <c r="G323" t="s">
        <v>5022</v>
      </c>
      <c r="H323" s="5" t="s">
        <v>5022</v>
      </c>
      <c r="I323" t="s">
        <v>5022</v>
      </c>
      <c r="J323" t="b">
        <f>AND(CCData[[#This Row],[Date]]&gt;=Calculation!$E$3,CCData[[#This Row],[Date]]&lt;Calculation!$E$3+7)</f>
        <v>0</v>
      </c>
    </row>
    <row r="324" spans="1:10">
      <c r="A324" t="s">
        <v>323</v>
      </c>
      <c r="B324" s="2">
        <v>42010.633999999998</v>
      </c>
      <c r="C324" s="3" t="s">
        <v>5008</v>
      </c>
      <c r="D324" t="s">
        <v>5012</v>
      </c>
      <c r="E324" t="s">
        <v>5018</v>
      </c>
      <c r="F324" t="s">
        <v>5018</v>
      </c>
      <c r="G324">
        <v>72</v>
      </c>
      <c r="H324" s="5">
        <v>4.1642794277632778E-3</v>
      </c>
      <c r="I324">
        <v>1</v>
      </c>
      <c r="J324" t="b">
        <f>AND(CCData[[#This Row],[Date]]&gt;=Calculation!$E$3,CCData[[#This Row],[Date]]&lt;Calculation!$E$3+7)</f>
        <v>0</v>
      </c>
    </row>
    <row r="325" spans="1:10">
      <c r="A325" t="s">
        <v>324</v>
      </c>
      <c r="B325" s="2">
        <v>42010.633999999998</v>
      </c>
      <c r="C325" s="3" t="s">
        <v>5006</v>
      </c>
      <c r="D325" t="s">
        <v>5012</v>
      </c>
      <c r="E325" t="s">
        <v>5018</v>
      </c>
      <c r="F325" t="s">
        <v>5018</v>
      </c>
      <c r="G325">
        <v>54</v>
      </c>
      <c r="H325" s="5">
        <v>4.3356257556172928E-3</v>
      </c>
      <c r="I325">
        <v>4</v>
      </c>
      <c r="J325" t="b">
        <f>AND(CCData[[#This Row],[Date]]&gt;=Calculation!$E$3,CCData[[#This Row],[Date]]&lt;Calculation!$E$3+7)</f>
        <v>0</v>
      </c>
    </row>
    <row r="326" spans="1:10">
      <c r="A326" t="s">
        <v>325</v>
      </c>
      <c r="B326" s="2">
        <v>42010.678999999996</v>
      </c>
      <c r="C326" s="3" t="s">
        <v>5009</v>
      </c>
      <c r="D326" t="s">
        <v>5015</v>
      </c>
      <c r="E326" t="s">
        <v>5018</v>
      </c>
      <c r="F326" t="s">
        <v>5018</v>
      </c>
      <c r="G326">
        <v>30</v>
      </c>
      <c r="H326" s="5">
        <v>3.1920042930608738E-3</v>
      </c>
      <c r="I326">
        <v>3</v>
      </c>
      <c r="J326" t="b">
        <f>AND(CCData[[#This Row],[Date]]&gt;=Calculation!$E$3,CCData[[#This Row],[Date]]&lt;Calculation!$E$3+7)</f>
        <v>0</v>
      </c>
    </row>
    <row r="327" spans="1:10">
      <c r="A327" t="s">
        <v>326</v>
      </c>
      <c r="B327" s="2">
        <v>42010.678999999996</v>
      </c>
      <c r="C327" s="3" t="s">
        <v>5007</v>
      </c>
      <c r="D327" t="s">
        <v>5014</v>
      </c>
      <c r="E327" t="s">
        <v>5018</v>
      </c>
      <c r="F327" t="s">
        <v>5018</v>
      </c>
      <c r="G327">
        <v>44</v>
      </c>
      <c r="H327" s="5">
        <v>7.3788121306596116E-4</v>
      </c>
      <c r="I327">
        <v>2</v>
      </c>
      <c r="J327" t="b">
        <f>AND(CCData[[#This Row],[Date]]&gt;=Calculation!$E$3,CCData[[#This Row],[Date]]&lt;Calculation!$E$3+7)</f>
        <v>0</v>
      </c>
    </row>
    <row r="328" spans="1:10">
      <c r="A328" t="s">
        <v>327</v>
      </c>
      <c r="B328" s="2">
        <v>42010.682000000001</v>
      </c>
      <c r="C328" s="3" t="s">
        <v>5006</v>
      </c>
      <c r="D328" t="s">
        <v>5014</v>
      </c>
      <c r="E328" t="s">
        <v>5018</v>
      </c>
      <c r="F328" t="s">
        <v>5019</v>
      </c>
      <c r="G328">
        <v>97</v>
      </c>
      <c r="H328" s="5">
        <v>1.3621929775497034E-3</v>
      </c>
      <c r="I328">
        <v>4</v>
      </c>
      <c r="J328" t="b">
        <f>AND(CCData[[#This Row],[Date]]&gt;=Calculation!$E$3,CCData[[#This Row],[Date]]&lt;Calculation!$E$3+7)</f>
        <v>0</v>
      </c>
    </row>
    <row r="329" spans="1:10">
      <c r="A329" t="s">
        <v>328</v>
      </c>
      <c r="B329" s="2">
        <v>42010.682000000001</v>
      </c>
      <c r="C329" s="3" t="s">
        <v>5007</v>
      </c>
      <c r="D329" t="s">
        <v>5016</v>
      </c>
      <c r="E329" t="s">
        <v>5018</v>
      </c>
      <c r="F329" t="s">
        <v>5018</v>
      </c>
      <c r="G329">
        <v>47</v>
      </c>
      <c r="H329" s="5">
        <v>1.2610641170515715E-3</v>
      </c>
      <c r="I329">
        <v>3</v>
      </c>
      <c r="J329" t="b">
        <f>AND(CCData[[#This Row],[Date]]&gt;=Calculation!$E$3,CCData[[#This Row],[Date]]&lt;Calculation!$E$3+7)</f>
        <v>0</v>
      </c>
    </row>
    <row r="330" spans="1:10">
      <c r="A330" t="s">
        <v>329</v>
      </c>
      <c r="B330" s="2">
        <v>42010.686000000002</v>
      </c>
      <c r="C330" s="3" t="s">
        <v>5010</v>
      </c>
      <c r="D330" t="s">
        <v>5016</v>
      </c>
      <c r="E330" t="s">
        <v>5018</v>
      </c>
      <c r="F330" t="s">
        <v>5018</v>
      </c>
      <c r="G330">
        <v>53</v>
      </c>
      <c r="H330" s="5">
        <v>1.1870833521004595E-3</v>
      </c>
      <c r="I330">
        <v>3</v>
      </c>
      <c r="J330" t="b">
        <f>AND(CCData[[#This Row],[Date]]&gt;=Calculation!$E$3,CCData[[#This Row],[Date]]&lt;Calculation!$E$3+7)</f>
        <v>0</v>
      </c>
    </row>
    <row r="331" spans="1:10">
      <c r="A331" t="s">
        <v>330</v>
      </c>
      <c r="B331" s="2">
        <v>42010.686000000002</v>
      </c>
      <c r="C331" s="3" t="s">
        <v>5010</v>
      </c>
      <c r="D331" t="s">
        <v>5012</v>
      </c>
      <c r="E331" t="s">
        <v>5019</v>
      </c>
      <c r="F331" t="s">
        <v>5019</v>
      </c>
      <c r="G331" t="s">
        <v>5022</v>
      </c>
      <c r="H331" s="5" t="s">
        <v>5022</v>
      </c>
      <c r="I331" t="s">
        <v>5022</v>
      </c>
      <c r="J331" t="b">
        <f>AND(CCData[[#This Row],[Date]]&gt;=Calculation!$E$3,CCData[[#This Row],[Date]]&lt;Calculation!$E$3+7)</f>
        <v>0</v>
      </c>
    </row>
    <row r="332" spans="1:10">
      <c r="A332" t="s">
        <v>331</v>
      </c>
      <c r="B332" s="2">
        <v>42010.690999999999</v>
      </c>
      <c r="C332" s="3" t="s">
        <v>5009</v>
      </c>
      <c r="D332" t="s">
        <v>5014</v>
      </c>
      <c r="E332" t="s">
        <v>5019</v>
      </c>
      <c r="F332" t="s">
        <v>5019</v>
      </c>
      <c r="G332" t="s">
        <v>5022</v>
      </c>
      <c r="H332" s="5" t="s">
        <v>5022</v>
      </c>
      <c r="I332" t="s">
        <v>5022</v>
      </c>
      <c r="J332" t="b">
        <f>AND(CCData[[#This Row],[Date]]&gt;=Calculation!$E$3,CCData[[#This Row],[Date]]&lt;Calculation!$E$3+7)</f>
        <v>0</v>
      </c>
    </row>
    <row r="333" spans="1:10">
      <c r="A333" t="s">
        <v>332</v>
      </c>
      <c r="B333" s="2">
        <v>42010.690999999999</v>
      </c>
      <c r="C333" s="3" t="s">
        <v>5007</v>
      </c>
      <c r="D333" t="s">
        <v>5016</v>
      </c>
      <c r="E333" t="s">
        <v>5019</v>
      </c>
      <c r="F333" t="s">
        <v>5019</v>
      </c>
      <c r="G333" t="s">
        <v>5022</v>
      </c>
      <c r="H333" s="5" t="s">
        <v>5022</v>
      </c>
      <c r="I333" t="s">
        <v>5022</v>
      </c>
      <c r="J333" t="b">
        <f>AND(CCData[[#This Row],[Date]]&gt;=Calculation!$E$3,CCData[[#This Row],[Date]]&lt;Calculation!$E$3+7)</f>
        <v>0</v>
      </c>
    </row>
    <row r="334" spans="1:10">
      <c r="A334" t="s">
        <v>333</v>
      </c>
      <c r="B334" s="2">
        <v>42010.694000000003</v>
      </c>
      <c r="C334" s="3" t="s">
        <v>5005</v>
      </c>
      <c r="D334" t="s">
        <v>5015</v>
      </c>
      <c r="E334" t="s">
        <v>5018</v>
      </c>
      <c r="F334" t="s">
        <v>5018</v>
      </c>
      <c r="G334">
        <v>81</v>
      </c>
      <c r="H334" s="5">
        <v>2.599002372846681E-3</v>
      </c>
      <c r="I334">
        <v>3</v>
      </c>
      <c r="J334" t="b">
        <f>AND(CCData[[#This Row],[Date]]&gt;=Calculation!$E$3,CCData[[#This Row],[Date]]&lt;Calculation!$E$3+7)</f>
        <v>0</v>
      </c>
    </row>
    <row r="335" spans="1:10">
      <c r="A335" t="s">
        <v>334</v>
      </c>
      <c r="B335" s="2">
        <v>42010.694000000003</v>
      </c>
      <c r="C335" s="3" t="s">
        <v>5003</v>
      </c>
      <c r="D335" t="s">
        <v>5012</v>
      </c>
      <c r="E335" t="s">
        <v>5018</v>
      </c>
      <c r="F335" t="s">
        <v>5018</v>
      </c>
      <c r="G335">
        <v>11</v>
      </c>
      <c r="H335" s="5">
        <v>3.9704560141813584E-4</v>
      </c>
      <c r="I335">
        <v>4</v>
      </c>
      <c r="J335" t="b">
        <f>AND(CCData[[#This Row],[Date]]&gt;=Calculation!$E$3,CCData[[#This Row],[Date]]&lt;Calculation!$E$3+7)</f>
        <v>0</v>
      </c>
    </row>
    <row r="336" spans="1:10">
      <c r="A336" t="s">
        <v>335</v>
      </c>
      <c r="B336" s="2">
        <v>42010.709000000003</v>
      </c>
      <c r="C336" s="3" t="s">
        <v>5009</v>
      </c>
      <c r="D336" t="s">
        <v>5014</v>
      </c>
      <c r="E336" t="s">
        <v>5018</v>
      </c>
      <c r="F336" t="s">
        <v>5018</v>
      </c>
      <c r="G336">
        <v>48</v>
      </c>
      <c r="H336" s="5">
        <v>6.086971819878734E-4</v>
      </c>
      <c r="I336">
        <v>5</v>
      </c>
      <c r="J336" t="b">
        <f>AND(CCData[[#This Row],[Date]]&gt;=Calculation!$E$3,CCData[[#This Row],[Date]]&lt;Calculation!$E$3+7)</f>
        <v>0</v>
      </c>
    </row>
    <row r="337" spans="1:10">
      <c r="A337" t="s">
        <v>336</v>
      </c>
      <c r="B337" s="2">
        <v>42010.709000000003</v>
      </c>
      <c r="C337" s="3" t="s">
        <v>5005</v>
      </c>
      <c r="D337" t="s">
        <v>5012</v>
      </c>
      <c r="E337" t="s">
        <v>5018</v>
      </c>
      <c r="F337" t="s">
        <v>5018</v>
      </c>
      <c r="G337">
        <v>37</v>
      </c>
      <c r="H337" s="5">
        <v>4.7934618707425299E-3</v>
      </c>
      <c r="I337">
        <v>5</v>
      </c>
      <c r="J337" t="b">
        <f>AND(CCData[[#This Row],[Date]]&gt;=Calculation!$E$3,CCData[[#This Row],[Date]]&lt;Calculation!$E$3+7)</f>
        <v>0</v>
      </c>
    </row>
    <row r="338" spans="1:10">
      <c r="A338" t="s">
        <v>337</v>
      </c>
      <c r="B338" s="2">
        <v>42010.722000000002</v>
      </c>
      <c r="C338" s="3" t="s">
        <v>5009</v>
      </c>
      <c r="D338" t="s">
        <v>5013</v>
      </c>
      <c r="E338" t="s">
        <v>5018</v>
      </c>
      <c r="F338" t="s">
        <v>5018</v>
      </c>
      <c r="G338">
        <v>115</v>
      </c>
      <c r="H338" s="5">
        <v>1.781995639443872E-3</v>
      </c>
      <c r="I338">
        <v>4</v>
      </c>
      <c r="J338" t="b">
        <f>AND(CCData[[#This Row],[Date]]&gt;=Calculation!$E$3,CCData[[#This Row],[Date]]&lt;Calculation!$E$3+7)</f>
        <v>0</v>
      </c>
    </row>
    <row r="339" spans="1:10">
      <c r="A339" t="s">
        <v>338</v>
      </c>
      <c r="B339" s="2">
        <v>42010.722000000002</v>
      </c>
      <c r="C339" s="3" t="s">
        <v>5006</v>
      </c>
      <c r="D339" t="s">
        <v>5014</v>
      </c>
      <c r="E339" t="s">
        <v>5018</v>
      </c>
      <c r="F339" t="s">
        <v>5018</v>
      </c>
      <c r="G339">
        <v>81</v>
      </c>
      <c r="H339" s="5">
        <v>6.1775173766232395E-4</v>
      </c>
      <c r="I339">
        <v>4</v>
      </c>
      <c r="J339" t="b">
        <f>AND(CCData[[#This Row],[Date]]&gt;=Calculation!$E$3,CCData[[#This Row],[Date]]&lt;Calculation!$E$3+7)</f>
        <v>0</v>
      </c>
    </row>
    <row r="340" spans="1:10">
      <c r="A340" t="s">
        <v>339</v>
      </c>
      <c r="B340" s="2">
        <v>42010.722999999998</v>
      </c>
      <c r="C340" s="3" t="s">
        <v>5004</v>
      </c>
      <c r="D340" t="s">
        <v>5012</v>
      </c>
      <c r="E340" t="s">
        <v>5019</v>
      </c>
      <c r="F340" t="s">
        <v>5019</v>
      </c>
      <c r="G340" t="s">
        <v>5022</v>
      </c>
      <c r="H340" s="5" t="s">
        <v>5022</v>
      </c>
      <c r="I340" t="s">
        <v>5022</v>
      </c>
      <c r="J340" t="b">
        <f>AND(CCData[[#This Row],[Date]]&gt;=Calculation!$E$3,CCData[[#This Row],[Date]]&lt;Calculation!$E$3+7)</f>
        <v>0</v>
      </c>
    </row>
    <row r="341" spans="1:10">
      <c r="A341" t="s">
        <v>340</v>
      </c>
      <c r="B341" s="2">
        <v>42010.722999999998</v>
      </c>
      <c r="C341" s="3" t="s">
        <v>5007</v>
      </c>
      <c r="D341" t="s">
        <v>5015</v>
      </c>
      <c r="E341" t="s">
        <v>5018</v>
      </c>
      <c r="F341" t="s">
        <v>5018</v>
      </c>
      <c r="G341">
        <v>12</v>
      </c>
      <c r="H341" s="5">
        <v>2.221072897167956E-3</v>
      </c>
      <c r="I341">
        <v>5</v>
      </c>
      <c r="J341" t="b">
        <f>AND(CCData[[#This Row],[Date]]&gt;=Calculation!$E$3,CCData[[#This Row],[Date]]&lt;Calculation!$E$3+7)</f>
        <v>0</v>
      </c>
    </row>
    <row r="342" spans="1:10">
      <c r="A342" t="s">
        <v>341</v>
      </c>
      <c r="B342" s="2">
        <v>42010.724000000002</v>
      </c>
      <c r="C342" s="3" t="s">
        <v>5005</v>
      </c>
      <c r="D342" t="s">
        <v>5015</v>
      </c>
      <c r="E342" t="s">
        <v>5018</v>
      </c>
      <c r="F342" t="s">
        <v>5018</v>
      </c>
      <c r="G342">
        <v>75</v>
      </c>
      <c r="H342" s="5">
        <v>1.9782869840138445E-3</v>
      </c>
      <c r="I342">
        <v>3</v>
      </c>
      <c r="J342" t="b">
        <f>AND(CCData[[#This Row],[Date]]&gt;=Calculation!$E$3,CCData[[#This Row],[Date]]&lt;Calculation!$E$3+7)</f>
        <v>0</v>
      </c>
    </row>
    <row r="343" spans="1:10">
      <c r="A343" t="s">
        <v>342</v>
      </c>
      <c r="B343" s="2">
        <v>42010.724000000002</v>
      </c>
      <c r="C343" s="3" t="s">
        <v>5007</v>
      </c>
      <c r="D343" t="s">
        <v>5012</v>
      </c>
      <c r="E343" t="s">
        <v>5018</v>
      </c>
      <c r="F343" t="s">
        <v>5018</v>
      </c>
      <c r="G343">
        <v>42</v>
      </c>
      <c r="H343" s="5">
        <v>8.884200178453334E-4</v>
      </c>
      <c r="I343">
        <v>4</v>
      </c>
      <c r="J343" t="b">
        <f>AND(CCData[[#This Row],[Date]]&gt;=Calculation!$E$3,CCData[[#This Row],[Date]]&lt;Calculation!$E$3+7)</f>
        <v>0</v>
      </c>
    </row>
    <row r="344" spans="1:10">
      <c r="A344" t="s">
        <v>343</v>
      </c>
      <c r="B344" s="2">
        <v>42010.724999999999</v>
      </c>
      <c r="C344" s="3" t="s">
        <v>5006</v>
      </c>
      <c r="D344" t="s">
        <v>5015</v>
      </c>
      <c r="E344" t="s">
        <v>5018</v>
      </c>
      <c r="F344" t="s">
        <v>5018</v>
      </c>
      <c r="G344">
        <v>96</v>
      </c>
      <c r="H344" s="5">
        <v>1.2187851060342563E-3</v>
      </c>
      <c r="I344">
        <v>5</v>
      </c>
      <c r="J344" t="b">
        <f>AND(CCData[[#This Row],[Date]]&gt;=Calculation!$E$3,CCData[[#This Row],[Date]]&lt;Calculation!$E$3+7)</f>
        <v>0</v>
      </c>
    </row>
    <row r="345" spans="1:10">
      <c r="A345" t="s">
        <v>344</v>
      </c>
      <c r="B345" s="2">
        <v>42010.724999999999</v>
      </c>
      <c r="C345" s="3" t="s">
        <v>5005</v>
      </c>
      <c r="D345" t="s">
        <v>5014</v>
      </c>
      <c r="E345" t="s">
        <v>5018</v>
      </c>
      <c r="F345" t="s">
        <v>5018</v>
      </c>
      <c r="G345">
        <v>58</v>
      </c>
      <c r="H345" s="5">
        <v>1.2819077573550748E-3</v>
      </c>
      <c r="I345">
        <v>5</v>
      </c>
      <c r="J345" t="b">
        <f>AND(CCData[[#This Row],[Date]]&gt;=Calculation!$E$3,CCData[[#This Row],[Date]]&lt;Calculation!$E$3+7)</f>
        <v>0</v>
      </c>
    </row>
    <row r="346" spans="1:10">
      <c r="A346" t="s">
        <v>345</v>
      </c>
      <c r="B346" s="2">
        <v>42011.377999999997</v>
      </c>
      <c r="C346" s="3" t="s">
        <v>5010</v>
      </c>
      <c r="D346" t="s">
        <v>5012</v>
      </c>
      <c r="E346" t="s">
        <v>5018</v>
      </c>
      <c r="F346" t="s">
        <v>5018</v>
      </c>
      <c r="G346">
        <v>62</v>
      </c>
      <c r="H346" s="5">
        <v>3.6623252520911701E-3</v>
      </c>
      <c r="I346">
        <v>5</v>
      </c>
      <c r="J346" t="b">
        <f>AND(CCData[[#This Row],[Date]]&gt;=Calculation!$E$3,CCData[[#This Row],[Date]]&lt;Calculation!$E$3+7)</f>
        <v>0</v>
      </c>
    </row>
    <row r="347" spans="1:10">
      <c r="A347" t="s">
        <v>346</v>
      </c>
      <c r="B347" s="2">
        <v>42011.377999999997</v>
      </c>
      <c r="C347" s="3" t="s">
        <v>5006</v>
      </c>
      <c r="D347" t="s">
        <v>5014</v>
      </c>
      <c r="E347" t="s">
        <v>5018</v>
      </c>
      <c r="F347" t="s">
        <v>5018</v>
      </c>
      <c r="G347">
        <v>74</v>
      </c>
      <c r="H347" s="5">
        <v>1.506658306684189E-3</v>
      </c>
      <c r="I347">
        <v>5</v>
      </c>
      <c r="J347" t="b">
        <f>AND(CCData[[#This Row],[Date]]&gt;=Calculation!$E$3,CCData[[#This Row],[Date]]&lt;Calculation!$E$3+7)</f>
        <v>0</v>
      </c>
    </row>
    <row r="348" spans="1:10">
      <c r="A348" t="s">
        <v>347</v>
      </c>
      <c r="B348" s="2">
        <v>42011.38</v>
      </c>
      <c r="C348" s="3" t="s">
        <v>5004</v>
      </c>
      <c r="D348" t="s">
        <v>5013</v>
      </c>
      <c r="E348" t="s">
        <v>5018</v>
      </c>
      <c r="F348" t="s">
        <v>5018</v>
      </c>
      <c r="G348">
        <v>26</v>
      </c>
      <c r="H348" s="5">
        <v>8.1513462283883998E-4</v>
      </c>
      <c r="I348">
        <v>3</v>
      </c>
      <c r="J348" t="b">
        <f>AND(CCData[[#This Row],[Date]]&gt;=Calculation!$E$3,CCData[[#This Row],[Date]]&lt;Calculation!$E$3+7)</f>
        <v>0</v>
      </c>
    </row>
    <row r="349" spans="1:10">
      <c r="A349" t="s">
        <v>348</v>
      </c>
      <c r="B349" s="2">
        <v>42011.38</v>
      </c>
      <c r="C349" s="3" t="s">
        <v>5003</v>
      </c>
      <c r="D349" t="s">
        <v>5013</v>
      </c>
      <c r="E349" t="s">
        <v>5019</v>
      </c>
      <c r="F349" t="s">
        <v>5019</v>
      </c>
      <c r="G349" t="s">
        <v>5022</v>
      </c>
      <c r="H349" s="5" t="s">
        <v>5022</v>
      </c>
      <c r="I349" t="s">
        <v>5022</v>
      </c>
      <c r="J349" t="b">
        <f>AND(CCData[[#This Row],[Date]]&gt;=Calculation!$E$3,CCData[[#This Row],[Date]]&lt;Calculation!$E$3+7)</f>
        <v>0</v>
      </c>
    </row>
    <row r="350" spans="1:10">
      <c r="A350" t="s">
        <v>349</v>
      </c>
      <c r="B350" s="2">
        <v>42011.389000000003</v>
      </c>
      <c r="C350" s="3" t="s">
        <v>5008</v>
      </c>
      <c r="D350" t="s">
        <v>5013</v>
      </c>
      <c r="E350" t="s">
        <v>5018</v>
      </c>
      <c r="F350" t="s">
        <v>5018</v>
      </c>
      <c r="G350">
        <v>40</v>
      </c>
      <c r="H350" s="5">
        <v>3.5648590801301882E-3</v>
      </c>
      <c r="I350">
        <v>2</v>
      </c>
      <c r="J350" t="b">
        <f>AND(CCData[[#This Row],[Date]]&gt;=Calculation!$E$3,CCData[[#This Row],[Date]]&lt;Calculation!$E$3+7)</f>
        <v>0</v>
      </c>
    </row>
    <row r="351" spans="1:10">
      <c r="A351" t="s">
        <v>350</v>
      </c>
      <c r="B351" s="2">
        <v>42011.389000000003</v>
      </c>
      <c r="C351" s="3" t="s">
        <v>5008</v>
      </c>
      <c r="D351" t="s">
        <v>5016</v>
      </c>
      <c r="E351" t="s">
        <v>5018</v>
      </c>
      <c r="F351" t="s">
        <v>5018</v>
      </c>
      <c r="G351">
        <v>12</v>
      </c>
      <c r="H351" s="5">
        <v>3.4058549766547096E-3</v>
      </c>
      <c r="I351">
        <v>3</v>
      </c>
      <c r="J351" t="b">
        <f>AND(CCData[[#This Row],[Date]]&gt;=Calculation!$E$3,CCData[[#This Row],[Date]]&lt;Calculation!$E$3+7)</f>
        <v>0</v>
      </c>
    </row>
    <row r="352" spans="1:10">
      <c r="A352" t="s">
        <v>351</v>
      </c>
      <c r="B352" s="2">
        <v>42011.427000000003</v>
      </c>
      <c r="C352" s="3" t="s">
        <v>5008</v>
      </c>
      <c r="D352" t="s">
        <v>5012</v>
      </c>
      <c r="E352" t="s">
        <v>5018</v>
      </c>
      <c r="F352" t="s">
        <v>5018</v>
      </c>
      <c r="G352">
        <v>114</v>
      </c>
      <c r="H352" s="5">
        <v>2.5596564505375821E-3</v>
      </c>
      <c r="I352">
        <v>5</v>
      </c>
      <c r="J352" t="b">
        <f>AND(CCData[[#This Row],[Date]]&gt;=Calculation!$E$3,CCData[[#This Row],[Date]]&lt;Calculation!$E$3+7)</f>
        <v>0</v>
      </c>
    </row>
    <row r="353" spans="1:10">
      <c r="A353" t="s">
        <v>352</v>
      </c>
      <c r="B353" s="2">
        <v>42011.427000000003</v>
      </c>
      <c r="C353" s="3" t="s">
        <v>5004</v>
      </c>
      <c r="D353" t="s">
        <v>5012</v>
      </c>
      <c r="E353" t="s">
        <v>5018</v>
      </c>
      <c r="F353" t="s">
        <v>5018</v>
      </c>
      <c r="G353">
        <v>85</v>
      </c>
      <c r="H353" s="5">
        <v>2.4169128021110549E-3</v>
      </c>
      <c r="I353">
        <v>4</v>
      </c>
      <c r="J353" t="b">
        <f>AND(CCData[[#This Row],[Date]]&gt;=Calculation!$E$3,CCData[[#This Row],[Date]]&lt;Calculation!$E$3+7)</f>
        <v>0</v>
      </c>
    </row>
    <row r="354" spans="1:10">
      <c r="A354" t="s">
        <v>353</v>
      </c>
      <c r="B354" s="2">
        <v>42011.432999999997</v>
      </c>
      <c r="C354" s="3" t="s">
        <v>5003</v>
      </c>
      <c r="D354" t="s">
        <v>5015</v>
      </c>
      <c r="E354" t="s">
        <v>5018</v>
      </c>
      <c r="F354" t="s">
        <v>5018</v>
      </c>
      <c r="G354">
        <v>52</v>
      </c>
      <c r="H354" s="5">
        <v>1.3280388617760402E-3</v>
      </c>
      <c r="I354">
        <v>5</v>
      </c>
      <c r="J354" t="b">
        <f>AND(CCData[[#This Row],[Date]]&gt;=Calculation!$E$3,CCData[[#This Row],[Date]]&lt;Calculation!$E$3+7)</f>
        <v>0</v>
      </c>
    </row>
    <row r="355" spans="1:10">
      <c r="A355" t="s">
        <v>354</v>
      </c>
      <c r="B355" s="2">
        <v>42011.432999999997</v>
      </c>
      <c r="C355" s="3" t="s">
        <v>5006</v>
      </c>
      <c r="D355" t="s">
        <v>5016</v>
      </c>
      <c r="E355" t="s">
        <v>5018</v>
      </c>
      <c r="F355" t="s">
        <v>5018</v>
      </c>
      <c r="G355">
        <v>60</v>
      </c>
      <c r="H355" s="5">
        <v>2.981058338860153E-3</v>
      </c>
      <c r="I355">
        <v>3</v>
      </c>
      <c r="J355" t="b">
        <f>AND(CCData[[#This Row],[Date]]&gt;=Calculation!$E$3,CCData[[#This Row],[Date]]&lt;Calculation!$E$3+7)</f>
        <v>0</v>
      </c>
    </row>
    <row r="356" spans="1:10">
      <c r="A356" t="s">
        <v>355</v>
      </c>
      <c r="B356" s="2">
        <v>42011.44</v>
      </c>
      <c r="C356" s="3" t="s">
        <v>5008</v>
      </c>
      <c r="D356" t="s">
        <v>5015</v>
      </c>
      <c r="E356" t="s">
        <v>5018</v>
      </c>
      <c r="F356" t="s">
        <v>5018</v>
      </c>
      <c r="G356">
        <v>76</v>
      </c>
      <c r="H356" s="5">
        <v>3.5534659422083634E-3</v>
      </c>
      <c r="I356">
        <v>4</v>
      </c>
      <c r="J356" t="b">
        <f>AND(CCData[[#This Row],[Date]]&gt;=Calculation!$E$3,CCData[[#This Row],[Date]]&lt;Calculation!$E$3+7)</f>
        <v>0</v>
      </c>
    </row>
    <row r="357" spans="1:10">
      <c r="A357" t="s">
        <v>356</v>
      </c>
      <c r="B357" s="2">
        <v>42011.44</v>
      </c>
      <c r="C357" s="3" t="s">
        <v>5005</v>
      </c>
      <c r="D357" t="s">
        <v>5012</v>
      </c>
      <c r="E357" t="s">
        <v>5019</v>
      </c>
      <c r="F357" t="s">
        <v>5019</v>
      </c>
      <c r="G357" t="s">
        <v>5022</v>
      </c>
      <c r="H357" s="5" t="s">
        <v>5022</v>
      </c>
      <c r="I357" t="s">
        <v>5022</v>
      </c>
      <c r="J357" t="b">
        <f>AND(CCData[[#This Row],[Date]]&gt;=Calculation!$E$3,CCData[[#This Row],[Date]]&lt;Calculation!$E$3+7)</f>
        <v>0</v>
      </c>
    </row>
    <row r="358" spans="1:10">
      <c r="A358" t="s">
        <v>357</v>
      </c>
      <c r="B358" s="2">
        <v>42011.45</v>
      </c>
      <c r="C358" s="3" t="s">
        <v>5004</v>
      </c>
      <c r="D358" t="s">
        <v>5016</v>
      </c>
      <c r="E358" t="s">
        <v>5019</v>
      </c>
      <c r="F358" t="s">
        <v>5019</v>
      </c>
      <c r="G358" t="s">
        <v>5022</v>
      </c>
      <c r="H358" s="5" t="s">
        <v>5022</v>
      </c>
      <c r="I358" t="s">
        <v>5022</v>
      </c>
      <c r="J358" t="b">
        <f>AND(CCData[[#This Row],[Date]]&gt;=Calculation!$E$3,CCData[[#This Row],[Date]]&lt;Calculation!$E$3+7)</f>
        <v>0</v>
      </c>
    </row>
    <row r="359" spans="1:10">
      <c r="A359" t="s">
        <v>358</v>
      </c>
      <c r="B359" s="2">
        <v>42011.45</v>
      </c>
      <c r="C359" s="3" t="s">
        <v>5008</v>
      </c>
      <c r="D359" t="s">
        <v>5016</v>
      </c>
      <c r="E359" t="s">
        <v>5018</v>
      </c>
      <c r="F359" t="s">
        <v>5018</v>
      </c>
      <c r="G359">
        <v>25</v>
      </c>
      <c r="H359" s="5">
        <v>9.3104319212208354E-4</v>
      </c>
      <c r="I359">
        <v>5</v>
      </c>
      <c r="J359" t="b">
        <f>AND(CCData[[#This Row],[Date]]&gt;=Calculation!$E$3,CCData[[#This Row],[Date]]&lt;Calculation!$E$3+7)</f>
        <v>0</v>
      </c>
    </row>
    <row r="360" spans="1:10">
      <c r="A360" t="s">
        <v>359</v>
      </c>
      <c r="B360" s="2">
        <v>42011.483999999997</v>
      </c>
      <c r="C360" s="3" t="s">
        <v>5006</v>
      </c>
      <c r="D360" t="s">
        <v>5016</v>
      </c>
      <c r="E360" t="s">
        <v>5018</v>
      </c>
      <c r="F360" t="s">
        <v>5018</v>
      </c>
      <c r="G360">
        <v>37</v>
      </c>
      <c r="H360" s="5">
        <v>1.7639482617193901E-3</v>
      </c>
      <c r="I360">
        <v>3</v>
      </c>
      <c r="J360" t="b">
        <f>AND(CCData[[#This Row],[Date]]&gt;=Calculation!$E$3,CCData[[#This Row],[Date]]&lt;Calculation!$E$3+7)</f>
        <v>0</v>
      </c>
    </row>
    <row r="361" spans="1:10">
      <c r="A361" t="s">
        <v>360</v>
      </c>
      <c r="B361" s="2">
        <v>42011.483999999997</v>
      </c>
      <c r="C361" s="3" t="s">
        <v>5010</v>
      </c>
      <c r="D361" t="s">
        <v>5015</v>
      </c>
      <c r="E361" t="s">
        <v>5018</v>
      </c>
      <c r="F361" t="s">
        <v>5018</v>
      </c>
      <c r="G361">
        <v>71</v>
      </c>
      <c r="H361" s="5">
        <v>3.9428702333275892E-3</v>
      </c>
      <c r="I361">
        <v>3</v>
      </c>
      <c r="J361" t="b">
        <f>AND(CCData[[#This Row],[Date]]&gt;=Calculation!$E$3,CCData[[#This Row],[Date]]&lt;Calculation!$E$3+7)</f>
        <v>0</v>
      </c>
    </row>
    <row r="362" spans="1:10">
      <c r="A362" t="s">
        <v>361</v>
      </c>
      <c r="B362" s="2">
        <v>42011.487999999998</v>
      </c>
      <c r="C362" s="3" t="s">
        <v>5007</v>
      </c>
      <c r="D362" t="s">
        <v>5015</v>
      </c>
      <c r="E362" t="s">
        <v>5018</v>
      </c>
      <c r="F362" t="s">
        <v>5018</v>
      </c>
      <c r="G362">
        <v>76</v>
      </c>
      <c r="H362" s="5">
        <v>3.2009179326102036E-3</v>
      </c>
      <c r="I362">
        <v>1</v>
      </c>
      <c r="J362" t="b">
        <f>AND(CCData[[#This Row],[Date]]&gt;=Calculation!$E$3,CCData[[#This Row],[Date]]&lt;Calculation!$E$3+7)</f>
        <v>0</v>
      </c>
    </row>
    <row r="363" spans="1:10">
      <c r="A363" t="s">
        <v>362</v>
      </c>
      <c r="B363" s="2">
        <v>42011.487999999998</v>
      </c>
      <c r="C363" s="3" t="s">
        <v>5005</v>
      </c>
      <c r="D363" t="s">
        <v>5013</v>
      </c>
      <c r="E363" t="s">
        <v>5018</v>
      </c>
      <c r="F363" t="s">
        <v>5018</v>
      </c>
      <c r="G363">
        <v>66</v>
      </c>
      <c r="H363" s="5">
        <v>4.7407000771045238E-3</v>
      </c>
      <c r="I363">
        <v>3</v>
      </c>
      <c r="J363" t="b">
        <f>AND(CCData[[#This Row],[Date]]&gt;=Calculation!$E$3,CCData[[#This Row],[Date]]&lt;Calculation!$E$3+7)</f>
        <v>0</v>
      </c>
    </row>
    <row r="364" spans="1:10">
      <c r="A364" t="s">
        <v>363</v>
      </c>
      <c r="B364" s="2">
        <v>42011.491000000002</v>
      </c>
      <c r="C364" s="3" t="s">
        <v>5003</v>
      </c>
      <c r="D364" t="s">
        <v>5015</v>
      </c>
      <c r="E364" t="s">
        <v>5018</v>
      </c>
      <c r="F364" t="s">
        <v>5018</v>
      </c>
      <c r="G364">
        <v>72</v>
      </c>
      <c r="H364" s="5">
        <v>2.3693819554292716E-3</v>
      </c>
      <c r="I364">
        <v>3</v>
      </c>
      <c r="J364" t="b">
        <f>AND(CCData[[#This Row],[Date]]&gt;=Calculation!$E$3,CCData[[#This Row],[Date]]&lt;Calculation!$E$3+7)</f>
        <v>0</v>
      </c>
    </row>
    <row r="365" spans="1:10">
      <c r="A365" t="s">
        <v>364</v>
      </c>
      <c r="B365" s="2">
        <v>42011.491000000002</v>
      </c>
      <c r="C365" s="3" t="s">
        <v>5007</v>
      </c>
      <c r="D365" t="s">
        <v>5015</v>
      </c>
      <c r="E365" t="s">
        <v>5018</v>
      </c>
      <c r="F365" t="s">
        <v>5018</v>
      </c>
      <c r="G365">
        <v>47</v>
      </c>
      <c r="H365" s="5">
        <v>4.5893519256345753E-3</v>
      </c>
      <c r="I365">
        <v>5</v>
      </c>
      <c r="J365" t="b">
        <f>AND(CCData[[#This Row],[Date]]&gt;=Calculation!$E$3,CCData[[#This Row],[Date]]&lt;Calculation!$E$3+7)</f>
        <v>0</v>
      </c>
    </row>
    <row r="366" spans="1:10">
      <c r="A366" t="s">
        <v>365</v>
      </c>
      <c r="B366" s="2">
        <v>42011.506000000001</v>
      </c>
      <c r="C366" s="3" t="s">
        <v>5007</v>
      </c>
      <c r="D366" t="s">
        <v>5014</v>
      </c>
      <c r="E366" t="s">
        <v>5019</v>
      </c>
      <c r="F366" t="s">
        <v>5019</v>
      </c>
      <c r="G366" t="s">
        <v>5022</v>
      </c>
      <c r="H366" s="5" t="s">
        <v>5022</v>
      </c>
      <c r="I366" t="s">
        <v>5022</v>
      </c>
      <c r="J366" t="b">
        <f>AND(CCData[[#This Row],[Date]]&gt;=Calculation!$E$3,CCData[[#This Row],[Date]]&lt;Calculation!$E$3+7)</f>
        <v>0</v>
      </c>
    </row>
    <row r="367" spans="1:10">
      <c r="A367" t="s">
        <v>366</v>
      </c>
      <c r="B367" s="2">
        <v>42011.506000000001</v>
      </c>
      <c r="C367" s="3" t="s">
        <v>5006</v>
      </c>
      <c r="D367" t="s">
        <v>5014</v>
      </c>
      <c r="E367" t="s">
        <v>5018</v>
      </c>
      <c r="F367" t="s">
        <v>5018</v>
      </c>
      <c r="G367">
        <v>29</v>
      </c>
      <c r="H367" s="5">
        <v>1.9841848521968191E-3</v>
      </c>
      <c r="I367">
        <v>5</v>
      </c>
      <c r="J367" t="b">
        <f>AND(CCData[[#This Row],[Date]]&gt;=Calculation!$E$3,CCData[[#This Row],[Date]]&lt;Calculation!$E$3+7)</f>
        <v>0</v>
      </c>
    </row>
    <row r="368" spans="1:10">
      <c r="A368" t="s">
        <v>367</v>
      </c>
      <c r="B368" s="2">
        <v>42011.525000000001</v>
      </c>
      <c r="C368" s="3" t="s">
        <v>5010</v>
      </c>
      <c r="D368" t="s">
        <v>5016</v>
      </c>
      <c r="E368" t="s">
        <v>5019</v>
      </c>
      <c r="F368" t="s">
        <v>5019</v>
      </c>
      <c r="G368" t="s">
        <v>5022</v>
      </c>
      <c r="H368" s="5" t="s">
        <v>5022</v>
      </c>
      <c r="I368" t="s">
        <v>5022</v>
      </c>
      <c r="J368" t="b">
        <f>AND(CCData[[#This Row],[Date]]&gt;=Calculation!$E$3,CCData[[#This Row],[Date]]&lt;Calculation!$E$3+7)</f>
        <v>0</v>
      </c>
    </row>
    <row r="369" spans="1:10">
      <c r="A369" t="s">
        <v>368</v>
      </c>
      <c r="B369" s="2">
        <v>42011.525000000001</v>
      </c>
      <c r="C369" s="3" t="s">
        <v>5004</v>
      </c>
      <c r="D369" t="s">
        <v>5012</v>
      </c>
      <c r="E369" t="s">
        <v>5018</v>
      </c>
      <c r="F369" t="s">
        <v>5018</v>
      </c>
      <c r="G369">
        <v>122</v>
      </c>
      <c r="H369" s="5">
        <v>1.1526211489084101E-3</v>
      </c>
      <c r="I369">
        <v>4</v>
      </c>
      <c r="J369" t="b">
        <f>AND(CCData[[#This Row],[Date]]&gt;=Calculation!$E$3,CCData[[#This Row],[Date]]&lt;Calculation!$E$3+7)</f>
        <v>0</v>
      </c>
    </row>
    <row r="370" spans="1:10">
      <c r="A370" t="s">
        <v>369</v>
      </c>
      <c r="B370" s="2">
        <v>42011.534</v>
      </c>
      <c r="C370" s="3" t="s">
        <v>5006</v>
      </c>
      <c r="D370" t="s">
        <v>5013</v>
      </c>
      <c r="E370" t="s">
        <v>5018</v>
      </c>
      <c r="F370" t="s">
        <v>5018</v>
      </c>
      <c r="G370">
        <v>52</v>
      </c>
      <c r="H370" s="5">
        <v>2.8494467599665461E-3</v>
      </c>
      <c r="I370">
        <v>5</v>
      </c>
      <c r="J370" t="b">
        <f>AND(CCData[[#This Row],[Date]]&gt;=Calculation!$E$3,CCData[[#This Row],[Date]]&lt;Calculation!$E$3+7)</f>
        <v>0</v>
      </c>
    </row>
    <row r="371" spans="1:10">
      <c r="A371" t="s">
        <v>370</v>
      </c>
      <c r="B371" s="2">
        <v>42011.534</v>
      </c>
      <c r="C371" s="3" t="s">
        <v>5009</v>
      </c>
      <c r="D371" t="s">
        <v>5015</v>
      </c>
      <c r="E371" t="s">
        <v>5018</v>
      </c>
      <c r="F371" t="s">
        <v>5018</v>
      </c>
      <c r="G371">
        <v>33</v>
      </c>
      <c r="H371" s="5">
        <v>3.0834940268501402E-3</v>
      </c>
      <c r="I371">
        <v>4</v>
      </c>
      <c r="J371" t="b">
        <f>AND(CCData[[#This Row],[Date]]&gt;=Calculation!$E$3,CCData[[#This Row],[Date]]&lt;Calculation!$E$3+7)</f>
        <v>0</v>
      </c>
    </row>
    <row r="372" spans="1:10">
      <c r="A372" t="s">
        <v>371</v>
      </c>
      <c r="B372" s="2">
        <v>42011.56</v>
      </c>
      <c r="C372" s="3" t="s">
        <v>5008</v>
      </c>
      <c r="D372" t="s">
        <v>5014</v>
      </c>
      <c r="E372" t="s">
        <v>5018</v>
      </c>
      <c r="F372" t="s">
        <v>5018</v>
      </c>
      <c r="G372">
        <v>123</v>
      </c>
      <c r="H372" s="5">
        <v>1.6712468192102115E-3</v>
      </c>
      <c r="I372">
        <v>3</v>
      </c>
      <c r="J372" t="b">
        <f>AND(CCData[[#This Row],[Date]]&gt;=Calculation!$E$3,CCData[[#This Row],[Date]]&lt;Calculation!$E$3+7)</f>
        <v>0</v>
      </c>
    </row>
    <row r="373" spans="1:10">
      <c r="A373" t="s">
        <v>372</v>
      </c>
      <c r="B373" s="2">
        <v>42011.56</v>
      </c>
      <c r="C373" s="3" t="s">
        <v>5006</v>
      </c>
      <c r="D373" t="s">
        <v>5013</v>
      </c>
      <c r="E373" t="s">
        <v>5018</v>
      </c>
      <c r="F373" t="s">
        <v>5018</v>
      </c>
      <c r="G373">
        <v>23</v>
      </c>
      <c r="H373" s="5">
        <v>1.4186335939956266E-3</v>
      </c>
      <c r="I373">
        <v>4</v>
      </c>
      <c r="J373" t="b">
        <f>AND(CCData[[#This Row],[Date]]&gt;=Calculation!$E$3,CCData[[#This Row],[Date]]&lt;Calculation!$E$3+7)</f>
        <v>0</v>
      </c>
    </row>
    <row r="374" spans="1:10">
      <c r="A374" t="s">
        <v>373</v>
      </c>
      <c r="B374" s="2">
        <v>42011.563000000002</v>
      </c>
      <c r="C374" s="3" t="s">
        <v>5004</v>
      </c>
      <c r="D374" t="s">
        <v>5016</v>
      </c>
      <c r="E374" t="s">
        <v>5019</v>
      </c>
      <c r="F374" t="s">
        <v>5019</v>
      </c>
      <c r="G374" t="s">
        <v>5022</v>
      </c>
      <c r="H374" s="5" t="s">
        <v>5022</v>
      </c>
      <c r="I374" t="s">
        <v>5022</v>
      </c>
      <c r="J374" t="b">
        <f>AND(CCData[[#This Row],[Date]]&gt;=Calculation!$E$3,CCData[[#This Row],[Date]]&lt;Calculation!$E$3+7)</f>
        <v>0</v>
      </c>
    </row>
    <row r="375" spans="1:10">
      <c r="A375" t="s">
        <v>374</v>
      </c>
      <c r="B375" s="2">
        <v>42011.563000000002</v>
      </c>
      <c r="C375" s="3" t="s">
        <v>5005</v>
      </c>
      <c r="D375" t="s">
        <v>5015</v>
      </c>
      <c r="E375" t="s">
        <v>5018</v>
      </c>
      <c r="F375" t="s">
        <v>5019</v>
      </c>
      <c r="G375">
        <v>29</v>
      </c>
      <c r="H375" s="5">
        <v>2.3768530784850747E-3</v>
      </c>
      <c r="I375">
        <v>5</v>
      </c>
      <c r="J375" t="b">
        <f>AND(CCData[[#This Row],[Date]]&gt;=Calculation!$E$3,CCData[[#This Row],[Date]]&lt;Calculation!$E$3+7)</f>
        <v>0</v>
      </c>
    </row>
    <row r="376" spans="1:10">
      <c r="A376" t="s">
        <v>375</v>
      </c>
      <c r="B376" s="2">
        <v>42011.571000000004</v>
      </c>
      <c r="C376" s="3" t="s">
        <v>5006</v>
      </c>
      <c r="D376" t="s">
        <v>5012</v>
      </c>
      <c r="E376" t="s">
        <v>5019</v>
      </c>
      <c r="F376" t="s">
        <v>5019</v>
      </c>
      <c r="G376" t="s">
        <v>5022</v>
      </c>
      <c r="H376" s="5" t="s">
        <v>5022</v>
      </c>
      <c r="I376" t="s">
        <v>5022</v>
      </c>
      <c r="J376" t="b">
        <f>AND(CCData[[#This Row],[Date]]&gt;=Calculation!$E$3,CCData[[#This Row],[Date]]&lt;Calculation!$E$3+7)</f>
        <v>0</v>
      </c>
    </row>
    <row r="377" spans="1:10">
      <c r="A377" t="s">
        <v>376</v>
      </c>
      <c r="B377" s="2">
        <v>42011.571000000004</v>
      </c>
      <c r="C377" s="3" t="s">
        <v>5004</v>
      </c>
      <c r="D377" t="s">
        <v>5016</v>
      </c>
      <c r="E377" t="s">
        <v>5018</v>
      </c>
      <c r="F377" t="s">
        <v>5018</v>
      </c>
      <c r="G377">
        <v>54</v>
      </c>
      <c r="H377" s="5">
        <v>2.6401398680980744E-3</v>
      </c>
      <c r="I377">
        <v>5</v>
      </c>
      <c r="J377" t="b">
        <f>AND(CCData[[#This Row],[Date]]&gt;=Calculation!$E$3,CCData[[#This Row],[Date]]&lt;Calculation!$E$3+7)</f>
        <v>0</v>
      </c>
    </row>
    <row r="378" spans="1:10">
      <c r="A378" t="s">
        <v>377</v>
      </c>
      <c r="B378" s="2">
        <v>42011.572999999997</v>
      </c>
      <c r="C378" s="3" t="s">
        <v>5010</v>
      </c>
      <c r="D378" t="s">
        <v>5016</v>
      </c>
      <c r="E378" t="s">
        <v>5018</v>
      </c>
      <c r="F378" t="s">
        <v>5018</v>
      </c>
      <c r="G378">
        <v>14</v>
      </c>
      <c r="H378" s="5">
        <v>3.2740460895979346E-3</v>
      </c>
      <c r="I378">
        <v>4</v>
      </c>
      <c r="J378" t="b">
        <f>AND(CCData[[#This Row],[Date]]&gt;=Calculation!$E$3,CCData[[#This Row],[Date]]&lt;Calculation!$E$3+7)</f>
        <v>0</v>
      </c>
    </row>
    <row r="379" spans="1:10">
      <c r="A379" t="s">
        <v>378</v>
      </c>
      <c r="B379" s="2">
        <v>42011.572999999997</v>
      </c>
      <c r="C379" s="3" t="s">
        <v>5010</v>
      </c>
      <c r="D379" t="s">
        <v>5014</v>
      </c>
      <c r="E379" t="s">
        <v>5018</v>
      </c>
      <c r="F379" t="s">
        <v>5018</v>
      </c>
      <c r="G379">
        <v>11</v>
      </c>
      <c r="H379" s="5">
        <v>3.0658595618511591E-3</v>
      </c>
      <c r="I379">
        <v>3</v>
      </c>
      <c r="J379" t="b">
        <f>AND(CCData[[#This Row],[Date]]&gt;=Calculation!$E$3,CCData[[#This Row],[Date]]&lt;Calculation!$E$3+7)</f>
        <v>0</v>
      </c>
    </row>
    <row r="380" spans="1:10">
      <c r="A380" t="s">
        <v>379</v>
      </c>
      <c r="B380" s="2">
        <v>42011.605000000003</v>
      </c>
      <c r="C380" s="3" t="s">
        <v>5008</v>
      </c>
      <c r="D380" t="s">
        <v>5014</v>
      </c>
      <c r="E380" t="s">
        <v>5018</v>
      </c>
      <c r="F380" t="s">
        <v>5018</v>
      </c>
      <c r="G380">
        <v>84</v>
      </c>
      <c r="H380" s="5">
        <v>3.455431596157358E-3</v>
      </c>
      <c r="I380">
        <v>1</v>
      </c>
      <c r="J380" t="b">
        <f>AND(CCData[[#This Row],[Date]]&gt;=Calculation!$E$3,CCData[[#This Row],[Date]]&lt;Calculation!$E$3+7)</f>
        <v>0</v>
      </c>
    </row>
    <row r="381" spans="1:10">
      <c r="A381" t="s">
        <v>380</v>
      </c>
      <c r="B381" s="2">
        <v>42011.605000000003</v>
      </c>
      <c r="C381" s="3" t="s">
        <v>5009</v>
      </c>
      <c r="D381" t="s">
        <v>5014</v>
      </c>
      <c r="E381" t="s">
        <v>5018</v>
      </c>
      <c r="F381" t="s">
        <v>5018</v>
      </c>
      <c r="G381">
        <v>21</v>
      </c>
      <c r="H381" s="5">
        <v>1.9760188288208149E-3</v>
      </c>
      <c r="I381">
        <v>4</v>
      </c>
      <c r="J381" t="b">
        <f>AND(CCData[[#This Row],[Date]]&gt;=Calculation!$E$3,CCData[[#This Row],[Date]]&lt;Calculation!$E$3+7)</f>
        <v>0</v>
      </c>
    </row>
    <row r="382" spans="1:10">
      <c r="A382" t="s">
        <v>381</v>
      </c>
      <c r="B382" s="2">
        <v>42011.661999999997</v>
      </c>
      <c r="C382" s="3" t="s">
        <v>5009</v>
      </c>
      <c r="D382" t="s">
        <v>5013</v>
      </c>
      <c r="E382" t="s">
        <v>5018</v>
      </c>
      <c r="F382" t="s">
        <v>5019</v>
      </c>
      <c r="G382">
        <v>81</v>
      </c>
      <c r="H382" s="5">
        <v>3.5857334590074521E-3</v>
      </c>
      <c r="I382">
        <v>3</v>
      </c>
      <c r="J382" t="b">
        <f>AND(CCData[[#This Row],[Date]]&gt;=Calculation!$E$3,CCData[[#This Row],[Date]]&lt;Calculation!$E$3+7)</f>
        <v>0</v>
      </c>
    </row>
    <row r="383" spans="1:10">
      <c r="A383" t="s">
        <v>382</v>
      </c>
      <c r="B383" s="2">
        <v>42011.661999999997</v>
      </c>
      <c r="C383" s="3" t="s">
        <v>5010</v>
      </c>
      <c r="D383" t="s">
        <v>5014</v>
      </c>
      <c r="E383" t="s">
        <v>5019</v>
      </c>
      <c r="F383" t="s">
        <v>5019</v>
      </c>
      <c r="G383" t="s">
        <v>5022</v>
      </c>
      <c r="H383" s="5" t="s">
        <v>5022</v>
      </c>
      <c r="I383" t="s">
        <v>5022</v>
      </c>
      <c r="J383" t="b">
        <f>AND(CCData[[#This Row],[Date]]&gt;=Calculation!$E$3,CCData[[#This Row],[Date]]&lt;Calculation!$E$3+7)</f>
        <v>0</v>
      </c>
    </row>
    <row r="384" spans="1:10">
      <c r="A384" t="s">
        <v>383</v>
      </c>
      <c r="B384" s="2">
        <v>42011.671999999999</v>
      </c>
      <c r="C384" s="3" t="s">
        <v>5003</v>
      </c>
      <c r="D384" t="s">
        <v>5015</v>
      </c>
      <c r="E384" t="s">
        <v>5019</v>
      </c>
      <c r="F384" t="s">
        <v>5019</v>
      </c>
      <c r="G384" t="s">
        <v>5022</v>
      </c>
      <c r="H384" s="5" t="s">
        <v>5022</v>
      </c>
      <c r="I384" t="s">
        <v>5022</v>
      </c>
      <c r="J384" t="b">
        <f>AND(CCData[[#This Row],[Date]]&gt;=Calculation!$E$3,CCData[[#This Row],[Date]]&lt;Calculation!$E$3+7)</f>
        <v>0</v>
      </c>
    </row>
    <row r="385" spans="1:10">
      <c r="A385" t="s">
        <v>384</v>
      </c>
      <c r="B385" s="2">
        <v>42011.671999999999</v>
      </c>
      <c r="C385" s="3" t="s">
        <v>5005</v>
      </c>
      <c r="D385" t="s">
        <v>5013</v>
      </c>
      <c r="E385" t="s">
        <v>5018</v>
      </c>
      <c r="F385" t="s">
        <v>5018</v>
      </c>
      <c r="G385">
        <v>84</v>
      </c>
      <c r="H385" s="5">
        <v>4.4245218854212119E-3</v>
      </c>
      <c r="I385">
        <v>4</v>
      </c>
      <c r="J385" t="b">
        <f>AND(CCData[[#This Row],[Date]]&gt;=Calculation!$E$3,CCData[[#This Row],[Date]]&lt;Calculation!$E$3+7)</f>
        <v>0</v>
      </c>
    </row>
    <row r="386" spans="1:10">
      <c r="A386" t="s">
        <v>385</v>
      </c>
      <c r="B386" s="2">
        <v>42011.686999999998</v>
      </c>
      <c r="C386" s="3" t="s">
        <v>5009</v>
      </c>
      <c r="D386" t="s">
        <v>5016</v>
      </c>
      <c r="E386" t="s">
        <v>5018</v>
      </c>
      <c r="F386" t="s">
        <v>5018</v>
      </c>
      <c r="G386">
        <v>118</v>
      </c>
      <c r="H386" s="5">
        <v>2.4917044206214053E-3</v>
      </c>
      <c r="I386">
        <v>2</v>
      </c>
      <c r="J386" t="b">
        <f>AND(CCData[[#This Row],[Date]]&gt;=Calculation!$E$3,CCData[[#This Row],[Date]]&lt;Calculation!$E$3+7)</f>
        <v>0</v>
      </c>
    </row>
    <row r="387" spans="1:10">
      <c r="A387" t="s">
        <v>386</v>
      </c>
      <c r="B387" s="2">
        <v>42011.686999999998</v>
      </c>
      <c r="C387" s="3" t="s">
        <v>5004</v>
      </c>
      <c r="D387" t="s">
        <v>5013</v>
      </c>
      <c r="E387" t="s">
        <v>5018</v>
      </c>
      <c r="F387" t="s">
        <v>5018</v>
      </c>
      <c r="G387">
        <v>35</v>
      </c>
      <c r="H387" s="5">
        <v>4.3420355622445801E-3</v>
      </c>
      <c r="I387">
        <v>2</v>
      </c>
      <c r="J387" t="b">
        <f>AND(CCData[[#This Row],[Date]]&gt;=Calculation!$E$3,CCData[[#This Row],[Date]]&lt;Calculation!$E$3+7)</f>
        <v>0</v>
      </c>
    </row>
    <row r="388" spans="1:10">
      <c r="A388" t="s">
        <v>387</v>
      </c>
      <c r="B388" s="2">
        <v>42011.695</v>
      </c>
      <c r="C388" s="3" t="s">
        <v>5010</v>
      </c>
      <c r="D388" t="s">
        <v>5014</v>
      </c>
      <c r="E388" t="s">
        <v>5018</v>
      </c>
      <c r="F388" t="s">
        <v>5018</v>
      </c>
      <c r="G388">
        <v>82</v>
      </c>
      <c r="H388" s="5">
        <v>1.5353497900575642E-3</v>
      </c>
      <c r="I388">
        <v>3</v>
      </c>
      <c r="J388" t="b">
        <f>AND(CCData[[#This Row],[Date]]&gt;=Calculation!$E$3,CCData[[#This Row],[Date]]&lt;Calculation!$E$3+7)</f>
        <v>0</v>
      </c>
    </row>
    <row r="389" spans="1:10">
      <c r="A389" t="s">
        <v>388</v>
      </c>
      <c r="B389" s="2">
        <v>42011.695</v>
      </c>
      <c r="C389" s="3" t="s">
        <v>5007</v>
      </c>
      <c r="D389" t="s">
        <v>5016</v>
      </c>
      <c r="E389" t="s">
        <v>5018</v>
      </c>
      <c r="F389" t="s">
        <v>5018</v>
      </c>
      <c r="G389">
        <v>119</v>
      </c>
      <c r="H389" s="5">
        <v>2.1148206307999742E-3</v>
      </c>
      <c r="I389">
        <v>4</v>
      </c>
      <c r="J389" t="b">
        <f>AND(CCData[[#This Row],[Date]]&gt;=Calculation!$E$3,CCData[[#This Row],[Date]]&lt;Calculation!$E$3+7)</f>
        <v>0</v>
      </c>
    </row>
    <row r="390" spans="1:10">
      <c r="A390" t="s">
        <v>389</v>
      </c>
      <c r="B390" s="2">
        <v>42011.711000000003</v>
      </c>
      <c r="C390" s="3" t="s">
        <v>5007</v>
      </c>
      <c r="D390" t="s">
        <v>5012</v>
      </c>
      <c r="E390" t="s">
        <v>5018</v>
      </c>
      <c r="F390" t="s">
        <v>5018</v>
      </c>
      <c r="G390">
        <v>107</v>
      </c>
      <c r="H390" s="5">
        <v>4.6957937713578745E-3</v>
      </c>
      <c r="I390">
        <v>2</v>
      </c>
      <c r="J390" t="b">
        <f>AND(CCData[[#This Row],[Date]]&gt;=Calculation!$E$3,CCData[[#This Row],[Date]]&lt;Calculation!$E$3+7)</f>
        <v>0</v>
      </c>
    </row>
    <row r="391" spans="1:10">
      <c r="A391" t="s">
        <v>390</v>
      </c>
      <c r="B391" s="2">
        <v>42011.711000000003</v>
      </c>
      <c r="C391" s="3" t="s">
        <v>5008</v>
      </c>
      <c r="D391" t="s">
        <v>5012</v>
      </c>
      <c r="E391" t="s">
        <v>5018</v>
      </c>
      <c r="F391" t="s">
        <v>5018</v>
      </c>
      <c r="G391">
        <v>86</v>
      </c>
      <c r="H391" s="5">
        <v>4.8071126494312808E-4</v>
      </c>
      <c r="I391">
        <v>4</v>
      </c>
      <c r="J391" t="b">
        <f>AND(CCData[[#This Row],[Date]]&gt;=Calculation!$E$3,CCData[[#This Row],[Date]]&lt;Calculation!$E$3+7)</f>
        <v>0</v>
      </c>
    </row>
    <row r="392" spans="1:10">
      <c r="A392" t="s">
        <v>391</v>
      </c>
      <c r="B392" s="2">
        <v>42011.735999999997</v>
      </c>
      <c r="C392" s="3" t="s">
        <v>5003</v>
      </c>
      <c r="D392" t="s">
        <v>5016</v>
      </c>
      <c r="E392" t="s">
        <v>5018</v>
      </c>
      <c r="F392" t="s">
        <v>5018</v>
      </c>
      <c r="G392">
        <v>76</v>
      </c>
      <c r="H392" s="5">
        <v>9.5801622421070719E-4</v>
      </c>
      <c r="I392">
        <v>4</v>
      </c>
      <c r="J392" t="b">
        <f>AND(CCData[[#This Row],[Date]]&gt;=Calculation!$E$3,CCData[[#This Row],[Date]]&lt;Calculation!$E$3+7)</f>
        <v>0</v>
      </c>
    </row>
    <row r="393" spans="1:10">
      <c r="A393" t="s">
        <v>392</v>
      </c>
      <c r="B393" s="2">
        <v>42011.735999999997</v>
      </c>
      <c r="C393" s="3" t="s">
        <v>5005</v>
      </c>
      <c r="D393" t="s">
        <v>5016</v>
      </c>
      <c r="E393" t="s">
        <v>5018</v>
      </c>
      <c r="F393" t="s">
        <v>5019</v>
      </c>
      <c r="G393">
        <v>78</v>
      </c>
      <c r="H393" s="5">
        <v>2.1698179869631732E-3</v>
      </c>
      <c r="I393">
        <v>3</v>
      </c>
      <c r="J393" t="b">
        <f>AND(CCData[[#This Row],[Date]]&gt;=Calculation!$E$3,CCData[[#This Row],[Date]]&lt;Calculation!$E$3+7)</f>
        <v>0</v>
      </c>
    </row>
    <row r="394" spans="1:10">
      <c r="A394" t="s">
        <v>393</v>
      </c>
      <c r="B394" s="2">
        <v>42011.741000000002</v>
      </c>
      <c r="C394" s="3" t="s">
        <v>5007</v>
      </c>
      <c r="D394" t="s">
        <v>5015</v>
      </c>
      <c r="E394" t="s">
        <v>5018</v>
      </c>
      <c r="F394" t="s">
        <v>5018</v>
      </c>
      <c r="G394">
        <v>118</v>
      </c>
      <c r="H394" s="5">
        <v>3.7828085476253505E-4</v>
      </c>
      <c r="I394">
        <v>3</v>
      </c>
      <c r="J394" t="b">
        <f>AND(CCData[[#This Row],[Date]]&gt;=Calculation!$E$3,CCData[[#This Row],[Date]]&lt;Calculation!$E$3+7)</f>
        <v>0</v>
      </c>
    </row>
    <row r="395" spans="1:10">
      <c r="A395" t="s">
        <v>394</v>
      </c>
      <c r="B395" s="2">
        <v>42011.741000000002</v>
      </c>
      <c r="C395" s="3" t="s">
        <v>5003</v>
      </c>
      <c r="D395" t="s">
        <v>5013</v>
      </c>
      <c r="E395" t="s">
        <v>5019</v>
      </c>
      <c r="F395" t="s">
        <v>5019</v>
      </c>
      <c r="G395" t="s">
        <v>5022</v>
      </c>
      <c r="H395" s="5" t="s">
        <v>5022</v>
      </c>
      <c r="I395" t="s">
        <v>5022</v>
      </c>
      <c r="J395" t="b">
        <f>AND(CCData[[#This Row],[Date]]&gt;=Calculation!$E$3,CCData[[#This Row],[Date]]&lt;Calculation!$E$3+7)</f>
        <v>0</v>
      </c>
    </row>
    <row r="396" spans="1:10">
      <c r="A396" t="s">
        <v>395</v>
      </c>
      <c r="B396" s="2">
        <v>42011.741999999998</v>
      </c>
      <c r="C396" s="3" t="s">
        <v>5008</v>
      </c>
      <c r="D396" t="s">
        <v>5015</v>
      </c>
      <c r="E396" t="s">
        <v>5018</v>
      </c>
      <c r="F396" t="s">
        <v>5018</v>
      </c>
      <c r="G396">
        <v>47</v>
      </c>
      <c r="H396" s="5">
        <v>1.4164443391871387E-3</v>
      </c>
      <c r="I396">
        <v>5</v>
      </c>
      <c r="J396" t="b">
        <f>AND(CCData[[#This Row],[Date]]&gt;=Calculation!$E$3,CCData[[#This Row],[Date]]&lt;Calculation!$E$3+7)</f>
        <v>0</v>
      </c>
    </row>
    <row r="397" spans="1:10">
      <c r="A397" t="s">
        <v>396</v>
      </c>
      <c r="B397" s="2">
        <v>42011.741999999998</v>
      </c>
      <c r="C397" s="3" t="s">
        <v>5003</v>
      </c>
      <c r="D397" t="s">
        <v>5015</v>
      </c>
      <c r="E397" t="s">
        <v>5018</v>
      </c>
      <c r="F397" t="s">
        <v>5018</v>
      </c>
      <c r="G397">
        <v>86</v>
      </c>
      <c r="H397" s="5">
        <v>2.0657262008864142E-3</v>
      </c>
      <c r="I397">
        <v>2</v>
      </c>
      <c r="J397" t="b">
        <f>AND(CCData[[#This Row],[Date]]&gt;=Calculation!$E$3,CCData[[#This Row],[Date]]&lt;Calculation!$E$3+7)</f>
        <v>0</v>
      </c>
    </row>
    <row r="398" spans="1:10">
      <c r="A398" t="s">
        <v>397</v>
      </c>
      <c r="B398" s="2">
        <v>42011.747000000003</v>
      </c>
      <c r="C398" s="3" t="s">
        <v>5006</v>
      </c>
      <c r="D398" t="s">
        <v>5013</v>
      </c>
      <c r="E398" t="s">
        <v>5018</v>
      </c>
      <c r="F398" t="s">
        <v>5018</v>
      </c>
      <c r="G398">
        <v>76</v>
      </c>
      <c r="H398" s="5">
        <v>4.0794511088950948E-3</v>
      </c>
      <c r="I398">
        <v>3</v>
      </c>
      <c r="J398" t="b">
        <f>AND(CCData[[#This Row],[Date]]&gt;=Calculation!$E$3,CCData[[#This Row],[Date]]&lt;Calculation!$E$3+7)</f>
        <v>0</v>
      </c>
    </row>
    <row r="399" spans="1:10">
      <c r="A399" t="s">
        <v>398</v>
      </c>
      <c r="B399" s="2">
        <v>42011.747000000003</v>
      </c>
      <c r="C399" s="3" t="s">
        <v>5007</v>
      </c>
      <c r="D399" t="s">
        <v>5014</v>
      </c>
      <c r="E399" t="s">
        <v>5018</v>
      </c>
      <c r="F399" t="s">
        <v>5018</v>
      </c>
      <c r="G399">
        <v>32</v>
      </c>
      <c r="H399" s="5">
        <v>2.3519938068577626E-3</v>
      </c>
      <c r="I399">
        <v>4</v>
      </c>
      <c r="J399" t="b">
        <f>AND(CCData[[#This Row],[Date]]&gt;=Calculation!$E$3,CCData[[#This Row],[Date]]&lt;Calculation!$E$3+7)</f>
        <v>0</v>
      </c>
    </row>
    <row r="400" spans="1:10">
      <c r="A400" t="s">
        <v>399</v>
      </c>
      <c r="B400" s="2">
        <v>42012.375</v>
      </c>
      <c r="C400" s="3" t="s">
        <v>5008</v>
      </c>
      <c r="D400" t="s">
        <v>5015</v>
      </c>
      <c r="E400" t="s">
        <v>5018</v>
      </c>
      <c r="F400" t="s">
        <v>5018</v>
      </c>
      <c r="G400">
        <v>98</v>
      </c>
      <c r="H400" s="5">
        <v>2.4654581608555778E-3</v>
      </c>
      <c r="I400">
        <v>5</v>
      </c>
      <c r="J400" t="b">
        <f>AND(CCData[[#This Row],[Date]]&gt;=Calculation!$E$3,CCData[[#This Row],[Date]]&lt;Calculation!$E$3+7)</f>
        <v>0</v>
      </c>
    </row>
    <row r="401" spans="1:10">
      <c r="A401" t="s">
        <v>400</v>
      </c>
      <c r="B401" s="2">
        <v>42012.375</v>
      </c>
      <c r="C401" s="3" t="s">
        <v>5007</v>
      </c>
      <c r="D401" t="s">
        <v>5013</v>
      </c>
      <c r="E401" t="s">
        <v>5018</v>
      </c>
      <c r="F401" t="s">
        <v>5018</v>
      </c>
      <c r="G401">
        <v>86</v>
      </c>
      <c r="H401" s="5">
        <v>4.2788951782582056E-4</v>
      </c>
      <c r="I401">
        <v>4</v>
      </c>
      <c r="J401" t="b">
        <f>AND(CCData[[#This Row],[Date]]&gt;=Calculation!$E$3,CCData[[#This Row],[Date]]&lt;Calculation!$E$3+7)</f>
        <v>0</v>
      </c>
    </row>
    <row r="402" spans="1:10">
      <c r="A402" t="s">
        <v>401</v>
      </c>
      <c r="B402" s="2">
        <v>42012.392</v>
      </c>
      <c r="C402" s="3" t="s">
        <v>5003</v>
      </c>
      <c r="D402" t="s">
        <v>5013</v>
      </c>
      <c r="E402" t="s">
        <v>5018</v>
      </c>
      <c r="F402" t="s">
        <v>5018</v>
      </c>
      <c r="G402">
        <v>37</v>
      </c>
      <c r="H402" s="5">
        <v>7.5636349501213504E-4</v>
      </c>
      <c r="I402">
        <v>3</v>
      </c>
      <c r="J402" t="b">
        <f>AND(CCData[[#This Row],[Date]]&gt;=Calculation!$E$3,CCData[[#This Row],[Date]]&lt;Calculation!$E$3+7)</f>
        <v>0</v>
      </c>
    </row>
    <row r="403" spans="1:10">
      <c r="A403" t="s">
        <v>402</v>
      </c>
      <c r="B403" s="2">
        <v>42012.392</v>
      </c>
      <c r="C403" s="3" t="s">
        <v>5006</v>
      </c>
      <c r="D403" t="s">
        <v>5015</v>
      </c>
      <c r="E403" t="s">
        <v>5018</v>
      </c>
      <c r="F403" t="s">
        <v>5018</v>
      </c>
      <c r="G403">
        <v>15</v>
      </c>
      <c r="H403" s="5">
        <v>3.0911618505435378E-3</v>
      </c>
      <c r="I403">
        <v>5</v>
      </c>
      <c r="J403" t="b">
        <f>AND(CCData[[#This Row],[Date]]&gt;=Calculation!$E$3,CCData[[#This Row],[Date]]&lt;Calculation!$E$3+7)</f>
        <v>0</v>
      </c>
    </row>
    <row r="404" spans="1:10">
      <c r="A404" t="s">
        <v>403</v>
      </c>
      <c r="B404" s="2">
        <v>42012.408000000003</v>
      </c>
      <c r="C404" s="3" t="s">
        <v>5003</v>
      </c>
      <c r="D404" t="s">
        <v>5012</v>
      </c>
      <c r="E404" t="s">
        <v>5018</v>
      </c>
      <c r="F404" t="s">
        <v>5018</v>
      </c>
      <c r="G404">
        <v>114</v>
      </c>
      <c r="H404" s="5">
        <v>2.9330445324759883E-3</v>
      </c>
      <c r="I404">
        <v>5</v>
      </c>
      <c r="J404" t="b">
        <f>AND(CCData[[#This Row],[Date]]&gt;=Calculation!$E$3,CCData[[#This Row],[Date]]&lt;Calculation!$E$3+7)</f>
        <v>0</v>
      </c>
    </row>
    <row r="405" spans="1:10">
      <c r="A405" t="s">
        <v>404</v>
      </c>
      <c r="B405" s="2">
        <v>42012.408000000003</v>
      </c>
      <c r="C405" s="3" t="s">
        <v>5005</v>
      </c>
      <c r="D405" t="s">
        <v>5014</v>
      </c>
      <c r="E405" t="s">
        <v>5019</v>
      </c>
      <c r="F405" t="s">
        <v>5019</v>
      </c>
      <c r="G405" t="s">
        <v>5022</v>
      </c>
      <c r="H405" s="5" t="s">
        <v>5022</v>
      </c>
      <c r="I405" t="s">
        <v>5022</v>
      </c>
      <c r="J405" t="b">
        <f>AND(CCData[[#This Row],[Date]]&gt;=Calculation!$E$3,CCData[[#This Row],[Date]]&lt;Calculation!$E$3+7)</f>
        <v>0</v>
      </c>
    </row>
    <row r="406" spans="1:10">
      <c r="A406" t="s">
        <v>405</v>
      </c>
      <c r="B406" s="2">
        <v>42012.415999999997</v>
      </c>
      <c r="C406" s="3" t="s">
        <v>5007</v>
      </c>
      <c r="D406" t="s">
        <v>5013</v>
      </c>
      <c r="E406" t="s">
        <v>5019</v>
      </c>
      <c r="F406" t="s">
        <v>5019</v>
      </c>
      <c r="G406" t="s">
        <v>5022</v>
      </c>
      <c r="H406" s="5" t="s">
        <v>5022</v>
      </c>
      <c r="I406" t="s">
        <v>5022</v>
      </c>
      <c r="J406" t="b">
        <f>AND(CCData[[#This Row],[Date]]&gt;=Calculation!$E$3,CCData[[#This Row],[Date]]&lt;Calculation!$E$3+7)</f>
        <v>0</v>
      </c>
    </row>
    <row r="407" spans="1:10">
      <c r="A407" t="s">
        <v>406</v>
      </c>
      <c r="B407" s="2">
        <v>42012.415999999997</v>
      </c>
      <c r="C407" s="3" t="s">
        <v>5009</v>
      </c>
      <c r="D407" t="s">
        <v>5016</v>
      </c>
      <c r="E407" t="s">
        <v>5019</v>
      </c>
      <c r="F407" t="s">
        <v>5019</v>
      </c>
      <c r="G407" t="s">
        <v>5022</v>
      </c>
      <c r="H407" s="5" t="s">
        <v>5022</v>
      </c>
      <c r="I407" t="s">
        <v>5022</v>
      </c>
      <c r="J407" t="b">
        <f>AND(CCData[[#This Row],[Date]]&gt;=Calculation!$E$3,CCData[[#This Row],[Date]]&lt;Calculation!$E$3+7)</f>
        <v>0</v>
      </c>
    </row>
    <row r="408" spans="1:10">
      <c r="A408" t="s">
        <v>407</v>
      </c>
      <c r="B408" s="2">
        <v>42012.446000000004</v>
      </c>
      <c r="C408" s="3" t="s">
        <v>5009</v>
      </c>
      <c r="D408" t="s">
        <v>5016</v>
      </c>
      <c r="E408" t="s">
        <v>5018</v>
      </c>
      <c r="F408" t="s">
        <v>5019</v>
      </c>
      <c r="G408">
        <v>23</v>
      </c>
      <c r="H408" s="5">
        <v>1.5696066099287758E-3</v>
      </c>
      <c r="I408">
        <v>3</v>
      </c>
      <c r="J408" t="b">
        <f>AND(CCData[[#This Row],[Date]]&gt;=Calculation!$E$3,CCData[[#This Row],[Date]]&lt;Calculation!$E$3+7)</f>
        <v>0</v>
      </c>
    </row>
    <row r="409" spans="1:10">
      <c r="A409" t="s">
        <v>408</v>
      </c>
      <c r="B409" s="2">
        <v>42012.446000000004</v>
      </c>
      <c r="C409" s="3" t="s">
        <v>5010</v>
      </c>
      <c r="D409" t="s">
        <v>5014</v>
      </c>
      <c r="E409" t="s">
        <v>5019</v>
      </c>
      <c r="F409" t="s">
        <v>5019</v>
      </c>
      <c r="G409" t="s">
        <v>5022</v>
      </c>
      <c r="H409" s="5" t="s">
        <v>5022</v>
      </c>
      <c r="I409" t="s">
        <v>5022</v>
      </c>
      <c r="J409" t="b">
        <f>AND(CCData[[#This Row],[Date]]&gt;=Calculation!$E$3,CCData[[#This Row],[Date]]&lt;Calculation!$E$3+7)</f>
        <v>0</v>
      </c>
    </row>
    <row r="410" spans="1:10">
      <c r="A410" t="s">
        <v>409</v>
      </c>
      <c r="B410" s="2">
        <v>42012.451000000001</v>
      </c>
      <c r="C410" s="3" t="s">
        <v>5008</v>
      </c>
      <c r="D410" t="s">
        <v>5015</v>
      </c>
      <c r="E410" t="s">
        <v>5018</v>
      </c>
      <c r="F410" t="s">
        <v>5018</v>
      </c>
      <c r="G410">
        <v>69</v>
      </c>
      <c r="H410" s="5">
        <v>3.9514298548972201E-3</v>
      </c>
      <c r="I410">
        <v>3</v>
      </c>
      <c r="J410" t="b">
        <f>AND(CCData[[#This Row],[Date]]&gt;=Calculation!$E$3,CCData[[#This Row],[Date]]&lt;Calculation!$E$3+7)</f>
        <v>0</v>
      </c>
    </row>
    <row r="411" spans="1:10">
      <c r="A411" t="s">
        <v>410</v>
      </c>
      <c r="B411" s="2">
        <v>42012.451000000001</v>
      </c>
      <c r="C411" s="3" t="s">
        <v>5005</v>
      </c>
      <c r="D411" t="s">
        <v>5012</v>
      </c>
      <c r="E411" t="s">
        <v>5018</v>
      </c>
      <c r="F411" t="s">
        <v>5018</v>
      </c>
      <c r="G411">
        <v>15</v>
      </c>
      <c r="H411" s="5">
        <v>4.2872761087307714E-3</v>
      </c>
      <c r="I411">
        <v>4</v>
      </c>
      <c r="J411" t="b">
        <f>AND(CCData[[#This Row],[Date]]&gt;=Calculation!$E$3,CCData[[#This Row],[Date]]&lt;Calculation!$E$3+7)</f>
        <v>0</v>
      </c>
    </row>
    <row r="412" spans="1:10">
      <c r="A412" t="s">
        <v>411</v>
      </c>
      <c r="B412" s="2">
        <v>42012.451000000001</v>
      </c>
      <c r="C412" s="3" t="s">
        <v>5004</v>
      </c>
      <c r="D412" t="s">
        <v>5013</v>
      </c>
      <c r="E412" t="s">
        <v>5018</v>
      </c>
      <c r="F412" t="s">
        <v>5018</v>
      </c>
      <c r="G412">
        <v>119</v>
      </c>
      <c r="H412" s="5">
        <v>3.7951445740870516E-3</v>
      </c>
      <c r="I412">
        <v>3</v>
      </c>
      <c r="J412" t="b">
        <f>AND(CCData[[#This Row],[Date]]&gt;=Calculation!$E$3,CCData[[#This Row],[Date]]&lt;Calculation!$E$3+7)</f>
        <v>0</v>
      </c>
    </row>
    <row r="413" spans="1:10">
      <c r="A413" t="s">
        <v>412</v>
      </c>
      <c r="B413" s="2">
        <v>42012.451000000001</v>
      </c>
      <c r="C413" s="3" t="s">
        <v>5004</v>
      </c>
      <c r="D413" t="s">
        <v>5016</v>
      </c>
      <c r="E413" t="s">
        <v>5018</v>
      </c>
      <c r="F413" t="s">
        <v>5018</v>
      </c>
      <c r="G413">
        <v>68</v>
      </c>
      <c r="H413" s="5">
        <v>3.6637733828932895E-3</v>
      </c>
      <c r="I413">
        <v>1</v>
      </c>
      <c r="J413" t="b">
        <f>AND(CCData[[#This Row],[Date]]&gt;=Calculation!$E$3,CCData[[#This Row],[Date]]&lt;Calculation!$E$3+7)</f>
        <v>0</v>
      </c>
    </row>
    <row r="414" spans="1:10">
      <c r="A414" t="s">
        <v>413</v>
      </c>
      <c r="B414" s="2">
        <v>42012.459000000003</v>
      </c>
      <c r="C414" s="3" t="s">
        <v>5003</v>
      </c>
      <c r="D414" t="s">
        <v>5012</v>
      </c>
      <c r="E414" t="s">
        <v>5018</v>
      </c>
      <c r="F414" t="s">
        <v>5018</v>
      </c>
      <c r="G414">
        <v>115</v>
      </c>
      <c r="H414" s="5">
        <v>4.2846739594526555E-3</v>
      </c>
      <c r="I414">
        <v>3</v>
      </c>
      <c r="J414" t="b">
        <f>AND(CCData[[#This Row],[Date]]&gt;=Calculation!$E$3,CCData[[#This Row],[Date]]&lt;Calculation!$E$3+7)</f>
        <v>0</v>
      </c>
    </row>
    <row r="415" spans="1:10">
      <c r="A415" t="s">
        <v>414</v>
      </c>
      <c r="B415" s="2">
        <v>42012.459000000003</v>
      </c>
      <c r="C415" s="3" t="s">
        <v>5008</v>
      </c>
      <c r="D415" t="s">
        <v>5012</v>
      </c>
      <c r="E415" t="s">
        <v>5018</v>
      </c>
      <c r="F415" t="s">
        <v>5018</v>
      </c>
      <c r="G415">
        <v>84</v>
      </c>
      <c r="H415" s="5">
        <v>8.1725830144787747E-4</v>
      </c>
      <c r="I415">
        <v>5</v>
      </c>
      <c r="J415" t="b">
        <f>AND(CCData[[#This Row],[Date]]&gt;=Calculation!$E$3,CCData[[#This Row],[Date]]&lt;Calculation!$E$3+7)</f>
        <v>0</v>
      </c>
    </row>
    <row r="416" spans="1:10">
      <c r="A416" t="s">
        <v>415</v>
      </c>
      <c r="B416" s="2">
        <v>42012.47</v>
      </c>
      <c r="C416" s="3" t="s">
        <v>5010</v>
      </c>
      <c r="D416" t="s">
        <v>5012</v>
      </c>
      <c r="E416" t="s">
        <v>5018</v>
      </c>
      <c r="F416" t="s">
        <v>5019</v>
      </c>
      <c r="G416">
        <v>59</v>
      </c>
      <c r="H416" s="5">
        <v>8.8616954347588129E-4</v>
      </c>
      <c r="I416">
        <v>4</v>
      </c>
      <c r="J416" t="b">
        <f>AND(CCData[[#This Row],[Date]]&gt;=Calculation!$E$3,CCData[[#This Row],[Date]]&lt;Calculation!$E$3+7)</f>
        <v>0</v>
      </c>
    </row>
    <row r="417" spans="1:10">
      <c r="A417" t="s">
        <v>416</v>
      </c>
      <c r="B417" s="2">
        <v>42012.47</v>
      </c>
      <c r="C417" s="3" t="s">
        <v>5003</v>
      </c>
      <c r="D417" t="s">
        <v>5013</v>
      </c>
      <c r="E417" t="s">
        <v>5018</v>
      </c>
      <c r="F417" t="s">
        <v>5019</v>
      </c>
      <c r="G417">
        <v>112</v>
      </c>
      <c r="H417" s="5">
        <v>2.481491327894339E-3</v>
      </c>
      <c r="I417">
        <v>4</v>
      </c>
      <c r="J417" t="b">
        <f>AND(CCData[[#This Row],[Date]]&gt;=Calculation!$E$3,CCData[[#This Row],[Date]]&lt;Calculation!$E$3+7)</f>
        <v>0</v>
      </c>
    </row>
    <row r="418" spans="1:10">
      <c r="A418" t="s">
        <v>417</v>
      </c>
      <c r="B418" s="2">
        <v>42012.47</v>
      </c>
      <c r="C418" s="3" t="s">
        <v>5010</v>
      </c>
      <c r="D418" t="s">
        <v>5012</v>
      </c>
      <c r="E418" t="s">
        <v>5019</v>
      </c>
      <c r="F418" t="s">
        <v>5019</v>
      </c>
      <c r="G418" t="s">
        <v>5022</v>
      </c>
      <c r="H418" s="5" t="s">
        <v>5022</v>
      </c>
      <c r="I418" t="s">
        <v>5022</v>
      </c>
      <c r="J418" t="b">
        <f>AND(CCData[[#This Row],[Date]]&gt;=Calculation!$E$3,CCData[[#This Row],[Date]]&lt;Calculation!$E$3+7)</f>
        <v>0</v>
      </c>
    </row>
    <row r="419" spans="1:10">
      <c r="A419" t="s">
        <v>418</v>
      </c>
      <c r="B419" s="2">
        <v>42012.47</v>
      </c>
      <c r="C419" s="3" t="s">
        <v>5010</v>
      </c>
      <c r="D419" t="s">
        <v>5015</v>
      </c>
      <c r="E419" t="s">
        <v>5018</v>
      </c>
      <c r="F419" t="s">
        <v>5018</v>
      </c>
      <c r="G419">
        <v>39</v>
      </c>
      <c r="H419" s="5">
        <v>3.3692155588451352E-3</v>
      </c>
      <c r="I419">
        <v>3</v>
      </c>
      <c r="J419" t="b">
        <f>AND(CCData[[#This Row],[Date]]&gt;=Calculation!$E$3,CCData[[#This Row],[Date]]&lt;Calculation!$E$3+7)</f>
        <v>0</v>
      </c>
    </row>
    <row r="420" spans="1:10">
      <c r="A420" t="s">
        <v>419</v>
      </c>
      <c r="B420" s="2">
        <v>42012.508999999998</v>
      </c>
      <c r="C420" s="3" t="s">
        <v>5007</v>
      </c>
      <c r="D420" t="s">
        <v>5016</v>
      </c>
      <c r="E420" t="s">
        <v>5018</v>
      </c>
      <c r="F420" t="s">
        <v>5018</v>
      </c>
      <c r="G420">
        <v>31</v>
      </c>
      <c r="H420" s="5">
        <v>4.5730198308093504E-3</v>
      </c>
      <c r="I420">
        <v>5</v>
      </c>
      <c r="J420" t="b">
        <f>AND(CCData[[#This Row],[Date]]&gt;=Calculation!$E$3,CCData[[#This Row],[Date]]&lt;Calculation!$E$3+7)</f>
        <v>0</v>
      </c>
    </row>
    <row r="421" spans="1:10">
      <c r="A421" t="s">
        <v>420</v>
      </c>
      <c r="B421" s="2">
        <v>42012.508999999998</v>
      </c>
      <c r="C421" s="3" t="s">
        <v>5010</v>
      </c>
      <c r="D421" t="s">
        <v>5016</v>
      </c>
      <c r="E421" t="s">
        <v>5018</v>
      </c>
      <c r="F421" t="s">
        <v>5018</v>
      </c>
      <c r="G421">
        <v>112</v>
      </c>
      <c r="H421" s="5">
        <v>2.5611464475232882E-3</v>
      </c>
      <c r="I421">
        <v>2</v>
      </c>
      <c r="J421" t="b">
        <f>AND(CCData[[#This Row],[Date]]&gt;=Calculation!$E$3,CCData[[#This Row],[Date]]&lt;Calculation!$E$3+7)</f>
        <v>0</v>
      </c>
    </row>
    <row r="422" spans="1:10">
      <c r="A422" t="s">
        <v>421</v>
      </c>
      <c r="B422" s="2">
        <v>42012.51</v>
      </c>
      <c r="C422" s="3" t="s">
        <v>5006</v>
      </c>
      <c r="D422" t="s">
        <v>5016</v>
      </c>
      <c r="E422" t="s">
        <v>5018</v>
      </c>
      <c r="F422" t="s">
        <v>5018</v>
      </c>
      <c r="G422">
        <v>49</v>
      </c>
      <c r="H422" s="5">
        <v>1.6776805238033971E-3</v>
      </c>
      <c r="I422">
        <v>4</v>
      </c>
      <c r="J422" t="b">
        <f>AND(CCData[[#This Row],[Date]]&gt;=Calculation!$E$3,CCData[[#This Row],[Date]]&lt;Calculation!$E$3+7)</f>
        <v>0</v>
      </c>
    </row>
    <row r="423" spans="1:10">
      <c r="A423" t="s">
        <v>422</v>
      </c>
      <c r="B423" s="2">
        <v>42012.51</v>
      </c>
      <c r="C423" s="3" t="s">
        <v>5006</v>
      </c>
      <c r="D423" t="s">
        <v>5013</v>
      </c>
      <c r="E423" t="s">
        <v>5018</v>
      </c>
      <c r="F423" t="s">
        <v>5018</v>
      </c>
      <c r="G423">
        <v>18</v>
      </c>
      <c r="H423" s="5">
        <v>4.6105632132691166E-3</v>
      </c>
      <c r="I423">
        <v>3</v>
      </c>
      <c r="J423" t="b">
        <f>AND(CCData[[#This Row],[Date]]&gt;=Calculation!$E$3,CCData[[#This Row],[Date]]&lt;Calculation!$E$3+7)</f>
        <v>0</v>
      </c>
    </row>
    <row r="424" spans="1:10">
      <c r="A424" t="s">
        <v>423</v>
      </c>
      <c r="B424" s="2">
        <v>42012.527000000002</v>
      </c>
      <c r="C424" s="3" t="s">
        <v>5005</v>
      </c>
      <c r="D424" t="s">
        <v>5013</v>
      </c>
      <c r="E424" t="s">
        <v>5018</v>
      </c>
      <c r="F424" t="s">
        <v>5018</v>
      </c>
      <c r="G424">
        <v>80</v>
      </c>
      <c r="H424" s="5">
        <v>1.8896019838555711E-3</v>
      </c>
      <c r="I424">
        <v>4</v>
      </c>
      <c r="J424" t="b">
        <f>AND(CCData[[#This Row],[Date]]&gt;=Calculation!$E$3,CCData[[#This Row],[Date]]&lt;Calculation!$E$3+7)</f>
        <v>0</v>
      </c>
    </row>
    <row r="425" spans="1:10">
      <c r="A425" t="s">
        <v>424</v>
      </c>
      <c r="B425" s="2">
        <v>42012.527000000002</v>
      </c>
      <c r="C425" s="3" t="s">
        <v>5010</v>
      </c>
      <c r="D425" t="s">
        <v>5015</v>
      </c>
      <c r="E425" t="s">
        <v>5018</v>
      </c>
      <c r="F425" t="s">
        <v>5018</v>
      </c>
      <c r="G425">
        <v>57</v>
      </c>
      <c r="H425" s="5">
        <v>1.7718939228572579E-3</v>
      </c>
      <c r="I425">
        <v>3</v>
      </c>
      <c r="J425" t="b">
        <f>AND(CCData[[#This Row],[Date]]&gt;=Calculation!$E$3,CCData[[#This Row],[Date]]&lt;Calculation!$E$3+7)</f>
        <v>0</v>
      </c>
    </row>
    <row r="426" spans="1:10">
      <c r="A426" t="s">
        <v>425</v>
      </c>
      <c r="B426" s="2">
        <v>42012.534</v>
      </c>
      <c r="C426" s="3" t="s">
        <v>5005</v>
      </c>
      <c r="D426" t="s">
        <v>5012</v>
      </c>
      <c r="E426" t="s">
        <v>5019</v>
      </c>
      <c r="F426" t="s">
        <v>5019</v>
      </c>
      <c r="G426" t="s">
        <v>5022</v>
      </c>
      <c r="H426" s="5" t="s">
        <v>5022</v>
      </c>
      <c r="I426" t="s">
        <v>5022</v>
      </c>
      <c r="J426" t="b">
        <f>AND(CCData[[#This Row],[Date]]&gt;=Calculation!$E$3,CCData[[#This Row],[Date]]&lt;Calculation!$E$3+7)</f>
        <v>0</v>
      </c>
    </row>
    <row r="427" spans="1:10">
      <c r="A427" t="s">
        <v>426</v>
      </c>
      <c r="B427" s="2">
        <v>42012.534</v>
      </c>
      <c r="C427" s="3" t="s">
        <v>5003</v>
      </c>
      <c r="D427" t="s">
        <v>5012</v>
      </c>
      <c r="E427" t="s">
        <v>5018</v>
      </c>
      <c r="F427" t="s">
        <v>5019</v>
      </c>
      <c r="G427">
        <v>87</v>
      </c>
      <c r="H427" s="5">
        <v>4.3699222428970922E-3</v>
      </c>
      <c r="I427">
        <v>4</v>
      </c>
      <c r="J427" t="b">
        <f>AND(CCData[[#This Row],[Date]]&gt;=Calculation!$E$3,CCData[[#This Row],[Date]]&lt;Calculation!$E$3+7)</f>
        <v>0</v>
      </c>
    </row>
    <row r="428" spans="1:10">
      <c r="A428" t="s">
        <v>427</v>
      </c>
      <c r="B428" s="2">
        <v>42012.548999999999</v>
      </c>
      <c r="C428" s="3" t="s">
        <v>5003</v>
      </c>
      <c r="D428" t="s">
        <v>5014</v>
      </c>
      <c r="E428" t="s">
        <v>5019</v>
      </c>
      <c r="F428" t="s">
        <v>5019</v>
      </c>
      <c r="G428" t="s">
        <v>5022</v>
      </c>
      <c r="H428" s="5" t="s">
        <v>5022</v>
      </c>
      <c r="I428" t="s">
        <v>5022</v>
      </c>
      <c r="J428" t="b">
        <f>AND(CCData[[#This Row],[Date]]&gt;=Calculation!$E$3,CCData[[#This Row],[Date]]&lt;Calculation!$E$3+7)</f>
        <v>0</v>
      </c>
    </row>
    <row r="429" spans="1:10">
      <c r="A429" t="s">
        <v>428</v>
      </c>
      <c r="B429" s="2">
        <v>42012.548999999999</v>
      </c>
      <c r="C429" s="3" t="s">
        <v>5006</v>
      </c>
      <c r="D429" t="s">
        <v>5016</v>
      </c>
      <c r="E429" t="s">
        <v>5018</v>
      </c>
      <c r="F429" t="s">
        <v>5018</v>
      </c>
      <c r="G429">
        <v>81</v>
      </c>
      <c r="H429" s="5">
        <v>4.1190082875100327E-3</v>
      </c>
      <c r="I429">
        <v>3</v>
      </c>
      <c r="J429" t="b">
        <f>AND(CCData[[#This Row],[Date]]&gt;=Calculation!$E$3,CCData[[#This Row],[Date]]&lt;Calculation!$E$3+7)</f>
        <v>0</v>
      </c>
    </row>
    <row r="430" spans="1:10">
      <c r="A430" t="s">
        <v>429</v>
      </c>
      <c r="B430" s="2">
        <v>42012.548999999999</v>
      </c>
      <c r="C430" s="3" t="s">
        <v>5008</v>
      </c>
      <c r="D430" t="s">
        <v>5013</v>
      </c>
      <c r="E430" t="s">
        <v>5019</v>
      </c>
      <c r="F430" t="s">
        <v>5019</v>
      </c>
      <c r="G430" t="s">
        <v>5022</v>
      </c>
      <c r="H430" s="5" t="s">
        <v>5022</v>
      </c>
      <c r="I430" t="s">
        <v>5022</v>
      </c>
      <c r="J430" t="b">
        <f>AND(CCData[[#This Row],[Date]]&gt;=Calculation!$E$3,CCData[[#This Row],[Date]]&lt;Calculation!$E$3+7)</f>
        <v>0</v>
      </c>
    </row>
    <row r="431" spans="1:10">
      <c r="A431" t="s">
        <v>430</v>
      </c>
      <c r="B431" s="2">
        <v>42012.548999999999</v>
      </c>
      <c r="C431" s="3" t="s">
        <v>5007</v>
      </c>
      <c r="D431" t="s">
        <v>5016</v>
      </c>
      <c r="E431" t="s">
        <v>5018</v>
      </c>
      <c r="F431" t="s">
        <v>5018</v>
      </c>
      <c r="G431">
        <v>47</v>
      </c>
      <c r="H431" s="5">
        <v>1.5192020106950294E-3</v>
      </c>
      <c r="I431">
        <v>5</v>
      </c>
      <c r="J431" t="b">
        <f>AND(CCData[[#This Row],[Date]]&gt;=Calculation!$E$3,CCData[[#This Row],[Date]]&lt;Calculation!$E$3+7)</f>
        <v>0</v>
      </c>
    </row>
    <row r="432" spans="1:10">
      <c r="A432" t="s">
        <v>431</v>
      </c>
      <c r="B432" s="2">
        <v>42012.553999999996</v>
      </c>
      <c r="C432" s="3" t="s">
        <v>5008</v>
      </c>
      <c r="D432" t="s">
        <v>5016</v>
      </c>
      <c r="E432" t="s">
        <v>5018</v>
      </c>
      <c r="F432" t="s">
        <v>5018</v>
      </c>
      <c r="G432">
        <v>57</v>
      </c>
      <c r="H432" s="5">
        <v>4.3395725204222633E-3</v>
      </c>
      <c r="I432">
        <v>4</v>
      </c>
      <c r="J432" t="b">
        <f>AND(CCData[[#This Row],[Date]]&gt;=Calculation!$E$3,CCData[[#This Row],[Date]]&lt;Calculation!$E$3+7)</f>
        <v>0</v>
      </c>
    </row>
    <row r="433" spans="1:10">
      <c r="A433" t="s">
        <v>432</v>
      </c>
      <c r="B433" s="2">
        <v>42012.553999999996</v>
      </c>
      <c r="C433" s="3" t="s">
        <v>5004</v>
      </c>
      <c r="D433" t="s">
        <v>5014</v>
      </c>
      <c r="E433" t="s">
        <v>5019</v>
      </c>
      <c r="F433" t="s">
        <v>5019</v>
      </c>
      <c r="G433" t="s">
        <v>5022</v>
      </c>
      <c r="H433" s="5" t="s">
        <v>5022</v>
      </c>
      <c r="I433" t="s">
        <v>5022</v>
      </c>
      <c r="J433" t="b">
        <f>AND(CCData[[#This Row],[Date]]&gt;=Calculation!$E$3,CCData[[#This Row],[Date]]&lt;Calculation!$E$3+7)</f>
        <v>0</v>
      </c>
    </row>
    <row r="434" spans="1:10">
      <c r="A434" t="s">
        <v>433</v>
      </c>
      <c r="B434" s="2">
        <v>42012.572</v>
      </c>
      <c r="C434" s="3" t="s">
        <v>5008</v>
      </c>
      <c r="D434" t="s">
        <v>5012</v>
      </c>
      <c r="E434" t="s">
        <v>5018</v>
      </c>
      <c r="F434" t="s">
        <v>5018</v>
      </c>
      <c r="G434">
        <v>104</v>
      </c>
      <c r="H434" s="5">
        <v>2.7190539358879686E-3</v>
      </c>
      <c r="I434">
        <v>4</v>
      </c>
      <c r="J434" t="b">
        <f>AND(CCData[[#This Row],[Date]]&gt;=Calculation!$E$3,CCData[[#This Row],[Date]]&lt;Calculation!$E$3+7)</f>
        <v>0</v>
      </c>
    </row>
    <row r="435" spans="1:10">
      <c r="A435" t="s">
        <v>434</v>
      </c>
      <c r="B435" s="2">
        <v>42012.572</v>
      </c>
      <c r="C435" s="3" t="s">
        <v>5004</v>
      </c>
      <c r="D435" t="s">
        <v>5015</v>
      </c>
      <c r="E435" t="s">
        <v>5018</v>
      </c>
      <c r="F435" t="s">
        <v>5018</v>
      </c>
      <c r="G435">
        <v>16</v>
      </c>
      <c r="H435" s="5">
        <v>4.0014669809054753E-3</v>
      </c>
      <c r="I435">
        <v>3</v>
      </c>
      <c r="J435" t="b">
        <f>AND(CCData[[#This Row],[Date]]&gt;=Calculation!$E$3,CCData[[#This Row],[Date]]&lt;Calculation!$E$3+7)</f>
        <v>0</v>
      </c>
    </row>
    <row r="436" spans="1:10">
      <c r="A436" t="s">
        <v>435</v>
      </c>
      <c r="B436" s="2">
        <v>42012.650999999998</v>
      </c>
      <c r="C436" s="3" t="s">
        <v>5006</v>
      </c>
      <c r="D436" t="s">
        <v>5016</v>
      </c>
      <c r="E436" t="s">
        <v>5018</v>
      </c>
      <c r="F436" t="s">
        <v>5018</v>
      </c>
      <c r="G436">
        <v>37</v>
      </c>
      <c r="H436" s="5">
        <v>2.9298018096601017E-3</v>
      </c>
      <c r="I436">
        <v>4</v>
      </c>
      <c r="J436" t="b">
        <f>AND(CCData[[#This Row],[Date]]&gt;=Calculation!$E$3,CCData[[#This Row],[Date]]&lt;Calculation!$E$3+7)</f>
        <v>0</v>
      </c>
    </row>
    <row r="437" spans="1:10">
      <c r="A437" t="s">
        <v>436</v>
      </c>
      <c r="B437" s="2">
        <v>42012.650999999998</v>
      </c>
      <c r="C437" s="3" t="s">
        <v>5003</v>
      </c>
      <c r="D437" t="s">
        <v>5015</v>
      </c>
      <c r="E437" t="s">
        <v>5019</v>
      </c>
      <c r="F437" t="s">
        <v>5019</v>
      </c>
      <c r="G437" t="s">
        <v>5022</v>
      </c>
      <c r="H437" s="5" t="s">
        <v>5022</v>
      </c>
      <c r="I437" t="s">
        <v>5022</v>
      </c>
      <c r="J437" t="b">
        <f>AND(CCData[[#This Row],[Date]]&gt;=Calculation!$E$3,CCData[[#This Row],[Date]]&lt;Calculation!$E$3+7)</f>
        <v>0</v>
      </c>
    </row>
    <row r="438" spans="1:10">
      <c r="A438" t="s">
        <v>437</v>
      </c>
      <c r="B438" s="2">
        <v>42012.654999999999</v>
      </c>
      <c r="C438" s="3" t="s">
        <v>5005</v>
      </c>
      <c r="D438" t="s">
        <v>5013</v>
      </c>
      <c r="E438" t="s">
        <v>5018</v>
      </c>
      <c r="F438" t="s">
        <v>5018</v>
      </c>
      <c r="G438">
        <v>61</v>
      </c>
      <c r="H438" s="5">
        <v>1.4608603616541964E-3</v>
      </c>
      <c r="I438">
        <v>4</v>
      </c>
      <c r="J438" t="b">
        <f>AND(CCData[[#This Row],[Date]]&gt;=Calculation!$E$3,CCData[[#This Row],[Date]]&lt;Calculation!$E$3+7)</f>
        <v>0</v>
      </c>
    </row>
    <row r="439" spans="1:10">
      <c r="A439" t="s">
        <v>438</v>
      </c>
      <c r="B439" s="2">
        <v>42012.654999999999</v>
      </c>
      <c r="C439" s="3" t="s">
        <v>5005</v>
      </c>
      <c r="D439" t="s">
        <v>5015</v>
      </c>
      <c r="E439" t="s">
        <v>5018</v>
      </c>
      <c r="F439" t="s">
        <v>5019</v>
      </c>
      <c r="G439">
        <v>41</v>
      </c>
      <c r="H439" s="5">
        <v>2.203099344810183E-3</v>
      </c>
      <c r="I439">
        <v>4</v>
      </c>
      <c r="J439" t="b">
        <f>AND(CCData[[#This Row],[Date]]&gt;=Calculation!$E$3,CCData[[#This Row],[Date]]&lt;Calculation!$E$3+7)</f>
        <v>0</v>
      </c>
    </row>
    <row r="440" spans="1:10">
      <c r="A440" t="s">
        <v>439</v>
      </c>
      <c r="B440" s="2">
        <v>42012.661999999997</v>
      </c>
      <c r="C440" s="3" t="s">
        <v>5003</v>
      </c>
      <c r="D440" t="s">
        <v>5016</v>
      </c>
      <c r="E440" t="s">
        <v>5018</v>
      </c>
      <c r="F440" t="s">
        <v>5018</v>
      </c>
      <c r="G440">
        <v>40</v>
      </c>
      <c r="H440" s="5">
        <v>9.4029767483428349E-4</v>
      </c>
      <c r="I440">
        <v>4</v>
      </c>
      <c r="J440" t="b">
        <f>AND(CCData[[#This Row],[Date]]&gt;=Calculation!$E$3,CCData[[#This Row],[Date]]&lt;Calculation!$E$3+7)</f>
        <v>0</v>
      </c>
    </row>
    <row r="441" spans="1:10">
      <c r="A441" t="s">
        <v>440</v>
      </c>
      <c r="B441" s="2">
        <v>42012.661999999997</v>
      </c>
      <c r="C441" s="3" t="s">
        <v>5003</v>
      </c>
      <c r="D441" t="s">
        <v>5015</v>
      </c>
      <c r="E441" t="s">
        <v>5018</v>
      </c>
      <c r="F441" t="s">
        <v>5018</v>
      </c>
      <c r="G441">
        <v>55</v>
      </c>
      <c r="H441" s="5">
        <v>3.7123535823517721E-3</v>
      </c>
      <c r="I441">
        <v>2</v>
      </c>
      <c r="J441" t="b">
        <f>AND(CCData[[#This Row],[Date]]&gt;=Calculation!$E$3,CCData[[#This Row],[Date]]&lt;Calculation!$E$3+7)</f>
        <v>0</v>
      </c>
    </row>
    <row r="442" spans="1:10">
      <c r="A442" t="s">
        <v>441</v>
      </c>
      <c r="B442" s="2">
        <v>42012.663</v>
      </c>
      <c r="C442" s="3" t="s">
        <v>5006</v>
      </c>
      <c r="D442" t="s">
        <v>5015</v>
      </c>
      <c r="E442" t="s">
        <v>5018</v>
      </c>
      <c r="F442" t="s">
        <v>5018</v>
      </c>
      <c r="G442">
        <v>92</v>
      </c>
      <c r="H442" s="5">
        <v>6.1067740154044619E-4</v>
      </c>
      <c r="I442">
        <v>3</v>
      </c>
      <c r="J442" t="b">
        <f>AND(CCData[[#This Row],[Date]]&gt;=Calculation!$E$3,CCData[[#This Row],[Date]]&lt;Calculation!$E$3+7)</f>
        <v>0</v>
      </c>
    </row>
    <row r="443" spans="1:10">
      <c r="A443" t="s">
        <v>442</v>
      </c>
      <c r="B443" s="2">
        <v>42012.663</v>
      </c>
      <c r="C443" s="3" t="s">
        <v>5010</v>
      </c>
      <c r="D443" t="s">
        <v>5012</v>
      </c>
      <c r="E443" t="s">
        <v>5018</v>
      </c>
      <c r="F443" t="s">
        <v>5018</v>
      </c>
      <c r="G443">
        <v>118</v>
      </c>
      <c r="H443" s="5">
        <v>1.1344796332245293E-3</v>
      </c>
      <c r="I443">
        <v>5</v>
      </c>
      <c r="J443" t="b">
        <f>AND(CCData[[#This Row],[Date]]&gt;=Calculation!$E$3,CCData[[#This Row],[Date]]&lt;Calculation!$E$3+7)</f>
        <v>0</v>
      </c>
    </row>
    <row r="444" spans="1:10">
      <c r="A444" t="s">
        <v>443</v>
      </c>
      <c r="B444" s="2">
        <v>42012.692999999999</v>
      </c>
      <c r="C444" s="3" t="s">
        <v>5010</v>
      </c>
      <c r="D444" t="s">
        <v>5016</v>
      </c>
      <c r="E444" t="s">
        <v>5018</v>
      </c>
      <c r="F444" t="s">
        <v>5018</v>
      </c>
      <c r="G444">
        <v>82</v>
      </c>
      <c r="H444" s="5">
        <v>3.9734820368569849E-3</v>
      </c>
      <c r="I444">
        <v>3</v>
      </c>
      <c r="J444" t="b">
        <f>AND(CCData[[#This Row],[Date]]&gt;=Calculation!$E$3,CCData[[#This Row],[Date]]&lt;Calculation!$E$3+7)</f>
        <v>0</v>
      </c>
    </row>
    <row r="445" spans="1:10">
      <c r="A445" t="s">
        <v>444</v>
      </c>
      <c r="B445" s="2">
        <v>42012.692999999999</v>
      </c>
      <c r="C445" s="3" t="s">
        <v>5010</v>
      </c>
      <c r="D445" t="s">
        <v>5016</v>
      </c>
      <c r="E445" t="s">
        <v>5018</v>
      </c>
      <c r="F445" t="s">
        <v>5018</v>
      </c>
      <c r="G445">
        <v>83</v>
      </c>
      <c r="H445" s="5">
        <v>9.285054122271085E-4</v>
      </c>
      <c r="I445">
        <v>3</v>
      </c>
      <c r="J445" t="b">
        <f>AND(CCData[[#This Row],[Date]]&gt;=Calculation!$E$3,CCData[[#This Row],[Date]]&lt;Calculation!$E$3+7)</f>
        <v>0</v>
      </c>
    </row>
    <row r="446" spans="1:10">
      <c r="A446" t="s">
        <v>445</v>
      </c>
      <c r="B446" s="2">
        <v>42012.75</v>
      </c>
      <c r="C446" s="3" t="s">
        <v>5007</v>
      </c>
      <c r="D446" t="s">
        <v>5014</v>
      </c>
      <c r="E446" t="s">
        <v>5018</v>
      </c>
      <c r="F446" t="s">
        <v>5018</v>
      </c>
      <c r="G446">
        <v>78</v>
      </c>
      <c r="H446" s="5">
        <v>3.6171605096147119E-3</v>
      </c>
      <c r="I446">
        <v>2</v>
      </c>
      <c r="J446" t="b">
        <f>AND(CCData[[#This Row],[Date]]&gt;=Calculation!$E$3,CCData[[#This Row],[Date]]&lt;Calculation!$E$3+7)</f>
        <v>0</v>
      </c>
    </row>
    <row r="447" spans="1:10">
      <c r="A447" t="s">
        <v>446</v>
      </c>
      <c r="B447" s="2">
        <v>42012.75</v>
      </c>
      <c r="C447" s="3" t="s">
        <v>5003</v>
      </c>
      <c r="D447" t="s">
        <v>5014</v>
      </c>
      <c r="E447" t="s">
        <v>5018</v>
      </c>
      <c r="F447" t="s">
        <v>5019</v>
      </c>
      <c r="G447">
        <v>111</v>
      </c>
      <c r="H447" s="5">
        <v>3.6370266294730789E-3</v>
      </c>
      <c r="I447">
        <v>5</v>
      </c>
      <c r="J447" t="b">
        <f>AND(CCData[[#This Row],[Date]]&gt;=Calculation!$E$3,CCData[[#This Row],[Date]]&lt;Calculation!$E$3+7)</f>
        <v>0</v>
      </c>
    </row>
    <row r="448" spans="1:10">
      <c r="A448" t="s">
        <v>447</v>
      </c>
      <c r="B448" s="2">
        <v>42013.38</v>
      </c>
      <c r="C448" s="3" t="s">
        <v>5007</v>
      </c>
      <c r="D448" t="s">
        <v>5012</v>
      </c>
      <c r="E448" t="s">
        <v>5018</v>
      </c>
      <c r="F448" t="s">
        <v>5018</v>
      </c>
      <c r="G448">
        <v>107</v>
      </c>
      <c r="H448" s="5">
        <v>3.7262238739609022E-3</v>
      </c>
      <c r="I448">
        <v>4</v>
      </c>
      <c r="J448" t="b">
        <f>AND(CCData[[#This Row],[Date]]&gt;=Calculation!$E$3,CCData[[#This Row],[Date]]&lt;Calculation!$E$3+7)</f>
        <v>0</v>
      </c>
    </row>
    <row r="449" spans="1:10">
      <c r="A449" t="s">
        <v>448</v>
      </c>
      <c r="B449" s="2">
        <v>42013.38</v>
      </c>
      <c r="C449" s="3" t="s">
        <v>5009</v>
      </c>
      <c r="D449" t="s">
        <v>5016</v>
      </c>
      <c r="E449" t="s">
        <v>5018</v>
      </c>
      <c r="F449" t="s">
        <v>5018</v>
      </c>
      <c r="G449">
        <v>108</v>
      </c>
      <c r="H449" s="5">
        <v>2.8087348053904139E-3</v>
      </c>
      <c r="I449">
        <v>2</v>
      </c>
      <c r="J449" t="b">
        <f>AND(CCData[[#This Row],[Date]]&gt;=Calculation!$E$3,CCData[[#This Row],[Date]]&lt;Calculation!$E$3+7)</f>
        <v>0</v>
      </c>
    </row>
    <row r="450" spans="1:10">
      <c r="A450" t="s">
        <v>449</v>
      </c>
      <c r="B450" s="2">
        <v>42013.392</v>
      </c>
      <c r="C450" s="3" t="s">
        <v>5006</v>
      </c>
      <c r="D450" t="s">
        <v>5014</v>
      </c>
      <c r="E450" t="s">
        <v>5018</v>
      </c>
      <c r="F450" t="s">
        <v>5018</v>
      </c>
      <c r="G450">
        <v>97</v>
      </c>
      <c r="H450" s="5">
        <v>1.8377010160090515E-3</v>
      </c>
      <c r="I450">
        <v>5</v>
      </c>
      <c r="J450" t="b">
        <f>AND(CCData[[#This Row],[Date]]&gt;=Calculation!$E$3,CCData[[#This Row],[Date]]&lt;Calculation!$E$3+7)</f>
        <v>0</v>
      </c>
    </row>
    <row r="451" spans="1:10">
      <c r="A451" t="s">
        <v>450</v>
      </c>
      <c r="B451" s="2">
        <v>42013.392</v>
      </c>
      <c r="C451" s="3" t="s">
        <v>5010</v>
      </c>
      <c r="D451" t="s">
        <v>5016</v>
      </c>
      <c r="E451" t="s">
        <v>5018</v>
      </c>
      <c r="F451" t="s">
        <v>5018</v>
      </c>
      <c r="G451">
        <v>31</v>
      </c>
      <c r="H451" s="5">
        <v>4.3934689789040353E-3</v>
      </c>
      <c r="I451">
        <v>5</v>
      </c>
      <c r="J451" t="b">
        <f>AND(CCData[[#This Row],[Date]]&gt;=Calculation!$E$3,CCData[[#This Row],[Date]]&lt;Calculation!$E$3+7)</f>
        <v>0</v>
      </c>
    </row>
    <row r="452" spans="1:10">
      <c r="A452" t="s">
        <v>451</v>
      </c>
      <c r="B452" s="2">
        <v>42013.398999999998</v>
      </c>
      <c r="C452" s="3" t="s">
        <v>5009</v>
      </c>
      <c r="D452" t="s">
        <v>5014</v>
      </c>
      <c r="E452" t="s">
        <v>5018</v>
      </c>
      <c r="F452" t="s">
        <v>5018</v>
      </c>
      <c r="G452">
        <v>20</v>
      </c>
      <c r="H452" s="5">
        <v>1.2653144077849866E-3</v>
      </c>
      <c r="I452">
        <v>4</v>
      </c>
      <c r="J452" t="b">
        <f>AND(CCData[[#This Row],[Date]]&gt;=Calculation!$E$3,CCData[[#This Row],[Date]]&lt;Calculation!$E$3+7)</f>
        <v>0</v>
      </c>
    </row>
    <row r="453" spans="1:10">
      <c r="A453" t="s">
        <v>452</v>
      </c>
      <c r="B453" s="2">
        <v>42013.398999999998</v>
      </c>
      <c r="C453" s="3" t="s">
        <v>5007</v>
      </c>
      <c r="D453" t="s">
        <v>5015</v>
      </c>
      <c r="E453" t="s">
        <v>5018</v>
      </c>
      <c r="F453" t="s">
        <v>5018</v>
      </c>
      <c r="G453">
        <v>110</v>
      </c>
      <c r="H453" s="5">
        <v>4.7770017831429961E-3</v>
      </c>
      <c r="I453">
        <v>3</v>
      </c>
      <c r="J453" t="b">
        <f>AND(CCData[[#This Row],[Date]]&gt;=Calculation!$E$3,CCData[[#This Row],[Date]]&lt;Calculation!$E$3+7)</f>
        <v>0</v>
      </c>
    </row>
    <row r="454" spans="1:10">
      <c r="A454" t="s">
        <v>453</v>
      </c>
      <c r="B454" s="2">
        <v>42013.432000000001</v>
      </c>
      <c r="C454" s="3" t="s">
        <v>5010</v>
      </c>
      <c r="D454" t="s">
        <v>5013</v>
      </c>
      <c r="E454" t="s">
        <v>5018</v>
      </c>
      <c r="F454" t="s">
        <v>5018</v>
      </c>
      <c r="G454">
        <v>86</v>
      </c>
      <c r="H454" s="5">
        <v>3.4916902869246932E-3</v>
      </c>
      <c r="I454">
        <v>5</v>
      </c>
      <c r="J454" t="b">
        <f>AND(CCData[[#This Row],[Date]]&gt;=Calculation!$E$3,CCData[[#This Row],[Date]]&lt;Calculation!$E$3+7)</f>
        <v>0</v>
      </c>
    </row>
    <row r="455" spans="1:10">
      <c r="A455" t="s">
        <v>454</v>
      </c>
      <c r="B455" s="2">
        <v>42013.432000000001</v>
      </c>
      <c r="C455" s="3" t="s">
        <v>5004</v>
      </c>
      <c r="D455" t="s">
        <v>5016</v>
      </c>
      <c r="E455" t="s">
        <v>5018</v>
      </c>
      <c r="F455" t="s">
        <v>5018</v>
      </c>
      <c r="G455">
        <v>77</v>
      </c>
      <c r="H455" s="5">
        <v>1.5169800202256062E-3</v>
      </c>
      <c r="I455">
        <v>4</v>
      </c>
      <c r="J455" t="b">
        <f>AND(CCData[[#This Row],[Date]]&gt;=Calculation!$E$3,CCData[[#This Row],[Date]]&lt;Calculation!$E$3+7)</f>
        <v>0</v>
      </c>
    </row>
    <row r="456" spans="1:10">
      <c r="A456" t="s">
        <v>455</v>
      </c>
      <c r="B456" s="2">
        <v>42013.436999999998</v>
      </c>
      <c r="C456" s="3" t="s">
        <v>5003</v>
      </c>
      <c r="D456" t="s">
        <v>5016</v>
      </c>
      <c r="E456" t="s">
        <v>5018</v>
      </c>
      <c r="F456" t="s">
        <v>5018</v>
      </c>
      <c r="G456">
        <v>119</v>
      </c>
      <c r="H456" s="5">
        <v>4.7077556856552367E-3</v>
      </c>
      <c r="I456">
        <v>3</v>
      </c>
      <c r="J456" t="b">
        <f>AND(CCData[[#This Row],[Date]]&gt;=Calculation!$E$3,CCData[[#This Row],[Date]]&lt;Calculation!$E$3+7)</f>
        <v>0</v>
      </c>
    </row>
    <row r="457" spans="1:10">
      <c r="A457" t="s">
        <v>456</v>
      </c>
      <c r="B457" s="2">
        <v>42013.436999999998</v>
      </c>
      <c r="C457" s="3" t="s">
        <v>5009</v>
      </c>
      <c r="D457" t="s">
        <v>5015</v>
      </c>
      <c r="E457" t="s">
        <v>5019</v>
      </c>
      <c r="F457" t="s">
        <v>5019</v>
      </c>
      <c r="G457" t="s">
        <v>5022</v>
      </c>
      <c r="H457" s="5" t="s">
        <v>5022</v>
      </c>
      <c r="I457" t="s">
        <v>5022</v>
      </c>
      <c r="J457" t="b">
        <f>AND(CCData[[#This Row],[Date]]&gt;=Calculation!$E$3,CCData[[#This Row],[Date]]&lt;Calculation!$E$3+7)</f>
        <v>0</v>
      </c>
    </row>
    <row r="458" spans="1:10">
      <c r="A458" t="s">
        <v>457</v>
      </c>
      <c r="B458" s="2">
        <v>42013.438999999998</v>
      </c>
      <c r="C458" s="3" t="s">
        <v>5007</v>
      </c>
      <c r="D458" t="s">
        <v>5013</v>
      </c>
      <c r="E458" t="s">
        <v>5018</v>
      </c>
      <c r="F458" t="s">
        <v>5018</v>
      </c>
      <c r="G458">
        <v>13</v>
      </c>
      <c r="H458" s="5">
        <v>2.1503071424375316E-3</v>
      </c>
      <c r="I458">
        <v>3</v>
      </c>
      <c r="J458" t="b">
        <f>AND(CCData[[#This Row],[Date]]&gt;=Calculation!$E$3,CCData[[#This Row],[Date]]&lt;Calculation!$E$3+7)</f>
        <v>0</v>
      </c>
    </row>
    <row r="459" spans="1:10">
      <c r="A459" t="s">
        <v>458</v>
      </c>
      <c r="B459" s="2">
        <v>42013.438999999998</v>
      </c>
      <c r="C459" s="3" t="s">
        <v>5005</v>
      </c>
      <c r="D459" t="s">
        <v>5014</v>
      </c>
      <c r="E459" t="s">
        <v>5018</v>
      </c>
      <c r="F459" t="s">
        <v>5018</v>
      </c>
      <c r="G459">
        <v>106</v>
      </c>
      <c r="H459" s="5">
        <v>1.7042814518432551E-3</v>
      </c>
      <c r="I459">
        <v>5</v>
      </c>
      <c r="J459" t="b">
        <f>AND(CCData[[#This Row],[Date]]&gt;=Calculation!$E$3,CCData[[#This Row],[Date]]&lt;Calculation!$E$3+7)</f>
        <v>0</v>
      </c>
    </row>
    <row r="460" spans="1:10">
      <c r="A460" t="s">
        <v>459</v>
      </c>
      <c r="B460" s="2">
        <v>42013.457000000002</v>
      </c>
      <c r="C460" s="3" t="s">
        <v>5008</v>
      </c>
      <c r="D460" t="s">
        <v>5014</v>
      </c>
      <c r="E460" t="s">
        <v>5018</v>
      </c>
      <c r="F460" t="s">
        <v>5018</v>
      </c>
      <c r="G460">
        <v>35</v>
      </c>
      <c r="H460" s="5">
        <v>3.7589365805693799E-3</v>
      </c>
      <c r="I460">
        <v>3</v>
      </c>
      <c r="J460" t="b">
        <f>AND(CCData[[#This Row],[Date]]&gt;=Calculation!$E$3,CCData[[#This Row],[Date]]&lt;Calculation!$E$3+7)</f>
        <v>0</v>
      </c>
    </row>
    <row r="461" spans="1:10">
      <c r="A461" t="s">
        <v>460</v>
      </c>
      <c r="B461" s="2">
        <v>42013.457000000002</v>
      </c>
      <c r="C461" s="3" t="s">
        <v>5009</v>
      </c>
      <c r="D461" t="s">
        <v>5012</v>
      </c>
      <c r="E461" t="s">
        <v>5018</v>
      </c>
      <c r="F461" t="s">
        <v>5019</v>
      </c>
      <c r="G461">
        <v>46</v>
      </c>
      <c r="H461" s="5">
        <v>3.7340885844548274E-3</v>
      </c>
      <c r="I461">
        <v>3</v>
      </c>
      <c r="J461" t="b">
        <f>AND(CCData[[#This Row],[Date]]&gt;=Calculation!$E$3,CCData[[#This Row],[Date]]&lt;Calculation!$E$3+7)</f>
        <v>0</v>
      </c>
    </row>
    <row r="462" spans="1:10">
      <c r="A462" t="s">
        <v>461</v>
      </c>
      <c r="B462" s="2">
        <v>42013.462</v>
      </c>
      <c r="C462" s="3" t="s">
        <v>5005</v>
      </c>
      <c r="D462" t="s">
        <v>5015</v>
      </c>
      <c r="E462" t="s">
        <v>5018</v>
      </c>
      <c r="F462" t="s">
        <v>5019</v>
      </c>
      <c r="G462">
        <v>24</v>
      </c>
      <c r="H462" s="5">
        <v>4.3427281565558461E-3</v>
      </c>
      <c r="I462">
        <v>3</v>
      </c>
      <c r="J462" t="b">
        <f>AND(CCData[[#This Row],[Date]]&gt;=Calculation!$E$3,CCData[[#This Row],[Date]]&lt;Calculation!$E$3+7)</f>
        <v>0</v>
      </c>
    </row>
    <row r="463" spans="1:10">
      <c r="A463" t="s">
        <v>462</v>
      </c>
      <c r="B463" s="2">
        <v>42013.462</v>
      </c>
      <c r="C463" s="3" t="s">
        <v>5005</v>
      </c>
      <c r="D463" t="s">
        <v>5016</v>
      </c>
      <c r="E463" t="s">
        <v>5018</v>
      </c>
      <c r="F463" t="s">
        <v>5018</v>
      </c>
      <c r="G463">
        <v>88</v>
      </c>
      <c r="H463" s="5">
        <v>4.5471504887073739E-3</v>
      </c>
      <c r="I463">
        <v>5</v>
      </c>
      <c r="J463" t="b">
        <f>AND(CCData[[#This Row],[Date]]&gt;=Calculation!$E$3,CCData[[#This Row],[Date]]&lt;Calculation!$E$3+7)</f>
        <v>0</v>
      </c>
    </row>
    <row r="464" spans="1:10">
      <c r="A464" t="s">
        <v>463</v>
      </c>
      <c r="B464" s="2">
        <v>42013.466</v>
      </c>
      <c r="C464" s="3" t="s">
        <v>5008</v>
      </c>
      <c r="D464" t="s">
        <v>5015</v>
      </c>
      <c r="E464" t="s">
        <v>5018</v>
      </c>
      <c r="F464" t="s">
        <v>5018</v>
      </c>
      <c r="G464">
        <v>81</v>
      </c>
      <c r="H464" s="5">
        <v>1.874826061556032E-3</v>
      </c>
      <c r="I464">
        <v>3</v>
      </c>
      <c r="J464" t="b">
        <f>AND(CCData[[#This Row],[Date]]&gt;=Calculation!$E$3,CCData[[#This Row],[Date]]&lt;Calculation!$E$3+7)</f>
        <v>0</v>
      </c>
    </row>
    <row r="465" spans="1:10">
      <c r="A465" t="s">
        <v>464</v>
      </c>
      <c r="B465" s="2">
        <v>42013.466</v>
      </c>
      <c r="C465" s="3" t="s">
        <v>5007</v>
      </c>
      <c r="D465" t="s">
        <v>5014</v>
      </c>
      <c r="E465" t="s">
        <v>5018</v>
      </c>
      <c r="F465" t="s">
        <v>5018</v>
      </c>
      <c r="G465">
        <v>96</v>
      </c>
      <c r="H465" s="5">
        <v>3.1647434931005992E-3</v>
      </c>
      <c r="I465">
        <v>3</v>
      </c>
      <c r="J465" t="b">
        <f>AND(CCData[[#This Row],[Date]]&gt;=Calculation!$E$3,CCData[[#This Row],[Date]]&lt;Calculation!$E$3+7)</f>
        <v>0</v>
      </c>
    </row>
    <row r="466" spans="1:10">
      <c r="A466" t="s">
        <v>465</v>
      </c>
      <c r="B466" s="2">
        <v>42013.47</v>
      </c>
      <c r="C466" s="3" t="s">
        <v>5004</v>
      </c>
      <c r="D466" t="s">
        <v>5015</v>
      </c>
      <c r="E466" t="s">
        <v>5018</v>
      </c>
      <c r="F466" t="s">
        <v>5018</v>
      </c>
      <c r="G466">
        <v>46</v>
      </c>
      <c r="H466" s="5">
        <v>4.2189600570136229E-3</v>
      </c>
      <c r="I466">
        <v>3</v>
      </c>
      <c r="J466" t="b">
        <f>AND(CCData[[#This Row],[Date]]&gt;=Calculation!$E$3,CCData[[#This Row],[Date]]&lt;Calculation!$E$3+7)</f>
        <v>0</v>
      </c>
    </row>
    <row r="467" spans="1:10">
      <c r="A467" t="s">
        <v>466</v>
      </c>
      <c r="B467" s="2">
        <v>42013.47</v>
      </c>
      <c r="C467" s="3" t="s">
        <v>5010</v>
      </c>
      <c r="D467" t="s">
        <v>5012</v>
      </c>
      <c r="E467" t="s">
        <v>5018</v>
      </c>
      <c r="F467" t="s">
        <v>5018</v>
      </c>
      <c r="G467">
        <v>25</v>
      </c>
      <c r="H467" s="5">
        <v>1.1601918155412102E-3</v>
      </c>
      <c r="I467">
        <v>4</v>
      </c>
      <c r="J467" t="b">
        <f>AND(CCData[[#This Row],[Date]]&gt;=Calculation!$E$3,CCData[[#This Row],[Date]]&lt;Calculation!$E$3+7)</f>
        <v>0</v>
      </c>
    </row>
    <row r="468" spans="1:10">
      <c r="A468" t="s">
        <v>467</v>
      </c>
      <c r="B468" s="2">
        <v>42013.476000000002</v>
      </c>
      <c r="C468" s="3" t="s">
        <v>5005</v>
      </c>
      <c r="D468" t="s">
        <v>5015</v>
      </c>
      <c r="E468" t="s">
        <v>5018</v>
      </c>
      <c r="F468" t="s">
        <v>5018</v>
      </c>
      <c r="G468">
        <v>81</v>
      </c>
      <c r="H468" s="5">
        <v>1.47425347055376E-3</v>
      </c>
      <c r="I468">
        <v>4</v>
      </c>
      <c r="J468" t="b">
        <f>AND(CCData[[#This Row],[Date]]&gt;=Calculation!$E$3,CCData[[#This Row],[Date]]&lt;Calculation!$E$3+7)</f>
        <v>0</v>
      </c>
    </row>
    <row r="469" spans="1:10">
      <c r="A469" t="s">
        <v>468</v>
      </c>
      <c r="B469" s="2">
        <v>42013.476000000002</v>
      </c>
      <c r="C469" s="3" t="s">
        <v>5010</v>
      </c>
      <c r="D469" t="s">
        <v>5014</v>
      </c>
      <c r="E469" t="s">
        <v>5019</v>
      </c>
      <c r="F469" t="s">
        <v>5019</v>
      </c>
      <c r="G469" t="s">
        <v>5022</v>
      </c>
      <c r="H469" s="5" t="s">
        <v>5022</v>
      </c>
      <c r="I469" t="s">
        <v>5022</v>
      </c>
      <c r="J469" t="b">
        <f>AND(CCData[[#This Row],[Date]]&gt;=Calculation!$E$3,CCData[[#This Row],[Date]]&lt;Calculation!$E$3+7)</f>
        <v>0</v>
      </c>
    </row>
    <row r="470" spans="1:10">
      <c r="A470" t="s">
        <v>469</v>
      </c>
      <c r="B470" s="2">
        <v>42013.491999999998</v>
      </c>
      <c r="C470" s="3" t="s">
        <v>5010</v>
      </c>
      <c r="D470" t="s">
        <v>5013</v>
      </c>
      <c r="E470" t="s">
        <v>5018</v>
      </c>
      <c r="F470" t="s">
        <v>5018</v>
      </c>
      <c r="G470">
        <v>97</v>
      </c>
      <c r="H470" s="5">
        <v>4.7433346163026375E-3</v>
      </c>
      <c r="I470">
        <v>1</v>
      </c>
      <c r="J470" t="b">
        <f>AND(CCData[[#This Row],[Date]]&gt;=Calculation!$E$3,CCData[[#This Row],[Date]]&lt;Calculation!$E$3+7)</f>
        <v>0</v>
      </c>
    </row>
    <row r="471" spans="1:10">
      <c r="A471" t="s">
        <v>470</v>
      </c>
      <c r="B471" s="2">
        <v>42013.491999999998</v>
      </c>
      <c r="C471" s="3" t="s">
        <v>5009</v>
      </c>
      <c r="D471" t="s">
        <v>5013</v>
      </c>
      <c r="E471" t="s">
        <v>5018</v>
      </c>
      <c r="F471" t="s">
        <v>5018</v>
      </c>
      <c r="G471">
        <v>116</v>
      </c>
      <c r="H471" s="5">
        <v>2.2627898638699737E-3</v>
      </c>
      <c r="I471">
        <v>5</v>
      </c>
      <c r="J471" t="b">
        <f>AND(CCData[[#This Row],[Date]]&gt;=Calculation!$E$3,CCData[[#This Row],[Date]]&lt;Calculation!$E$3+7)</f>
        <v>0</v>
      </c>
    </row>
    <row r="472" spans="1:10">
      <c r="A472" t="s">
        <v>471</v>
      </c>
      <c r="B472" s="2">
        <v>42013.491999999998</v>
      </c>
      <c r="C472" s="3" t="s">
        <v>5008</v>
      </c>
      <c r="D472" t="s">
        <v>5014</v>
      </c>
      <c r="E472" t="s">
        <v>5019</v>
      </c>
      <c r="F472" t="s">
        <v>5019</v>
      </c>
      <c r="G472" t="s">
        <v>5022</v>
      </c>
      <c r="H472" s="5" t="s">
        <v>5022</v>
      </c>
      <c r="I472" t="s">
        <v>5022</v>
      </c>
      <c r="J472" t="b">
        <f>AND(CCData[[#This Row],[Date]]&gt;=Calculation!$E$3,CCData[[#This Row],[Date]]&lt;Calculation!$E$3+7)</f>
        <v>0</v>
      </c>
    </row>
    <row r="473" spans="1:10">
      <c r="A473" t="s">
        <v>472</v>
      </c>
      <c r="B473" s="2">
        <v>42013.491999999998</v>
      </c>
      <c r="C473" s="3" t="s">
        <v>5010</v>
      </c>
      <c r="D473" t="s">
        <v>5015</v>
      </c>
      <c r="E473" t="s">
        <v>5019</v>
      </c>
      <c r="F473" t="s">
        <v>5019</v>
      </c>
      <c r="G473" t="s">
        <v>5022</v>
      </c>
      <c r="H473" s="5" t="s">
        <v>5022</v>
      </c>
      <c r="I473" t="s">
        <v>5022</v>
      </c>
      <c r="J473" t="b">
        <f>AND(CCData[[#This Row],[Date]]&gt;=Calculation!$E$3,CCData[[#This Row],[Date]]&lt;Calculation!$E$3+7)</f>
        <v>0</v>
      </c>
    </row>
    <row r="474" spans="1:10">
      <c r="A474" t="s">
        <v>473</v>
      </c>
      <c r="B474" s="2">
        <v>42013.491999999998</v>
      </c>
      <c r="C474" s="3" t="s">
        <v>5004</v>
      </c>
      <c r="D474" t="s">
        <v>5014</v>
      </c>
      <c r="E474" t="s">
        <v>5018</v>
      </c>
      <c r="F474" t="s">
        <v>5018</v>
      </c>
      <c r="G474">
        <v>87</v>
      </c>
      <c r="H474" s="5">
        <v>3.9976504325462863E-3</v>
      </c>
      <c r="I474">
        <v>5</v>
      </c>
      <c r="J474" t="b">
        <f>AND(CCData[[#This Row],[Date]]&gt;=Calculation!$E$3,CCData[[#This Row],[Date]]&lt;Calculation!$E$3+7)</f>
        <v>0</v>
      </c>
    </row>
    <row r="475" spans="1:10">
      <c r="A475" t="s">
        <v>474</v>
      </c>
      <c r="B475" s="2">
        <v>42013.491999999998</v>
      </c>
      <c r="C475" s="3" t="s">
        <v>5010</v>
      </c>
      <c r="D475" t="s">
        <v>5013</v>
      </c>
      <c r="E475" t="s">
        <v>5018</v>
      </c>
      <c r="F475" t="s">
        <v>5018</v>
      </c>
      <c r="G475">
        <v>43</v>
      </c>
      <c r="H475" s="5">
        <v>4.0227163817226574E-4</v>
      </c>
      <c r="I475">
        <v>4</v>
      </c>
      <c r="J475" t="b">
        <f>AND(CCData[[#This Row],[Date]]&gt;=Calculation!$E$3,CCData[[#This Row],[Date]]&lt;Calculation!$E$3+7)</f>
        <v>0</v>
      </c>
    </row>
    <row r="476" spans="1:10">
      <c r="A476" t="s">
        <v>475</v>
      </c>
      <c r="B476" s="2">
        <v>42013.497000000003</v>
      </c>
      <c r="C476" s="3" t="s">
        <v>5006</v>
      </c>
      <c r="D476" t="s">
        <v>5012</v>
      </c>
      <c r="E476" t="s">
        <v>5018</v>
      </c>
      <c r="F476" t="s">
        <v>5018</v>
      </c>
      <c r="G476">
        <v>102</v>
      </c>
      <c r="H476" s="5">
        <v>3.336690730127591E-3</v>
      </c>
      <c r="I476">
        <v>3</v>
      </c>
      <c r="J476" t="b">
        <f>AND(CCData[[#This Row],[Date]]&gt;=Calculation!$E$3,CCData[[#This Row],[Date]]&lt;Calculation!$E$3+7)</f>
        <v>0</v>
      </c>
    </row>
    <row r="477" spans="1:10">
      <c r="A477" t="s">
        <v>476</v>
      </c>
      <c r="B477" s="2">
        <v>42013.497000000003</v>
      </c>
      <c r="C477" s="3" t="s">
        <v>5010</v>
      </c>
      <c r="D477" t="s">
        <v>5014</v>
      </c>
      <c r="E477" t="s">
        <v>5018</v>
      </c>
      <c r="F477" t="s">
        <v>5018</v>
      </c>
      <c r="G477">
        <v>95</v>
      </c>
      <c r="H477" s="5">
        <v>4.0447871585963498E-3</v>
      </c>
      <c r="I477">
        <v>5</v>
      </c>
      <c r="J477" t="b">
        <f>AND(CCData[[#This Row],[Date]]&gt;=Calculation!$E$3,CCData[[#This Row],[Date]]&lt;Calculation!$E$3+7)</f>
        <v>0</v>
      </c>
    </row>
    <row r="478" spans="1:10">
      <c r="A478" t="s">
        <v>477</v>
      </c>
      <c r="B478" s="2">
        <v>42013.521999999997</v>
      </c>
      <c r="C478" s="3" t="s">
        <v>5010</v>
      </c>
      <c r="D478" t="s">
        <v>5013</v>
      </c>
      <c r="E478" t="s">
        <v>5018</v>
      </c>
      <c r="F478" t="s">
        <v>5018</v>
      </c>
      <c r="G478">
        <v>108</v>
      </c>
      <c r="H478" s="5">
        <v>3.2979901962414638E-3</v>
      </c>
      <c r="I478">
        <v>3</v>
      </c>
      <c r="J478" t="b">
        <f>AND(CCData[[#This Row],[Date]]&gt;=Calculation!$E$3,CCData[[#This Row],[Date]]&lt;Calculation!$E$3+7)</f>
        <v>0</v>
      </c>
    </row>
    <row r="479" spans="1:10">
      <c r="A479" t="s">
        <v>478</v>
      </c>
      <c r="B479" s="2">
        <v>42013.521999999997</v>
      </c>
      <c r="C479" s="3" t="s">
        <v>5010</v>
      </c>
      <c r="D479" t="s">
        <v>5015</v>
      </c>
      <c r="E479" t="s">
        <v>5018</v>
      </c>
      <c r="F479" t="s">
        <v>5018</v>
      </c>
      <c r="G479">
        <v>80</v>
      </c>
      <c r="H479" s="5">
        <v>1.5166264813482823E-3</v>
      </c>
      <c r="I479">
        <v>4</v>
      </c>
      <c r="J479" t="b">
        <f>AND(CCData[[#This Row],[Date]]&gt;=Calculation!$E$3,CCData[[#This Row],[Date]]&lt;Calculation!$E$3+7)</f>
        <v>0</v>
      </c>
    </row>
    <row r="480" spans="1:10">
      <c r="A480" t="s">
        <v>479</v>
      </c>
      <c r="B480" s="2">
        <v>42013.523000000001</v>
      </c>
      <c r="C480" s="3" t="s">
        <v>5003</v>
      </c>
      <c r="D480" t="s">
        <v>5014</v>
      </c>
      <c r="E480" t="s">
        <v>5018</v>
      </c>
      <c r="F480" t="s">
        <v>5018</v>
      </c>
      <c r="G480">
        <v>61</v>
      </c>
      <c r="H480" s="5">
        <v>4.2033823244625151E-4</v>
      </c>
      <c r="I480">
        <v>5</v>
      </c>
      <c r="J480" t="b">
        <f>AND(CCData[[#This Row],[Date]]&gt;=Calculation!$E$3,CCData[[#This Row],[Date]]&lt;Calculation!$E$3+7)</f>
        <v>0</v>
      </c>
    </row>
    <row r="481" spans="1:10">
      <c r="A481" t="s">
        <v>480</v>
      </c>
      <c r="B481" s="2">
        <v>42013.523000000001</v>
      </c>
      <c r="C481" s="3" t="s">
        <v>5006</v>
      </c>
      <c r="D481" t="s">
        <v>5012</v>
      </c>
      <c r="E481" t="s">
        <v>5018</v>
      </c>
      <c r="F481" t="s">
        <v>5018</v>
      </c>
      <c r="G481">
        <v>18</v>
      </c>
      <c r="H481" s="5">
        <v>3.5355395168085147E-3</v>
      </c>
      <c r="I481">
        <v>5</v>
      </c>
      <c r="J481" t="b">
        <f>AND(CCData[[#This Row],[Date]]&gt;=Calculation!$E$3,CCData[[#This Row],[Date]]&lt;Calculation!$E$3+7)</f>
        <v>0</v>
      </c>
    </row>
    <row r="482" spans="1:10">
      <c r="A482" t="s">
        <v>481</v>
      </c>
      <c r="B482" s="2">
        <v>42013.527999999998</v>
      </c>
      <c r="C482" s="3" t="s">
        <v>5008</v>
      </c>
      <c r="D482" t="s">
        <v>5014</v>
      </c>
      <c r="E482" t="s">
        <v>5019</v>
      </c>
      <c r="F482" t="s">
        <v>5019</v>
      </c>
      <c r="G482" t="s">
        <v>5022</v>
      </c>
      <c r="H482" s="5" t="s">
        <v>5022</v>
      </c>
      <c r="I482" t="s">
        <v>5022</v>
      </c>
      <c r="J482" t="b">
        <f>AND(CCData[[#This Row],[Date]]&gt;=Calculation!$E$3,CCData[[#This Row],[Date]]&lt;Calculation!$E$3+7)</f>
        <v>0</v>
      </c>
    </row>
    <row r="483" spans="1:10">
      <c r="A483" t="s">
        <v>482</v>
      </c>
      <c r="B483" s="2">
        <v>42013.527999999998</v>
      </c>
      <c r="C483" s="3" t="s">
        <v>5004</v>
      </c>
      <c r="D483" t="s">
        <v>5015</v>
      </c>
      <c r="E483" t="s">
        <v>5018</v>
      </c>
      <c r="F483" t="s">
        <v>5019</v>
      </c>
      <c r="G483">
        <v>10</v>
      </c>
      <c r="H483" s="5">
        <v>6.2922410545782884E-4</v>
      </c>
      <c r="I483">
        <v>4</v>
      </c>
      <c r="J483" t="b">
        <f>AND(CCData[[#This Row],[Date]]&gt;=Calculation!$E$3,CCData[[#This Row],[Date]]&lt;Calculation!$E$3+7)</f>
        <v>0</v>
      </c>
    </row>
    <row r="484" spans="1:10">
      <c r="A484" t="s">
        <v>483</v>
      </c>
      <c r="B484" s="2">
        <v>42013.535000000003</v>
      </c>
      <c r="C484" s="3" t="s">
        <v>5003</v>
      </c>
      <c r="D484" t="s">
        <v>5014</v>
      </c>
      <c r="E484" t="s">
        <v>5018</v>
      </c>
      <c r="F484" t="s">
        <v>5018</v>
      </c>
      <c r="G484">
        <v>92</v>
      </c>
      <c r="H484" s="5">
        <v>1.6772445984056493E-3</v>
      </c>
      <c r="I484">
        <v>3</v>
      </c>
      <c r="J484" t="b">
        <f>AND(CCData[[#This Row],[Date]]&gt;=Calculation!$E$3,CCData[[#This Row],[Date]]&lt;Calculation!$E$3+7)</f>
        <v>0</v>
      </c>
    </row>
    <row r="485" spans="1:10">
      <c r="A485" t="s">
        <v>484</v>
      </c>
      <c r="B485" s="2">
        <v>42013.535000000003</v>
      </c>
      <c r="C485" s="3" t="s">
        <v>5007</v>
      </c>
      <c r="D485" t="s">
        <v>5013</v>
      </c>
      <c r="E485" t="s">
        <v>5019</v>
      </c>
      <c r="F485" t="s">
        <v>5019</v>
      </c>
      <c r="G485" t="s">
        <v>5022</v>
      </c>
      <c r="H485" s="5" t="s">
        <v>5022</v>
      </c>
      <c r="I485" t="s">
        <v>5022</v>
      </c>
      <c r="J485" t="b">
        <f>AND(CCData[[#This Row],[Date]]&gt;=Calculation!$E$3,CCData[[#This Row],[Date]]&lt;Calculation!$E$3+7)</f>
        <v>0</v>
      </c>
    </row>
    <row r="486" spans="1:10">
      <c r="A486" t="s">
        <v>485</v>
      </c>
      <c r="B486" s="2">
        <v>42013.544000000002</v>
      </c>
      <c r="C486" s="3" t="s">
        <v>5004</v>
      </c>
      <c r="D486" t="s">
        <v>5012</v>
      </c>
      <c r="E486" t="s">
        <v>5018</v>
      </c>
      <c r="F486" t="s">
        <v>5018</v>
      </c>
      <c r="G486">
        <v>120</v>
      </c>
      <c r="H486" s="5">
        <v>3.0965601867140673E-3</v>
      </c>
      <c r="I486">
        <v>1</v>
      </c>
      <c r="J486" t="b">
        <f>AND(CCData[[#This Row],[Date]]&gt;=Calculation!$E$3,CCData[[#This Row],[Date]]&lt;Calculation!$E$3+7)</f>
        <v>0</v>
      </c>
    </row>
    <row r="487" spans="1:10">
      <c r="A487" t="s">
        <v>486</v>
      </c>
      <c r="B487" s="2">
        <v>42013.544000000002</v>
      </c>
      <c r="C487" s="3" t="s">
        <v>5010</v>
      </c>
      <c r="D487" t="s">
        <v>5013</v>
      </c>
      <c r="E487" t="s">
        <v>5018</v>
      </c>
      <c r="F487" t="s">
        <v>5018</v>
      </c>
      <c r="G487">
        <v>63</v>
      </c>
      <c r="H487" s="5">
        <v>3.455720897436699E-3</v>
      </c>
      <c r="I487">
        <v>3</v>
      </c>
      <c r="J487" t="b">
        <f>AND(CCData[[#This Row],[Date]]&gt;=Calculation!$E$3,CCData[[#This Row],[Date]]&lt;Calculation!$E$3+7)</f>
        <v>0</v>
      </c>
    </row>
    <row r="488" spans="1:10">
      <c r="A488" t="s">
        <v>487</v>
      </c>
      <c r="B488" s="2">
        <v>42013.569000000003</v>
      </c>
      <c r="C488" s="3" t="s">
        <v>5004</v>
      </c>
      <c r="D488" t="s">
        <v>5016</v>
      </c>
      <c r="E488" t="s">
        <v>5019</v>
      </c>
      <c r="F488" t="s">
        <v>5019</v>
      </c>
      <c r="G488" t="s">
        <v>5022</v>
      </c>
      <c r="H488" s="5" t="s">
        <v>5022</v>
      </c>
      <c r="I488" t="s">
        <v>5022</v>
      </c>
      <c r="J488" t="b">
        <f>AND(CCData[[#This Row],[Date]]&gt;=Calculation!$E$3,CCData[[#This Row],[Date]]&lt;Calculation!$E$3+7)</f>
        <v>0</v>
      </c>
    </row>
    <row r="489" spans="1:10">
      <c r="A489" t="s">
        <v>488</v>
      </c>
      <c r="B489" s="2">
        <v>42013.569000000003</v>
      </c>
      <c r="C489" s="3" t="s">
        <v>5008</v>
      </c>
      <c r="D489" t="s">
        <v>5016</v>
      </c>
      <c r="E489" t="s">
        <v>5018</v>
      </c>
      <c r="F489" t="s">
        <v>5018</v>
      </c>
      <c r="G489">
        <v>101</v>
      </c>
      <c r="H489" s="5">
        <v>3.8146901485704562E-3</v>
      </c>
      <c r="I489">
        <v>3</v>
      </c>
      <c r="J489" t="b">
        <f>AND(CCData[[#This Row],[Date]]&gt;=Calculation!$E$3,CCData[[#This Row],[Date]]&lt;Calculation!$E$3+7)</f>
        <v>0</v>
      </c>
    </row>
    <row r="490" spans="1:10">
      <c r="A490" t="s">
        <v>489</v>
      </c>
      <c r="B490" s="2">
        <v>42013.582999999999</v>
      </c>
      <c r="C490" s="3" t="s">
        <v>5008</v>
      </c>
      <c r="D490" t="s">
        <v>5014</v>
      </c>
      <c r="E490" t="s">
        <v>5018</v>
      </c>
      <c r="F490" t="s">
        <v>5018</v>
      </c>
      <c r="G490">
        <v>105</v>
      </c>
      <c r="H490" s="5">
        <v>9.2359706815902829E-4</v>
      </c>
      <c r="I490">
        <v>1</v>
      </c>
      <c r="J490" t="b">
        <f>AND(CCData[[#This Row],[Date]]&gt;=Calculation!$E$3,CCData[[#This Row],[Date]]&lt;Calculation!$E$3+7)</f>
        <v>0</v>
      </c>
    </row>
    <row r="491" spans="1:10">
      <c r="A491" t="s">
        <v>490</v>
      </c>
      <c r="B491" s="2">
        <v>42013.582999999999</v>
      </c>
      <c r="C491" s="3" t="s">
        <v>5008</v>
      </c>
      <c r="D491" t="s">
        <v>5012</v>
      </c>
      <c r="E491" t="s">
        <v>5018</v>
      </c>
      <c r="F491" t="s">
        <v>5018</v>
      </c>
      <c r="G491">
        <v>21</v>
      </c>
      <c r="H491" s="5">
        <v>1.139642475914989E-3</v>
      </c>
      <c r="I491">
        <v>4</v>
      </c>
      <c r="J491" t="b">
        <f>AND(CCData[[#This Row],[Date]]&gt;=Calculation!$E$3,CCData[[#This Row],[Date]]&lt;Calculation!$E$3+7)</f>
        <v>0</v>
      </c>
    </row>
    <row r="492" spans="1:10">
      <c r="A492" t="s">
        <v>491</v>
      </c>
      <c r="B492" s="2">
        <v>42013.591999999997</v>
      </c>
      <c r="C492" s="3" t="s">
        <v>5008</v>
      </c>
      <c r="D492" t="s">
        <v>5014</v>
      </c>
      <c r="E492" t="s">
        <v>5018</v>
      </c>
      <c r="F492" t="s">
        <v>5018</v>
      </c>
      <c r="G492">
        <v>34</v>
      </c>
      <c r="H492" s="5">
        <v>3.5881078079153376E-3</v>
      </c>
      <c r="I492">
        <v>4</v>
      </c>
      <c r="J492" t="b">
        <f>AND(CCData[[#This Row],[Date]]&gt;=Calculation!$E$3,CCData[[#This Row],[Date]]&lt;Calculation!$E$3+7)</f>
        <v>0</v>
      </c>
    </row>
    <row r="493" spans="1:10">
      <c r="A493" t="s">
        <v>492</v>
      </c>
      <c r="B493" s="2">
        <v>42013.591999999997</v>
      </c>
      <c r="C493" s="3" t="s">
        <v>5005</v>
      </c>
      <c r="D493" t="s">
        <v>5013</v>
      </c>
      <c r="E493" t="s">
        <v>5018</v>
      </c>
      <c r="F493" t="s">
        <v>5018</v>
      </c>
      <c r="G493">
        <v>78</v>
      </c>
      <c r="H493" s="5">
        <v>2.3718262353434592E-3</v>
      </c>
      <c r="I493">
        <v>1</v>
      </c>
      <c r="J493" t="b">
        <f>AND(CCData[[#This Row],[Date]]&gt;=Calculation!$E$3,CCData[[#This Row],[Date]]&lt;Calculation!$E$3+7)</f>
        <v>0</v>
      </c>
    </row>
    <row r="494" spans="1:10">
      <c r="A494" t="s">
        <v>493</v>
      </c>
      <c r="B494" s="2">
        <v>42013.597000000002</v>
      </c>
      <c r="C494" s="3" t="s">
        <v>5003</v>
      </c>
      <c r="D494" t="s">
        <v>5016</v>
      </c>
      <c r="E494" t="s">
        <v>5018</v>
      </c>
      <c r="F494" t="s">
        <v>5018</v>
      </c>
      <c r="G494">
        <v>44</v>
      </c>
      <c r="H494" s="5">
        <v>2.0123624305218905E-3</v>
      </c>
      <c r="I494">
        <v>3</v>
      </c>
      <c r="J494" t="b">
        <f>AND(CCData[[#This Row],[Date]]&gt;=Calculation!$E$3,CCData[[#This Row],[Date]]&lt;Calculation!$E$3+7)</f>
        <v>0</v>
      </c>
    </row>
    <row r="495" spans="1:10">
      <c r="A495" t="s">
        <v>494</v>
      </c>
      <c r="B495" s="2">
        <v>42013.597000000002</v>
      </c>
      <c r="C495" s="3" t="s">
        <v>5008</v>
      </c>
      <c r="D495" t="s">
        <v>5015</v>
      </c>
      <c r="E495" t="s">
        <v>5018</v>
      </c>
      <c r="F495" t="s">
        <v>5018</v>
      </c>
      <c r="G495">
        <v>98</v>
      </c>
      <c r="H495" s="5">
        <v>1.1933776836199105E-3</v>
      </c>
      <c r="I495">
        <v>1</v>
      </c>
      <c r="J495" t="b">
        <f>AND(CCData[[#This Row],[Date]]&gt;=Calculation!$E$3,CCData[[#This Row],[Date]]&lt;Calculation!$E$3+7)</f>
        <v>0</v>
      </c>
    </row>
    <row r="496" spans="1:10">
      <c r="A496" t="s">
        <v>495</v>
      </c>
      <c r="B496" s="2">
        <v>42013.618999999999</v>
      </c>
      <c r="C496" s="3" t="s">
        <v>5009</v>
      </c>
      <c r="D496" t="s">
        <v>5014</v>
      </c>
      <c r="E496" t="s">
        <v>5018</v>
      </c>
      <c r="F496" t="s">
        <v>5018</v>
      </c>
      <c r="G496">
        <v>23</v>
      </c>
      <c r="H496" s="5">
        <v>2.3487624192809358E-3</v>
      </c>
      <c r="I496">
        <v>1</v>
      </c>
      <c r="J496" t="b">
        <f>AND(CCData[[#This Row],[Date]]&gt;=Calculation!$E$3,CCData[[#This Row],[Date]]&lt;Calculation!$E$3+7)</f>
        <v>0</v>
      </c>
    </row>
    <row r="497" spans="1:10">
      <c r="A497" t="s">
        <v>496</v>
      </c>
      <c r="B497" s="2">
        <v>42013.618999999999</v>
      </c>
      <c r="C497" s="3" t="s">
        <v>5005</v>
      </c>
      <c r="D497" t="s">
        <v>5015</v>
      </c>
      <c r="E497" t="s">
        <v>5018</v>
      </c>
      <c r="F497" t="s">
        <v>5018</v>
      </c>
      <c r="G497">
        <v>28</v>
      </c>
      <c r="H497" s="5">
        <v>4.3935139537132056E-3</v>
      </c>
      <c r="I497">
        <v>3</v>
      </c>
      <c r="J497" t="b">
        <f>AND(CCData[[#This Row],[Date]]&gt;=Calculation!$E$3,CCData[[#This Row],[Date]]&lt;Calculation!$E$3+7)</f>
        <v>0</v>
      </c>
    </row>
    <row r="498" spans="1:10">
      <c r="A498" t="s">
        <v>497</v>
      </c>
      <c r="B498" s="2">
        <v>42013.654999999999</v>
      </c>
      <c r="C498" s="3" t="s">
        <v>5008</v>
      </c>
      <c r="D498" t="s">
        <v>5013</v>
      </c>
      <c r="E498" t="s">
        <v>5019</v>
      </c>
      <c r="F498" t="s">
        <v>5019</v>
      </c>
      <c r="G498" t="s">
        <v>5022</v>
      </c>
      <c r="H498" s="5" t="s">
        <v>5022</v>
      </c>
      <c r="I498" t="s">
        <v>5022</v>
      </c>
      <c r="J498" t="b">
        <f>AND(CCData[[#This Row],[Date]]&gt;=Calculation!$E$3,CCData[[#This Row],[Date]]&lt;Calculation!$E$3+7)</f>
        <v>0</v>
      </c>
    </row>
    <row r="499" spans="1:10">
      <c r="A499" t="s">
        <v>498</v>
      </c>
      <c r="B499" s="2">
        <v>42013.654999999999</v>
      </c>
      <c r="C499" s="3" t="s">
        <v>5009</v>
      </c>
      <c r="D499" t="s">
        <v>5015</v>
      </c>
      <c r="E499" t="s">
        <v>5018</v>
      </c>
      <c r="F499" t="s">
        <v>5018</v>
      </c>
      <c r="G499">
        <v>43</v>
      </c>
      <c r="H499" s="5">
        <v>7.2939092954951452E-4</v>
      </c>
      <c r="I499">
        <v>5</v>
      </c>
      <c r="J499" t="b">
        <f>AND(CCData[[#This Row],[Date]]&gt;=Calculation!$E$3,CCData[[#This Row],[Date]]&lt;Calculation!$E$3+7)</f>
        <v>0</v>
      </c>
    </row>
    <row r="500" spans="1:10">
      <c r="A500" t="s">
        <v>499</v>
      </c>
      <c r="B500" s="2">
        <v>42013.707000000002</v>
      </c>
      <c r="C500" s="3" t="s">
        <v>5005</v>
      </c>
      <c r="D500" t="s">
        <v>5016</v>
      </c>
      <c r="E500" t="s">
        <v>5019</v>
      </c>
      <c r="F500" t="s">
        <v>5019</v>
      </c>
      <c r="G500" t="s">
        <v>5022</v>
      </c>
      <c r="H500" s="5" t="s">
        <v>5022</v>
      </c>
      <c r="I500" t="s">
        <v>5022</v>
      </c>
      <c r="J500" t="b">
        <f>AND(CCData[[#This Row],[Date]]&gt;=Calculation!$E$3,CCData[[#This Row],[Date]]&lt;Calculation!$E$3+7)</f>
        <v>0</v>
      </c>
    </row>
    <row r="501" spans="1:10">
      <c r="A501" t="s">
        <v>500</v>
      </c>
      <c r="B501" s="2">
        <v>42013.707000000002</v>
      </c>
      <c r="C501" s="3" t="s">
        <v>5009</v>
      </c>
      <c r="D501" t="s">
        <v>5012</v>
      </c>
      <c r="E501" t="s">
        <v>5019</v>
      </c>
      <c r="F501" t="s">
        <v>5019</v>
      </c>
      <c r="G501" t="s">
        <v>5022</v>
      </c>
      <c r="H501" s="5" t="s">
        <v>5022</v>
      </c>
      <c r="I501" t="s">
        <v>5022</v>
      </c>
      <c r="J501" t="b">
        <f>AND(CCData[[#This Row],[Date]]&gt;=Calculation!$E$3,CCData[[#This Row],[Date]]&lt;Calculation!$E$3+7)</f>
        <v>0</v>
      </c>
    </row>
    <row r="502" spans="1:10">
      <c r="A502" t="s">
        <v>501</v>
      </c>
      <c r="B502" s="2">
        <v>42013.712</v>
      </c>
      <c r="C502" s="3" t="s">
        <v>5003</v>
      </c>
      <c r="D502" t="s">
        <v>5014</v>
      </c>
      <c r="E502" t="s">
        <v>5018</v>
      </c>
      <c r="F502" t="s">
        <v>5018</v>
      </c>
      <c r="G502">
        <v>119</v>
      </c>
      <c r="H502" s="5">
        <v>5.8118721340261182E-4</v>
      </c>
      <c r="I502">
        <v>4</v>
      </c>
      <c r="J502" t="b">
        <f>AND(CCData[[#This Row],[Date]]&gt;=Calculation!$E$3,CCData[[#This Row],[Date]]&lt;Calculation!$E$3+7)</f>
        <v>0</v>
      </c>
    </row>
    <row r="503" spans="1:10">
      <c r="A503" t="s">
        <v>502</v>
      </c>
      <c r="B503" s="2">
        <v>42013.712</v>
      </c>
      <c r="C503" s="3" t="s">
        <v>5010</v>
      </c>
      <c r="D503" t="s">
        <v>5014</v>
      </c>
      <c r="E503" t="s">
        <v>5018</v>
      </c>
      <c r="F503" t="s">
        <v>5018</v>
      </c>
      <c r="G503">
        <v>32</v>
      </c>
      <c r="H503" s="5">
        <v>2.0107031712434534E-3</v>
      </c>
      <c r="I503">
        <v>5</v>
      </c>
      <c r="J503" t="b">
        <f>AND(CCData[[#This Row],[Date]]&gt;=Calculation!$E$3,CCData[[#This Row],[Date]]&lt;Calculation!$E$3+7)</f>
        <v>0</v>
      </c>
    </row>
    <row r="504" spans="1:10">
      <c r="A504" t="s">
        <v>503</v>
      </c>
      <c r="B504" s="2">
        <v>42013.722999999998</v>
      </c>
      <c r="C504" s="3" t="s">
        <v>5006</v>
      </c>
      <c r="D504" t="s">
        <v>5016</v>
      </c>
      <c r="E504" t="s">
        <v>5018</v>
      </c>
      <c r="F504" t="s">
        <v>5019</v>
      </c>
      <c r="G504">
        <v>50</v>
      </c>
      <c r="H504" s="5">
        <v>2.9747093196694245E-3</v>
      </c>
      <c r="I504">
        <v>3</v>
      </c>
      <c r="J504" t="b">
        <f>AND(CCData[[#This Row],[Date]]&gt;=Calculation!$E$3,CCData[[#This Row],[Date]]&lt;Calculation!$E$3+7)</f>
        <v>0</v>
      </c>
    </row>
    <row r="505" spans="1:10">
      <c r="A505" t="s">
        <v>504</v>
      </c>
      <c r="B505" s="2">
        <v>42013.722999999998</v>
      </c>
      <c r="C505" s="3" t="s">
        <v>5007</v>
      </c>
      <c r="D505" t="s">
        <v>5015</v>
      </c>
      <c r="E505" t="s">
        <v>5019</v>
      </c>
      <c r="F505" t="s">
        <v>5019</v>
      </c>
      <c r="G505" t="s">
        <v>5022</v>
      </c>
      <c r="H505" s="5" t="s">
        <v>5022</v>
      </c>
      <c r="I505" t="s">
        <v>5022</v>
      </c>
      <c r="J505" t="b">
        <f>AND(CCData[[#This Row],[Date]]&gt;=Calculation!$E$3,CCData[[#This Row],[Date]]&lt;Calculation!$E$3+7)</f>
        <v>0</v>
      </c>
    </row>
    <row r="506" spans="1:10">
      <c r="A506" t="s">
        <v>505</v>
      </c>
      <c r="B506" s="2">
        <v>42013.724000000002</v>
      </c>
      <c r="C506" s="3" t="s">
        <v>5008</v>
      </c>
      <c r="D506" t="s">
        <v>5014</v>
      </c>
      <c r="E506" t="s">
        <v>5018</v>
      </c>
      <c r="F506" t="s">
        <v>5018</v>
      </c>
      <c r="G506">
        <v>35</v>
      </c>
      <c r="H506" s="5">
        <v>3.3053366221113272E-3</v>
      </c>
      <c r="I506">
        <v>4</v>
      </c>
      <c r="J506" t="b">
        <f>AND(CCData[[#This Row],[Date]]&gt;=Calculation!$E$3,CCData[[#This Row],[Date]]&lt;Calculation!$E$3+7)</f>
        <v>0</v>
      </c>
    </row>
    <row r="507" spans="1:10">
      <c r="A507" t="s">
        <v>506</v>
      </c>
      <c r="B507" s="2">
        <v>42013.724000000002</v>
      </c>
      <c r="C507" s="3" t="s">
        <v>5007</v>
      </c>
      <c r="D507" t="s">
        <v>5012</v>
      </c>
      <c r="E507" t="s">
        <v>5018</v>
      </c>
      <c r="F507" t="s">
        <v>5018</v>
      </c>
      <c r="G507">
        <v>27</v>
      </c>
      <c r="H507" s="5">
        <v>1.892225918584839E-3</v>
      </c>
      <c r="I507">
        <v>3</v>
      </c>
      <c r="J507" t="b">
        <f>AND(CCData[[#This Row],[Date]]&gt;=Calculation!$E$3,CCData[[#This Row],[Date]]&lt;Calculation!$E$3+7)</f>
        <v>0</v>
      </c>
    </row>
    <row r="508" spans="1:10">
      <c r="A508" t="s">
        <v>507</v>
      </c>
      <c r="B508" s="2">
        <v>42013.724999999999</v>
      </c>
      <c r="C508" s="3" t="s">
        <v>5005</v>
      </c>
      <c r="D508" t="s">
        <v>5016</v>
      </c>
      <c r="E508" t="s">
        <v>5018</v>
      </c>
      <c r="F508" t="s">
        <v>5018</v>
      </c>
      <c r="G508">
        <v>121</v>
      </c>
      <c r="H508" s="5">
        <v>2.3180776716130048E-3</v>
      </c>
      <c r="I508">
        <v>4</v>
      </c>
      <c r="J508" t="b">
        <f>AND(CCData[[#This Row],[Date]]&gt;=Calculation!$E$3,CCData[[#This Row],[Date]]&lt;Calculation!$E$3+7)</f>
        <v>0</v>
      </c>
    </row>
    <row r="509" spans="1:10">
      <c r="A509" t="s">
        <v>508</v>
      </c>
      <c r="B509" s="2">
        <v>42013.724999999999</v>
      </c>
      <c r="C509" s="3" t="s">
        <v>5004</v>
      </c>
      <c r="D509" t="s">
        <v>5016</v>
      </c>
      <c r="E509" t="s">
        <v>5018</v>
      </c>
      <c r="F509" t="s">
        <v>5018</v>
      </c>
      <c r="G509">
        <v>42</v>
      </c>
      <c r="H509" s="5">
        <v>4.8361284923273719E-3</v>
      </c>
      <c r="I509">
        <v>2</v>
      </c>
      <c r="J509" t="b">
        <f>AND(CCData[[#This Row],[Date]]&gt;=Calculation!$E$3,CCData[[#This Row],[Date]]&lt;Calculation!$E$3+7)</f>
        <v>0</v>
      </c>
    </row>
    <row r="510" spans="1:10">
      <c r="A510" t="s">
        <v>509</v>
      </c>
      <c r="B510" s="2">
        <v>42013.728000000003</v>
      </c>
      <c r="C510" s="3" t="s">
        <v>5006</v>
      </c>
      <c r="D510" t="s">
        <v>5013</v>
      </c>
      <c r="E510" t="s">
        <v>5019</v>
      </c>
      <c r="F510" t="s">
        <v>5019</v>
      </c>
      <c r="G510" t="s">
        <v>5022</v>
      </c>
      <c r="H510" s="5" t="s">
        <v>5022</v>
      </c>
      <c r="I510" t="s">
        <v>5022</v>
      </c>
      <c r="J510" t="b">
        <f>AND(CCData[[#This Row],[Date]]&gt;=Calculation!$E$3,CCData[[#This Row],[Date]]&lt;Calculation!$E$3+7)</f>
        <v>0</v>
      </c>
    </row>
    <row r="511" spans="1:10">
      <c r="A511" t="s">
        <v>510</v>
      </c>
      <c r="B511" s="2">
        <v>42013.728000000003</v>
      </c>
      <c r="C511" s="3" t="s">
        <v>5010</v>
      </c>
      <c r="D511" t="s">
        <v>5013</v>
      </c>
      <c r="E511" t="s">
        <v>5019</v>
      </c>
      <c r="F511" t="s">
        <v>5019</v>
      </c>
      <c r="G511" t="s">
        <v>5022</v>
      </c>
      <c r="H511" s="5" t="s">
        <v>5022</v>
      </c>
      <c r="I511" t="s">
        <v>5022</v>
      </c>
      <c r="J511" t="b">
        <f>AND(CCData[[#This Row],[Date]]&gt;=Calculation!$E$3,CCData[[#This Row],[Date]]&lt;Calculation!$E$3+7)</f>
        <v>0</v>
      </c>
    </row>
    <row r="512" spans="1:10">
      <c r="A512" t="s">
        <v>511</v>
      </c>
      <c r="B512" s="2">
        <v>42013.731</v>
      </c>
      <c r="C512" s="3" t="s">
        <v>5006</v>
      </c>
      <c r="D512" t="s">
        <v>5014</v>
      </c>
      <c r="E512" t="s">
        <v>5018</v>
      </c>
      <c r="F512" t="s">
        <v>5018</v>
      </c>
      <c r="G512">
        <v>107</v>
      </c>
      <c r="H512" s="5">
        <v>7.525282339898206E-4</v>
      </c>
      <c r="I512">
        <v>5</v>
      </c>
      <c r="J512" t="b">
        <f>AND(CCData[[#This Row],[Date]]&gt;=Calculation!$E$3,CCData[[#This Row],[Date]]&lt;Calculation!$E$3+7)</f>
        <v>0</v>
      </c>
    </row>
    <row r="513" spans="1:10">
      <c r="A513" t="s">
        <v>512</v>
      </c>
      <c r="B513" s="2">
        <v>42013.731</v>
      </c>
      <c r="C513" s="3" t="s">
        <v>5009</v>
      </c>
      <c r="D513" t="s">
        <v>5016</v>
      </c>
      <c r="E513" t="s">
        <v>5018</v>
      </c>
      <c r="F513" t="s">
        <v>5018</v>
      </c>
      <c r="G513">
        <v>116</v>
      </c>
      <c r="H513" s="5">
        <v>2.4424439595082162E-3</v>
      </c>
      <c r="I513">
        <v>4</v>
      </c>
      <c r="J513" t="b">
        <f>AND(CCData[[#This Row],[Date]]&gt;=Calculation!$E$3,CCData[[#This Row],[Date]]&lt;Calculation!$E$3+7)</f>
        <v>0</v>
      </c>
    </row>
    <row r="514" spans="1:10">
      <c r="A514" t="s">
        <v>513</v>
      </c>
      <c r="B514" s="2">
        <v>42013.737999999998</v>
      </c>
      <c r="C514" s="3" t="s">
        <v>5010</v>
      </c>
      <c r="D514" t="s">
        <v>5013</v>
      </c>
      <c r="E514" t="s">
        <v>5018</v>
      </c>
      <c r="F514" t="s">
        <v>5019</v>
      </c>
      <c r="G514">
        <v>60</v>
      </c>
      <c r="H514" s="5">
        <v>1.4534124185352883E-3</v>
      </c>
      <c r="I514">
        <v>3</v>
      </c>
      <c r="J514" t="b">
        <f>AND(CCData[[#This Row],[Date]]&gt;=Calculation!$E$3,CCData[[#This Row],[Date]]&lt;Calculation!$E$3+7)</f>
        <v>0</v>
      </c>
    </row>
    <row r="515" spans="1:10">
      <c r="A515" t="s">
        <v>514</v>
      </c>
      <c r="B515" s="2">
        <v>42013.737999999998</v>
      </c>
      <c r="C515" s="3" t="s">
        <v>5007</v>
      </c>
      <c r="D515" t="s">
        <v>5014</v>
      </c>
      <c r="E515" t="s">
        <v>5018</v>
      </c>
      <c r="F515" t="s">
        <v>5018</v>
      </c>
      <c r="G515">
        <v>116</v>
      </c>
      <c r="H515" s="5">
        <v>3.2162284419068993E-3</v>
      </c>
      <c r="I515">
        <v>4</v>
      </c>
      <c r="J515" t="b">
        <f>AND(CCData[[#This Row],[Date]]&gt;=Calculation!$E$3,CCData[[#This Row],[Date]]&lt;Calculation!$E$3+7)</f>
        <v>0</v>
      </c>
    </row>
    <row r="516" spans="1:10">
      <c r="A516" t="s">
        <v>515</v>
      </c>
      <c r="B516" s="2">
        <v>42014.375</v>
      </c>
      <c r="C516" s="3" t="s">
        <v>5005</v>
      </c>
      <c r="D516" t="s">
        <v>5014</v>
      </c>
      <c r="E516" t="s">
        <v>5018</v>
      </c>
      <c r="F516" t="s">
        <v>5018</v>
      </c>
      <c r="G516">
        <v>19</v>
      </c>
      <c r="H516" s="5">
        <v>4.2890402769684135E-3</v>
      </c>
      <c r="I516">
        <v>5</v>
      </c>
      <c r="J516" t="b">
        <f>AND(CCData[[#This Row],[Date]]&gt;=Calculation!$E$3,CCData[[#This Row],[Date]]&lt;Calculation!$E$3+7)</f>
        <v>0</v>
      </c>
    </row>
    <row r="517" spans="1:10">
      <c r="A517" t="s">
        <v>516</v>
      </c>
      <c r="B517" s="2">
        <v>42014.375</v>
      </c>
      <c r="C517" s="3" t="s">
        <v>5009</v>
      </c>
      <c r="D517" t="s">
        <v>5012</v>
      </c>
      <c r="E517" t="s">
        <v>5018</v>
      </c>
      <c r="F517" t="s">
        <v>5018</v>
      </c>
      <c r="G517">
        <v>75</v>
      </c>
      <c r="H517" s="5">
        <v>4.047314185889727E-3</v>
      </c>
      <c r="I517">
        <v>3</v>
      </c>
      <c r="J517" t="b">
        <f>AND(CCData[[#This Row],[Date]]&gt;=Calculation!$E$3,CCData[[#This Row],[Date]]&lt;Calculation!$E$3+7)</f>
        <v>0</v>
      </c>
    </row>
    <row r="518" spans="1:10">
      <c r="A518" t="s">
        <v>517</v>
      </c>
      <c r="B518" s="2">
        <v>42014.381000000001</v>
      </c>
      <c r="C518" s="3" t="s">
        <v>5004</v>
      </c>
      <c r="D518" t="s">
        <v>5015</v>
      </c>
      <c r="E518" t="s">
        <v>5018</v>
      </c>
      <c r="F518" t="s">
        <v>5018</v>
      </c>
      <c r="G518">
        <v>23</v>
      </c>
      <c r="H518" s="5">
        <v>5.5141347161870573E-4</v>
      </c>
      <c r="I518">
        <v>3</v>
      </c>
      <c r="J518" t="b">
        <f>AND(CCData[[#This Row],[Date]]&gt;=Calculation!$E$3,CCData[[#This Row],[Date]]&lt;Calculation!$E$3+7)</f>
        <v>0</v>
      </c>
    </row>
    <row r="519" spans="1:10">
      <c r="A519" t="s">
        <v>518</v>
      </c>
      <c r="B519" s="2">
        <v>42014.381000000001</v>
      </c>
      <c r="C519" s="3" t="s">
        <v>5003</v>
      </c>
      <c r="D519" t="s">
        <v>5013</v>
      </c>
      <c r="E519" t="s">
        <v>5018</v>
      </c>
      <c r="F519" t="s">
        <v>5018</v>
      </c>
      <c r="G519">
        <v>69</v>
      </c>
      <c r="H519" s="5">
        <v>2.700135999200352E-3</v>
      </c>
      <c r="I519">
        <v>3</v>
      </c>
      <c r="J519" t="b">
        <f>AND(CCData[[#This Row],[Date]]&gt;=Calculation!$E$3,CCData[[#This Row],[Date]]&lt;Calculation!$E$3+7)</f>
        <v>0</v>
      </c>
    </row>
    <row r="520" spans="1:10">
      <c r="A520" t="s">
        <v>519</v>
      </c>
      <c r="B520" s="2">
        <v>42014.421000000002</v>
      </c>
      <c r="C520" s="3" t="s">
        <v>5007</v>
      </c>
      <c r="D520" t="s">
        <v>5016</v>
      </c>
      <c r="E520" t="s">
        <v>5018</v>
      </c>
      <c r="F520" t="s">
        <v>5018</v>
      </c>
      <c r="G520">
        <v>64</v>
      </c>
      <c r="H520" s="5">
        <v>3.0393968774684948E-3</v>
      </c>
      <c r="I520">
        <v>5</v>
      </c>
      <c r="J520" t="b">
        <f>AND(CCData[[#This Row],[Date]]&gt;=Calculation!$E$3,CCData[[#This Row],[Date]]&lt;Calculation!$E$3+7)</f>
        <v>0</v>
      </c>
    </row>
    <row r="521" spans="1:10">
      <c r="A521" t="s">
        <v>520</v>
      </c>
      <c r="B521" s="2">
        <v>42014.421000000002</v>
      </c>
      <c r="C521" s="3" t="s">
        <v>5009</v>
      </c>
      <c r="D521" t="s">
        <v>5016</v>
      </c>
      <c r="E521" t="s">
        <v>5018</v>
      </c>
      <c r="F521" t="s">
        <v>5018</v>
      </c>
      <c r="G521">
        <v>117</v>
      </c>
      <c r="H521" s="5">
        <v>2.3532712241691495E-3</v>
      </c>
      <c r="I521">
        <v>3</v>
      </c>
      <c r="J521" t="b">
        <f>AND(CCData[[#This Row],[Date]]&gt;=Calculation!$E$3,CCData[[#This Row],[Date]]&lt;Calculation!$E$3+7)</f>
        <v>0</v>
      </c>
    </row>
    <row r="522" spans="1:10">
      <c r="A522" t="s">
        <v>521</v>
      </c>
      <c r="B522" s="2">
        <v>42014.440999999999</v>
      </c>
      <c r="C522" s="3" t="s">
        <v>5007</v>
      </c>
      <c r="D522" t="s">
        <v>5016</v>
      </c>
      <c r="E522" t="s">
        <v>5018</v>
      </c>
      <c r="F522" t="s">
        <v>5018</v>
      </c>
      <c r="G522">
        <v>12</v>
      </c>
      <c r="H522" s="5">
        <v>4.559111195580173E-3</v>
      </c>
      <c r="I522">
        <v>4</v>
      </c>
      <c r="J522" t="b">
        <f>AND(CCData[[#This Row],[Date]]&gt;=Calculation!$E$3,CCData[[#This Row],[Date]]&lt;Calculation!$E$3+7)</f>
        <v>0</v>
      </c>
    </row>
    <row r="523" spans="1:10">
      <c r="A523" t="s">
        <v>522</v>
      </c>
      <c r="B523" s="2">
        <v>42014.440999999999</v>
      </c>
      <c r="C523" s="3" t="s">
        <v>5003</v>
      </c>
      <c r="D523" t="s">
        <v>5015</v>
      </c>
      <c r="E523" t="s">
        <v>5018</v>
      </c>
      <c r="F523" t="s">
        <v>5018</v>
      </c>
      <c r="G523">
        <v>102</v>
      </c>
      <c r="H523" s="5">
        <v>1.8258778176680147E-3</v>
      </c>
      <c r="I523">
        <v>4</v>
      </c>
      <c r="J523" t="b">
        <f>AND(CCData[[#This Row],[Date]]&gt;=Calculation!$E$3,CCData[[#This Row],[Date]]&lt;Calculation!$E$3+7)</f>
        <v>0</v>
      </c>
    </row>
    <row r="524" spans="1:10">
      <c r="A524" t="s">
        <v>523</v>
      </c>
      <c r="B524" s="2">
        <v>42014.466</v>
      </c>
      <c r="C524" s="3" t="s">
        <v>5010</v>
      </c>
      <c r="D524" t="s">
        <v>5013</v>
      </c>
      <c r="E524" t="s">
        <v>5018</v>
      </c>
      <c r="F524" t="s">
        <v>5018</v>
      </c>
      <c r="G524">
        <v>46</v>
      </c>
      <c r="H524" s="5">
        <v>4.5383366644339094E-3</v>
      </c>
      <c r="I524">
        <v>4</v>
      </c>
      <c r="J524" t="b">
        <f>AND(CCData[[#This Row],[Date]]&gt;=Calculation!$E$3,CCData[[#This Row],[Date]]&lt;Calculation!$E$3+7)</f>
        <v>0</v>
      </c>
    </row>
    <row r="525" spans="1:10">
      <c r="A525" t="s">
        <v>524</v>
      </c>
      <c r="B525" s="2">
        <v>42014.466</v>
      </c>
      <c r="C525" s="3" t="s">
        <v>5009</v>
      </c>
      <c r="D525" t="s">
        <v>5016</v>
      </c>
      <c r="E525" t="s">
        <v>5018</v>
      </c>
      <c r="F525" t="s">
        <v>5019</v>
      </c>
      <c r="G525">
        <v>47</v>
      </c>
      <c r="H525" s="5">
        <v>1.0126971766029212E-3</v>
      </c>
      <c r="I525">
        <v>4</v>
      </c>
      <c r="J525" t="b">
        <f>AND(CCData[[#This Row],[Date]]&gt;=Calculation!$E$3,CCData[[#This Row],[Date]]&lt;Calculation!$E$3+7)</f>
        <v>0</v>
      </c>
    </row>
    <row r="526" spans="1:10">
      <c r="A526" t="s">
        <v>525</v>
      </c>
      <c r="B526" s="2">
        <v>42014.470999999998</v>
      </c>
      <c r="C526" s="3" t="s">
        <v>5010</v>
      </c>
      <c r="D526" t="s">
        <v>5016</v>
      </c>
      <c r="E526" t="s">
        <v>5018</v>
      </c>
      <c r="F526" t="s">
        <v>5018</v>
      </c>
      <c r="G526">
        <v>98</v>
      </c>
      <c r="H526" s="5">
        <v>1.6587424463525057E-3</v>
      </c>
      <c r="I526">
        <v>4</v>
      </c>
      <c r="J526" t="b">
        <f>AND(CCData[[#This Row],[Date]]&gt;=Calculation!$E$3,CCData[[#This Row],[Date]]&lt;Calculation!$E$3+7)</f>
        <v>0</v>
      </c>
    </row>
    <row r="527" spans="1:10">
      <c r="A527" t="s">
        <v>526</v>
      </c>
      <c r="B527" s="2">
        <v>42014.470999999998</v>
      </c>
      <c r="C527" s="3" t="s">
        <v>5007</v>
      </c>
      <c r="D527" t="s">
        <v>5012</v>
      </c>
      <c r="E527" t="s">
        <v>5018</v>
      </c>
      <c r="F527" t="s">
        <v>5018</v>
      </c>
      <c r="G527">
        <v>84</v>
      </c>
      <c r="H527" s="5">
        <v>2.9713553146153435E-3</v>
      </c>
      <c r="I527">
        <v>4</v>
      </c>
      <c r="J527" t="b">
        <f>AND(CCData[[#This Row],[Date]]&gt;=Calculation!$E$3,CCData[[#This Row],[Date]]&lt;Calculation!$E$3+7)</f>
        <v>0</v>
      </c>
    </row>
    <row r="528" spans="1:10">
      <c r="A528" t="s">
        <v>527</v>
      </c>
      <c r="B528" s="2">
        <v>42014.478999999999</v>
      </c>
      <c r="C528" s="3" t="s">
        <v>5006</v>
      </c>
      <c r="D528" t="s">
        <v>5016</v>
      </c>
      <c r="E528" t="s">
        <v>5018</v>
      </c>
      <c r="F528" t="s">
        <v>5018</v>
      </c>
      <c r="G528">
        <v>12</v>
      </c>
      <c r="H528" s="5">
        <v>1.5405365711622656E-3</v>
      </c>
      <c r="I528">
        <v>3</v>
      </c>
      <c r="J528" t="b">
        <f>AND(CCData[[#This Row],[Date]]&gt;=Calculation!$E$3,CCData[[#This Row],[Date]]&lt;Calculation!$E$3+7)</f>
        <v>0</v>
      </c>
    </row>
    <row r="529" spans="1:10">
      <c r="A529" t="s">
        <v>528</v>
      </c>
      <c r="B529" s="2">
        <v>42014.478999999999</v>
      </c>
      <c r="C529" s="3" t="s">
        <v>5006</v>
      </c>
      <c r="D529" t="s">
        <v>5014</v>
      </c>
      <c r="E529" t="s">
        <v>5018</v>
      </c>
      <c r="F529" t="s">
        <v>5018</v>
      </c>
      <c r="G529">
        <v>88</v>
      </c>
      <c r="H529" s="5">
        <v>2.3800124776154432E-3</v>
      </c>
      <c r="I529">
        <v>4</v>
      </c>
      <c r="J529" t="b">
        <f>AND(CCData[[#This Row],[Date]]&gt;=Calculation!$E$3,CCData[[#This Row],[Date]]&lt;Calculation!$E$3+7)</f>
        <v>0</v>
      </c>
    </row>
    <row r="530" spans="1:10">
      <c r="A530" t="s">
        <v>529</v>
      </c>
      <c r="B530" s="2">
        <v>42014.48</v>
      </c>
      <c r="C530" s="3" t="s">
        <v>5005</v>
      </c>
      <c r="D530" t="s">
        <v>5012</v>
      </c>
      <c r="E530" t="s">
        <v>5018</v>
      </c>
      <c r="F530" t="s">
        <v>5018</v>
      </c>
      <c r="G530">
        <v>97</v>
      </c>
      <c r="H530" s="5">
        <v>4.0837213903096928E-3</v>
      </c>
      <c r="I530">
        <v>1</v>
      </c>
      <c r="J530" t="b">
        <f>AND(CCData[[#This Row],[Date]]&gt;=Calculation!$E$3,CCData[[#This Row],[Date]]&lt;Calculation!$E$3+7)</f>
        <v>0</v>
      </c>
    </row>
    <row r="531" spans="1:10">
      <c r="A531" t="s">
        <v>530</v>
      </c>
      <c r="B531" s="2">
        <v>42014.48</v>
      </c>
      <c r="C531" s="3" t="s">
        <v>5008</v>
      </c>
      <c r="D531" t="s">
        <v>5015</v>
      </c>
      <c r="E531" t="s">
        <v>5018</v>
      </c>
      <c r="F531" t="s">
        <v>5018</v>
      </c>
      <c r="G531">
        <v>51</v>
      </c>
      <c r="H531" s="5">
        <v>4.1175004451064071E-3</v>
      </c>
      <c r="I531">
        <v>3</v>
      </c>
      <c r="J531" t="b">
        <f>AND(CCData[[#This Row],[Date]]&gt;=Calculation!$E$3,CCData[[#This Row],[Date]]&lt;Calculation!$E$3+7)</f>
        <v>0</v>
      </c>
    </row>
    <row r="532" spans="1:10">
      <c r="A532" t="s">
        <v>531</v>
      </c>
      <c r="B532" s="2">
        <v>42014.491000000002</v>
      </c>
      <c r="C532" s="3" t="s">
        <v>5004</v>
      </c>
      <c r="D532" t="s">
        <v>5015</v>
      </c>
      <c r="E532" t="s">
        <v>5019</v>
      </c>
      <c r="F532" t="s">
        <v>5019</v>
      </c>
      <c r="G532" t="s">
        <v>5022</v>
      </c>
      <c r="H532" s="5" t="s">
        <v>5022</v>
      </c>
      <c r="I532" t="s">
        <v>5022</v>
      </c>
      <c r="J532" t="b">
        <f>AND(CCData[[#This Row],[Date]]&gt;=Calculation!$E$3,CCData[[#This Row],[Date]]&lt;Calculation!$E$3+7)</f>
        <v>0</v>
      </c>
    </row>
    <row r="533" spans="1:10">
      <c r="A533" t="s">
        <v>532</v>
      </c>
      <c r="B533" s="2">
        <v>42014.491000000002</v>
      </c>
      <c r="C533" s="3" t="s">
        <v>5010</v>
      </c>
      <c r="D533" t="s">
        <v>5016</v>
      </c>
      <c r="E533" t="s">
        <v>5018</v>
      </c>
      <c r="F533" t="s">
        <v>5018</v>
      </c>
      <c r="G533">
        <v>106</v>
      </c>
      <c r="H533" s="5">
        <v>1.8160931131912595E-3</v>
      </c>
      <c r="I533">
        <v>4</v>
      </c>
      <c r="J533" t="b">
        <f>AND(CCData[[#This Row],[Date]]&gt;=Calculation!$E$3,CCData[[#This Row],[Date]]&lt;Calculation!$E$3+7)</f>
        <v>0</v>
      </c>
    </row>
    <row r="534" spans="1:10">
      <c r="A534" t="s">
        <v>533</v>
      </c>
      <c r="B534" s="2">
        <v>42014.519</v>
      </c>
      <c r="C534" s="3" t="s">
        <v>5003</v>
      </c>
      <c r="D534" t="s">
        <v>5015</v>
      </c>
      <c r="E534" t="s">
        <v>5018</v>
      </c>
      <c r="F534" t="s">
        <v>5018</v>
      </c>
      <c r="G534">
        <v>34</v>
      </c>
      <c r="H534" s="5">
        <v>2.6903280530927282E-3</v>
      </c>
      <c r="I534">
        <v>4</v>
      </c>
      <c r="J534" t="b">
        <f>AND(CCData[[#This Row],[Date]]&gt;=Calculation!$E$3,CCData[[#This Row],[Date]]&lt;Calculation!$E$3+7)</f>
        <v>0</v>
      </c>
    </row>
    <row r="535" spans="1:10">
      <c r="A535" t="s">
        <v>534</v>
      </c>
      <c r="B535" s="2">
        <v>42014.519</v>
      </c>
      <c r="C535" s="3" t="s">
        <v>5005</v>
      </c>
      <c r="D535" t="s">
        <v>5016</v>
      </c>
      <c r="E535" t="s">
        <v>5019</v>
      </c>
      <c r="F535" t="s">
        <v>5019</v>
      </c>
      <c r="G535" t="s">
        <v>5022</v>
      </c>
      <c r="H535" s="5" t="s">
        <v>5022</v>
      </c>
      <c r="I535" t="s">
        <v>5022</v>
      </c>
      <c r="J535" t="b">
        <f>AND(CCData[[#This Row],[Date]]&gt;=Calculation!$E$3,CCData[[#This Row],[Date]]&lt;Calculation!$E$3+7)</f>
        <v>0</v>
      </c>
    </row>
    <row r="536" spans="1:10">
      <c r="A536" t="s">
        <v>535</v>
      </c>
      <c r="B536" s="2">
        <v>42014.523000000001</v>
      </c>
      <c r="C536" s="3" t="s">
        <v>5010</v>
      </c>
      <c r="D536" t="s">
        <v>5013</v>
      </c>
      <c r="E536" t="s">
        <v>5018</v>
      </c>
      <c r="F536" t="s">
        <v>5018</v>
      </c>
      <c r="G536">
        <v>51</v>
      </c>
      <c r="H536" s="5">
        <v>3.8573405817802732E-3</v>
      </c>
      <c r="I536">
        <v>3</v>
      </c>
      <c r="J536" t="b">
        <f>AND(CCData[[#This Row],[Date]]&gt;=Calculation!$E$3,CCData[[#This Row],[Date]]&lt;Calculation!$E$3+7)</f>
        <v>0</v>
      </c>
    </row>
    <row r="537" spans="1:10">
      <c r="A537" t="s">
        <v>536</v>
      </c>
      <c r="B537" s="2">
        <v>42014.523000000001</v>
      </c>
      <c r="C537" s="3" t="s">
        <v>5006</v>
      </c>
      <c r="D537" t="s">
        <v>5013</v>
      </c>
      <c r="E537" t="s">
        <v>5018</v>
      </c>
      <c r="F537" t="s">
        <v>5018</v>
      </c>
      <c r="G537">
        <v>74</v>
      </c>
      <c r="H537" s="5">
        <v>3.3973995667190087E-3</v>
      </c>
      <c r="I537">
        <v>4</v>
      </c>
      <c r="J537" t="b">
        <f>AND(CCData[[#This Row],[Date]]&gt;=Calculation!$E$3,CCData[[#This Row],[Date]]&lt;Calculation!$E$3+7)</f>
        <v>0</v>
      </c>
    </row>
    <row r="538" spans="1:10">
      <c r="A538" t="s">
        <v>537</v>
      </c>
      <c r="B538" s="2">
        <v>42014.538999999997</v>
      </c>
      <c r="C538" s="3" t="s">
        <v>5006</v>
      </c>
      <c r="D538" t="s">
        <v>5012</v>
      </c>
      <c r="E538" t="s">
        <v>5018</v>
      </c>
      <c r="F538" t="s">
        <v>5018</v>
      </c>
      <c r="G538">
        <v>29</v>
      </c>
      <c r="H538" s="5">
        <v>8.803610121982877E-4</v>
      </c>
      <c r="I538">
        <v>3</v>
      </c>
      <c r="J538" t="b">
        <f>AND(CCData[[#This Row],[Date]]&gt;=Calculation!$E$3,CCData[[#This Row],[Date]]&lt;Calculation!$E$3+7)</f>
        <v>0</v>
      </c>
    </row>
    <row r="539" spans="1:10">
      <c r="A539" t="s">
        <v>538</v>
      </c>
      <c r="B539" s="2">
        <v>42014.538999999997</v>
      </c>
      <c r="C539" s="3" t="s">
        <v>5009</v>
      </c>
      <c r="D539" t="s">
        <v>5015</v>
      </c>
      <c r="E539" t="s">
        <v>5018</v>
      </c>
      <c r="F539" t="s">
        <v>5018</v>
      </c>
      <c r="G539">
        <v>123</v>
      </c>
      <c r="H539" s="5">
        <v>4.3348903091070569E-3</v>
      </c>
      <c r="I539">
        <v>3</v>
      </c>
      <c r="J539" t="b">
        <f>AND(CCData[[#This Row],[Date]]&gt;=Calculation!$E$3,CCData[[#This Row],[Date]]&lt;Calculation!$E$3+7)</f>
        <v>0</v>
      </c>
    </row>
    <row r="540" spans="1:10">
      <c r="A540" t="s">
        <v>539</v>
      </c>
      <c r="B540" s="2">
        <v>42014.550999999999</v>
      </c>
      <c r="C540" s="3" t="s">
        <v>5004</v>
      </c>
      <c r="D540" t="s">
        <v>5012</v>
      </c>
      <c r="E540" t="s">
        <v>5018</v>
      </c>
      <c r="F540" t="s">
        <v>5018</v>
      </c>
      <c r="G540">
        <v>100</v>
      </c>
      <c r="H540" s="5">
        <v>4.801529288283291E-4</v>
      </c>
      <c r="I540">
        <v>4</v>
      </c>
      <c r="J540" t="b">
        <f>AND(CCData[[#This Row],[Date]]&gt;=Calculation!$E$3,CCData[[#This Row],[Date]]&lt;Calculation!$E$3+7)</f>
        <v>0</v>
      </c>
    </row>
    <row r="541" spans="1:10">
      <c r="A541" t="s">
        <v>540</v>
      </c>
      <c r="B541" s="2">
        <v>42014.550999999999</v>
      </c>
      <c r="C541" s="3" t="s">
        <v>5010</v>
      </c>
      <c r="D541" t="s">
        <v>5016</v>
      </c>
      <c r="E541" t="s">
        <v>5018</v>
      </c>
      <c r="F541" t="s">
        <v>5018</v>
      </c>
      <c r="G541">
        <v>43</v>
      </c>
      <c r="H541" s="5">
        <v>4.7811359565379605E-3</v>
      </c>
      <c r="I541">
        <v>3</v>
      </c>
      <c r="J541" t="b">
        <f>AND(CCData[[#This Row],[Date]]&gt;=Calculation!$E$3,CCData[[#This Row],[Date]]&lt;Calculation!$E$3+7)</f>
        <v>0</v>
      </c>
    </row>
    <row r="542" spans="1:10">
      <c r="A542" t="s">
        <v>541</v>
      </c>
      <c r="B542" s="2">
        <v>42014.574999999997</v>
      </c>
      <c r="C542" s="3" t="s">
        <v>5004</v>
      </c>
      <c r="D542" t="s">
        <v>5013</v>
      </c>
      <c r="E542" t="s">
        <v>5018</v>
      </c>
      <c r="F542" t="s">
        <v>5018</v>
      </c>
      <c r="G542">
        <v>24</v>
      </c>
      <c r="H542" s="5">
        <v>3.107773648481344E-3</v>
      </c>
      <c r="I542">
        <v>4</v>
      </c>
      <c r="J542" t="b">
        <f>AND(CCData[[#This Row],[Date]]&gt;=Calculation!$E$3,CCData[[#This Row],[Date]]&lt;Calculation!$E$3+7)</f>
        <v>0</v>
      </c>
    </row>
    <row r="543" spans="1:10">
      <c r="A543" t="s">
        <v>542</v>
      </c>
      <c r="B543" s="2">
        <v>42014.574999999997</v>
      </c>
      <c r="C543" s="3" t="s">
        <v>5007</v>
      </c>
      <c r="D543" t="s">
        <v>5016</v>
      </c>
      <c r="E543" t="s">
        <v>5018</v>
      </c>
      <c r="F543" t="s">
        <v>5018</v>
      </c>
      <c r="G543">
        <v>78</v>
      </c>
      <c r="H543" s="5">
        <v>4.3257697508340956E-3</v>
      </c>
      <c r="I543">
        <v>4</v>
      </c>
      <c r="J543" t="b">
        <f>AND(CCData[[#This Row],[Date]]&gt;=Calculation!$E$3,CCData[[#This Row],[Date]]&lt;Calculation!$E$3+7)</f>
        <v>0</v>
      </c>
    </row>
    <row r="544" spans="1:10">
      <c r="A544" t="s">
        <v>543</v>
      </c>
      <c r="B544" s="2">
        <v>42014.578000000001</v>
      </c>
      <c r="C544" s="3" t="s">
        <v>5008</v>
      </c>
      <c r="D544" t="s">
        <v>5014</v>
      </c>
      <c r="E544" t="s">
        <v>5018</v>
      </c>
      <c r="F544" t="s">
        <v>5018</v>
      </c>
      <c r="G544">
        <v>28</v>
      </c>
      <c r="H544" s="5">
        <v>4.2435112120416925E-3</v>
      </c>
      <c r="I544">
        <v>5</v>
      </c>
      <c r="J544" t="b">
        <f>AND(CCData[[#This Row],[Date]]&gt;=Calculation!$E$3,CCData[[#This Row],[Date]]&lt;Calculation!$E$3+7)</f>
        <v>0</v>
      </c>
    </row>
    <row r="545" spans="1:10">
      <c r="A545" t="s">
        <v>544</v>
      </c>
      <c r="B545" s="2">
        <v>42014.578000000001</v>
      </c>
      <c r="C545" s="3" t="s">
        <v>5008</v>
      </c>
      <c r="D545" t="s">
        <v>5015</v>
      </c>
      <c r="E545" t="s">
        <v>5018</v>
      </c>
      <c r="F545" t="s">
        <v>5018</v>
      </c>
      <c r="G545">
        <v>36</v>
      </c>
      <c r="H545" s="5">
        <v>1.021042573445152E-3</v>
      </c>
      <c r="I545">
        <v>3</v>
      </c>
      <c r="J545" t="b">
        <f>AND(CCData[[#This Row],[Date]]&gt;=Calculation!$E$3,CCData[[#This Row],[Date]]&lt;Calculation!$E$3+7)</f>
        <v>0</v>
      </c>
    </row>
    <row r="546" spans="1:10">
      <c r="A546" t="s">
        <v>545</v>
      </c>
      <c r="B546" s="2">
        <v>42014.59</v>
      </c>
      <c r="C546" s="3" t="s">
        <v>5008</v>
      </c>
      <c r="D546" t="s">
        <v>5014</v>
      </c>
      <c r="E546" t="s">
        <v>5019</v>
      </c>
      <c r="F546" t="s">
        <v>5019</v>
      </c>
      <c r="G546" t="s">
        <v>5022</v>
      </c>
      <c r="H546" s="5" t="s">
        <v>5022</v>
      </c>
      <c r="I546" t="s">
        <v>5022</v>
      </c>
      <c r="J546" t="b">
        <f>AND(CCData[[#This Row],[Date]]&gt;=Calculation!$E$3,CCData[[#This Row],[Date]]&lt;Calculation!$E$3+7)</f>
        <v>0</v>
      </c>
    </row>
    <row r="547" spans="1:10">
      <c r="A547" t="s">
        <v>546</v>
      </c>
      <c r="B547" s="2">
        <v>42014.59</v>
      </c>
      <c r="C547" s="3" t="s">
        <v>5007</v>
      </c>
      <c r="D547" t="s">
        <v>5014</v>
      </c>
      <c r="E547" t="s">
        <v>5018</v>
      </c>
      <c r="F547" t="s">
        <v>5018</v>
      </c>
      <c r="G547">
        <v>10</v>
      </c>
      <c r="H547" s="5">
        <v>3.1436256771529979E-3</v>
      </c>
      <c r="I547">
        <v>2</v>
      </c>
      <c r="J547" t="b">
        <f>AND(CCData[[#This Row],[Date]]&gt;=Calculation!$E$3,CCData[[#This Row],[Date]]&lt;Calculation!$E$3+7)</f>
        <v>0</v>
      </c>
    </row>
    <row r="548" spans="1:10">
      <c r="A548" t="s">
        <v>547</v>
      </c>
      <c r="B548" s="2">
        <v>42014.595000000001</v>
      </c>
      <c r="C548" s="3" t="s">
        <v>5010</v>
      </c>
      <c r="D548" t="s">
        <v>5016</v>
      </c>
      <c r="E548" t="s">
        <v>5018</v>
      </c>
      <c r="F548" t="s">
        <v>5018</v>
      </c>
      <c r="G548">
        <v>43</v>
      </c>
      <c r="H548" s="5">
        <v>4.6531030072084036E-3</v>
      </c>
      <c r="I548">
        <v>3</v>
      </c>
      <c r="J548" t="b">
        <f>AND(CCData[[#This Row],[Date]]&gt;=Calculation!$E$3,CCData[[#This Row],[Date]]&lt;Calculation!$E$3+7)</f>
        <v>0</v>
      </c>
    </row>
    <row r="549" spans="1:10">
      <c r="A549" t="s">
        <v>548</v>
      </c>
      <c r="B549" s="2">
        <v>42014.595000000001</v>
      </c>
      <c r="C549" s="3" t="s">
        <v>5005</v>
      </c>
      <c r="D549" t="s">
        <v>5013</v>
      </c>
      <c r="E549" t="s">
        <v>5018</v>
      </c>
      <c r="F549" t="s">
        <v>5018</v>
      </c>
      <c r="G549">
        <v>19</v>
      </c>
      <c r="H549" s="5">
        <v>4.423413730992768E-4</v>
      </c>
      <c r="I549">
        <v>3</v>
      </c>
      <c r="J549" t="b">
        <f>AND(CCData[[#This Row],[Date]]&gt;=Calculation!$E$3,CCData[[#This Row],[Date]]&lt;Calculation!$E$3+7)</f>
        <v>0</v>
      </c>
    </row>
    <row r="550" spans="1:10">
      <c r="A550" t="s">
        <v>549</v>
      </c>
      <c r="B550" s="2">
        <v>42014.601000000002</v>
      </c>
      <c r="C550" s="3" t="s">
        <v>5003</v>
      </c>
      <c r="D550" t="s">
        <v>5015</v>
      </c>
      <c r="E550" t="s">
        <v>5018</v>
      </c>
      <c r="F550" t="s">
        <v>5018</v>
      </c>
      <c r="G550">
        <v>74</v>
      </c>
      <c r="H550" s="5">
        <v>4.5550592312239542E-3</v>
      </c>
      <c r="I550">
        <v>3</v>
      </c>
      <c r="J550" t="b">
        <f>AND(CCData[[#This Row],[Date]]&gt;=Calculation!$E$3,CCData[[#This Row],[Date]]&lt;Calculation!$E$3+7)</f>
        <v>0</v>
      </c>
    </row>
    <row r="551" spans="1:10">
      <c r="A551" t="s">
        <v>550</v>
      </c>
      <c r="B551" s="2">
        <v>42014.601000000002</v>
      </c>
      <c r="C551" s="3" t="s">
        <v>5007</v>
      </c>
      <c r="D551" t="s">
        <v>5016</v>
      </c>
      <c r="E551" t="s">
        <v>5018</v>
      </c>
      <c r="F551" t="s">
        <v>5018</v>
      </c>
      <c r="G551">
        <v>71</v>
      </c>
      <c r="H551" s="5">
        <v>2.8402821593018178E-3</v>
      </c>
      <c r="I551">
        <v>1</v>
      </c>
      <c r="J551" t="b">
        <f>AND(CCData[[#This Row],[Date]]&gt;=Calculation!$E$3,CCData[[#This Row],[Date]]&lt;Calculation!$E$3+7)</f>
        <v>0</v>
      </c>
    </row>
    <row r="552" spans="1:10">
      <c r="A552" t="s">
        <v>551</v>
      </c>
      <c r="B552" s="2">
        <v>42014.606</v>
      </c>
      <c r="C552" s="3" t="s">
        <v>5008</v>
      </c>
      <c r="D552" t="s">
        <v>5015</v>
      </c>
      <c r="E552" t="s">
        <v>5018</v>
      </c>
      <c r="F552" t="s">
        <v>5018</v>
      </c>
      <c r="G552">
        <v>117</v>
      </c>
      <c r="H552" s="5">
        <v>4.3508677516058457E-3</v>
      </c>
      <c r="I552">
        <v>5</v>
      </c>
      <c r="J552" t="b">
        <f>AND(CCData[[#This Row],[Date]]&gt;=Calculation!$E$3,CCData[[#This Row],[Date]]&lt;Calculation!$E$3+7)</f>
        <v>0</v>
      </c>
    </row>
    <row r="553" spans="1:10">
      <c r="A553" t="s">
        <v>552</v>
      </c>
      <c r="B553" s="2">
        <v>42014.606</v>
      </c>
      <c r="C553" s="3" t="s">
        <v>5008</v>
      </c>
      <c r="D553" t="s">
        <v>5012</v>
      </c>
      <c r="E553" t="s">
        <v>5018</v>
      </c>
      <c r="F553" t="s">
        <v>5018</v>
      </c>
      <c r="G553">
        <v>61</v>
      </c>
      <c r="H553" s="5">
        <v>3.4869103691801402E-3</v>
      </c>
      <c r="I553">
        <v>3</v>
      </c>
      <c r="J553" t="b">
        <f>AND(CCData[[#This Row],[Date]]&gt;=Calculation!$E$3,CCData[[#This Row],[Date]]&lt;Calculation!$E$3+7)</f>
        <v>0</v>
      </c>
    </row>
    <row r="554" spans="1:10">
      <c r="A554" t="s">
        <v>553</v>
      </c>
      <c r="B554" s="2">
        <v>42014.624000000003</v>
      </c>
      <c r="C554" s="3" t="s">
        <v>5008</v>
      </c>
      <c r="D554" t="s">
        <v>5012</v>
      </c>
      <c r="E554" t="s">
        <v>5018</v>
      </c>
      <c r="F554" t="s">
        <v>5018</v>
      </c>
      <c r="G554">
        <v>118</v>
      </c>
      <c r="H554" s="5">
        <v>2.3164917058949748E-3</v>
      </c>
      <c r="I554">
        <v>3</v>
      </c>
      <c r="J554" t="b">
        <f>AND(CCData[[#This Row],[Date]]&gt;=Calculation!$E$3,CCData[[#This Row],[Date]]&lt;Calculation!$E$3+7)</f>
        <v>0</v>
      </c>
    </row>
    <row r="555" spans="1:10">
      <c r="A555" t="s">
        <v>554</v>
      </c>
      <c r="B555" s="2">
        <v>42014.624000000003</v>
      </c>
      <c r="C555" s="3" t="s">
        <v>5009</v>
      </c>
      <c r="D555" t="s">
        <v>5015</v>
      </c>
      <c r="E555" t="s">
        <v>5018</v>
      </c>
      <c r="F555" t="s">
        <v>5018</v>
      </c>
      <c r="G555">
        <v>87</v>
      </c>
      <c r="H555" s="5">
        <v>2.9867445726095578E-3</v>
      </c>
      <c r="I555">
        <v>4</v>
      </c>
      <c r="J555" t="b">
        <f>AND(CCData[[#This Row],[Date]]&gt;=Calculation!$E$3,CCData[[#This Row],[Date]]&lt;Calculation!$E$3+7)</f>
        <v>0</v>
      </c>
    </row>
    <row r="556" spans="1:10">
      <c r="A556" t="s">
        <v>555</v>
      </c>
      <c r="B556" s="2">
        <v>42014.663999999997</v>
      </c>
      <c r="C556" s="3" t="s">
        <v>5003</v>
      </c>
      <c r="D556" t="s">
        <v>5014</v>
      </c>
      <c r="E556" t="s">
        <v>5018</v>
      </c>
      <c r="F556" t="s">
        <v>5018</v>
      </c>
      <c r="G556">
        <v>48</v>
      </c>
      <c r="H556" s="5">
        <v>7.6666025763053763E-4</v>
      </c>
      <c r="I556">
        <v>4</v>
      </c>
      <c r="J556" t="b">
        <f>AND(CCData[[#This Row],[Date]]&gt;=Calculation!$E$3,CCData[[#This Row],[Date]]&lt;Calculation!$E$3+7)</f>
        <v>0</v>
      </c>
    </row>
    <row r="557" spans="1:10">
      <c r="A557" t="s">
        <v>556</v>
      </c>
      <c r="B557" s="2">
        <v>42014.663999999997</v>
      </c>
      <c r="C557" s="3" t="s">
        <v>5008</v>
      </c>
      <c r="D557" t="s">
        <v>5012</v>
      </c>
      <c r="E557" t="s">
        <v>5018</v>
      </c>
      <c r="F557" t="s">
        <v>5018</v>
      </c>
      <c r="G557">
        <v>112</v>
      </c>
      <c r="H557" s="5">
        <v>1.5564031920537746E-3</v>
      </c>
      <c r="I557">
        <v>1</v>
      </c>
      <c r="J557" t="b">
        <f>AND(CCData[[#This Row],[Date]]&gt;=Calculation!$E$3,CCData[[#This Row],[Date]]&lt;Calculation!$E$3+7)</f>
        <v>0</v>
      </c>
    </row>
    <row r="558" spans="1:10">
      <c r="A558" t="s">
        <v>557</v>
      </c>
      <c r="B558" s="2">
        <v>42014.667000000001</v>
      </c>
      <c r="C558" s="3" t="s">
        <v>5005</v>
      </c>
      <c r="D558" t="s">
        <v>5012</v>
      </c>
      <c r="E558" t="s">
        <v>5018</v>
      </c>
      <c r="F558" t="s">
        <v>5018</v>
      </c>
      <c r="G558">
        <v>99</v>
      </c>
      <c r="H558" s="5">
        <v>1.9004273929260718E-3</v>
      </c>
      <c r="I558">
        <v>5</v>
      </c>
      <c r="J558" t="b">
        <f>AND(CCData[[#This Row],[Date]]&gt;=Calculation!$E$3,CCData[[#This Row],[Date]]&lt;Calculation!$E$3+7)</f>
        <v>0</v>
      </c>
    </row>
    <row r="559" spans="1:10">
      <c r="A559" t="s">
        <v>558</v>
      </c>
      <c r="B559" s="2">
        <v>42014.667000000001</v>
      </c>
      <c r="C559" s="3" t="s">
        <v>5004</v>
      </c>
      <c r="D559" t="s">
        <v>5013</v>
      </c>
      <c r="E559" t="s">
        <v>5018</v>
      </c>
      <c r="F559" t="s">
        <v>5018</v>
      </c>
      <c r="G559">
        <v>103</v>
      </c>
      <c r="H559" s="5">
        <v>2.0399969950165944E-3</v>
      </c>
      <c r="I559">
        <v>4</v>
      </c>
      <c r="J559" t="b">
        <f>AND(CCData[[#This Row],[Date]]&gt;=Calculation!$E$3,CCData[[#This Row],[Date]]&lt;Calculation!$E$3+7)</f>
        <v>0</v>
      </c>
    </row>
    <row r="560" spans="1:10">
      <c r="A560" t="s">
        <v>559</v>
      </c>
      <c r="B560" s="2">
        <v>42014.692999999999</v>
      </c>
      <c r="C560" s="3" t="s">
        <v>5008</v>
      </c>
      <c r="D560" t="s">
        <v>5014</v>
      </c>
      <c r="E560" t="s">
        <v>5018</v>
      </c>
      <c r="F560" t="s">
        <v>5018</v>
      </c>
      <c r="G560">
        <v>102</v>
      </c>
      <c r="H560" s="5">
        <v>4.4338175841713152E-4</v>
      </c>
      <c r="I560">
        <v>5</v>
      </c>
      <c r="J560" t="b">
        <f>AND(CCData[[#This Row],[Date]]&gt;=Calculation!$E$3,CCData[[#This Row],[Date]]&lt;Calculation!$E$3+7)</f>
        <v>0</v>
      </c>
    </row>
    <row r="561" spans="1:10">
      <c r="A561" t="s">
        <v>560</v>
      </c>
      <c r="B561" s="2">
        <v>42014.692999999999</v>
      </c>
      <c r="C561" s="3" t="s">
        <v>5008</v>
      </c>
      <c r="D561" t="s">
        <v>5014</v>
      </c>
      <c r="E561" t="s">
        <v>5018</v>
      </c>
      <c r="F561" t="s">
        <v>5018</v>
      </c>
      <c r="G561">
        <v>74</v>
      </c>
      <c r="H561" s="5">
        <v>4.8132865747419632E-3</v>
      </c>
      <c r="I561">
        <v>5</v>
      </c>
      <c r="J561" t="b">
        <f>AND(CCData[[#This Row],[Date]]&gt;=Calculation!$E$3,CCData[[#This Row],[Date]]&lt;Calculation!$E$3+7)</f>
        <v>0</v>
      </c>
    </row>
    <row r="562" spans="1:10">
      <c r="A562" t="s">
        <v>561</v>
      </c>
      <c r="B562" s="2">
        <v>42014.692999999999</v>
      </c>
      <c r="C562" s="3" t="s">
        <v>5006</v>
      </c>
      <c r="D562" t="s">
        <v>5014</v>
      </c>
      <c r="E562" t="s">
        <v>5018</v>
      </c>
      <c r="F562" t="s">
        <v>5018</v>
      </c>
      <c r="G562">
        <v>28</v>
      </c>
      <c r="H562" s="5">
        <v>1.0266785840360691E-3</v>
      </c>
      <c r="I562">
        <v>1</v>
      </c>
      <c r="J562" t="b">
        <f>AND(CCData[[#This Row],[Date]]&gt;=Calculation!$E$3,CCData[[#This Row],[Date]]&lt;Calculation!$E$3+7)</f>
        <v>0</v>
      </c>
    </row>
    <row r="563" spans="1:10">
      <c r="A563" t="s">
        <v>562</v>
      </c>
      <c r="B563" s="2">
        <v>42014.692999999999</v>
      </c>
      <c r="C563" s="3" t="s">
        <v>5008</v>
      </c>
      <c r="D563" t="s">
        <v>5012</v>
      </c>
      <c r="E563" t="s">
        <v>5018</v>
      </c>
      <c r="F563" t="s">
        <v>5018</v>
      </c>
      <c r="G563">
        <v>64</v>
      </c>
      <c r="H563" s="5">
        <v>1.7674789961571583E-3</v>
      </c>
      <c r="I563">
        <v>4</v>
      </c>
      <c r="J563" t="b">
        <f>AND(CCData[[#This Row],[Date]]&gt;=Calculation!$E$3,CCData[[#This Row],[Date]]&lt;Calculation!$E$3+7)</f>
        <v>0</v>
      </c>
    </row>
    <row r="564" spans="1:10">
      <c r="A564" t="s">
        <v>563</v>
      </c>
      <c r="B564" s="2">
        <v>42014.696000000004</v>
      </c>
      <c r="C564" s="3" t="s">
        <v>5003</v>
      </c>
      <c r="D564" t="s">
        <v>5012</v>
      </c>
      <c r="E564" t="s">
        <v>5019</v>
      </c>
      <c r="F564" t="s">
        <v>5019</v>
      </c>
      <c r="G564" t="s">
        <v>5022</v>
      </c>
      <c r="H564" s="5" t="s">
        <v>5022</v>
      </c>
      <c r="I564" t="s">
        <v>5022</v>
      </c>
      <c r="J564" t="b">
        <f>AND(CCData[[#This Row],[Date]]&gt;=Calculation!$E$3,CCData[[#This Row],[Date]]&lt;Calculation!$E$3+7)</f>
        <v>0</v>
      </c>
    </row>
    <row r="565" spans="1:10">
      <c r="A565" t="s">
        <v>564</v>
      </c>
      <c r="B565" s="2">
        <v>42014.696000000004</v>
      </c>
      <c r="C565" s="3" t="s">
        <v>5004</v>
      </c>
      <c r="D565" t="s">
        <v>5014</v>
      </c>
      <c r="E565" t="s">
        <v>5018</v>
      </c>
      <c r="F565" t="s">
        <v>5018</v>
      </c>
      <c r="G565">
        <v>81</v>
      </c>
      <c r="H565" s="5">
        <v>4.5822813240776568E-3</v>
      </c>
      <c r="I565">
        <v>4</v>
      </c>
      <c r="J565" t="b">
        <f>AND(CCData[[#This Row],[Date]]&gt;=Calculation!$E$3,CCData[[#This Row],[Date]]&lt;Calculation!$E$3+7)</f>
        <v>0</v>
      </c>
    </row>
    <row r="566" spans="1:10">
      <c r="A566" t="s">
        <v>565</v>
      </c>
      <c r="B566" s="2">
        <v>42014.707000000002</v>
      </c>
      <c r="C566" s="3" t="s">
        <v>5004</v>
      </c>
      <c r="D566" t="s">
        <v>5016</v>
      </c>
      <c r="E566" t="s">
        <v>5018</v>
      </c>
      <c r="F566" t="s">
        <v>5018</v>
      </c>
      <c r="G566">
        <v>121</v>
      </c>
      <c r="H566" s="5">
        <v>7.3924429250283924E-4</v>
      </c>
      <c r="I566">
        <v>3</v>
      </c>
      <c r="J566" t="b">
        <f>AND(CCData[[#This Row],[Date]]&gt;=Calculation!$E$3,CCData[[#This Row],[Date]]&lt;Calculation!$E$3+7)</f>
        <v>0</v>
      </c>
    </row>
    <row r="567" spans="1:10">
      <c r="A567" t="s">
        <v>566</v>
      </c>
      <c r="B567" s="2">
        <v>42014.707000000002</v>
      </c>
      <c r="C567" s="3" t="s">
        <v>5008</v>
      </c>
      <c r="D567" t="s">
        <v>5013</v>
      </c>
      <c r="E567" t="s">
        <v>5018</v>
      </c>
      <c r="F567" t="s">
        <v>5018</v>
      </c>
      <c r="G567">
        <v>117</v>
      </c>
      <c r="H567" s="5">
        <v>1.9741330256361198E-3</v>
      </c>
      <c r="I567">
        <v>4</v>
      </c>
      <c r="J567" t="b">
        <f>AND(CCData[[#This Row],[Date]]&gt;=Calculation!$E$3,CCData[[#This Row],[Date]]&lt;Calculation!$E$3+7)</f>
        <v>0</v>
      </c>
    </row>
    <row r="568" spans="1:10">
      <c r="A568" t="s">
        <v>567</v>
      </c>
      <c r="B568" s="2">
        <v>42014.724999999999</v>
      </c>
      <c r="C568" s="3" t="s">
        <v>5003</v>
      </c>
      <c r="D568" t="s">
        <v>5014</v>
      </c>
      <c r="E568" t="s">
        <v>5018</v>
      </c>
      <c r="F568" t="s">
        <v>5018</v>
      </c>
      <c r="G568">
        <v>55</v>
      </c>
      <c r="H568" s="5">
        <v>2.9368827889537262E-3</v>
      </c>
      <c r="I568">
        <v>4</v>
      </c>
      <c r="J568" t="b">
        <f>AND(CCData[[#This Row],[Date]]&gt;=Calculation!$E$3,CCData[[#This Row],[Date]]&lt;Calculation!$E$3+7)</f>
        <v>0</v>
      </c>
    </row>
    <row r="569" spans="1:10">
      <c r="A569" t="s">
        <v>568</v>
      </c>
      <c r="B569" s="2">
        <v>42014.724999999999</v>
      </c>
      <c r="C569" s="3" t="s">
        <v>5005</v>
      </c>
      <c r="D569" t="s">
        <v>5013</v>
      </c>
      <c r="E569" t="s">
        <v>5019</v>
      </c>
      <c r="F569" t="s">
        <v>5019</v>
      </c>
      <c r="G569" t="s">
        <v>5022</v>
      </c>
      <c r="H569" s="5" t="s">
        <v>5022</v>
      </c>
      <c r="I569" t="s">
        <v>5022</v>
      </c>
      <c r="J569" t="b">
        <f>AND(CCData[[#This Row],[Date]]&gt;=Calculation!$E$3,CCData[[#This Row],[Date]]&lt;Calculation!$E$3+7)</f>
        <v>0</v>
      </c>
    </row>
    <row r="570" spans="1:10">
      <c r="A570" t="s">
        <v>569</v>
      </c>
      <c r="B570" s="2">
        <v>42014.726000000002</v>
      </c>
      <c r="C570" s="3" t="s">
        <v>5004</v>
      </c>
      <c r="D570" t="s">
        <v>5016</v>
      </c>
      <c r="E570" t="s">
        <v>5018</v>
      </c>
      <c r="F570" t="s">
        <v>5018</v>
      </c>
      <c r="G570">
        <v>79</v>
      </c>
      <c r="H570" s="5">
        <v>1.7350329080287885E-3</v>
      </c>
      <c r="I570">
        <v>3</v>
      </c>
      <c r="J570" t="b">
        <f>AND(CCData[[#This Row],[Date]]&gt;=Calculation!$E$3,CCData[[#This Row],[Date]]&lt;Calculation!$E$3+7)</f>
        <v>0</v>
      </c>
    </row>
    <row r="571" spans="1:10">
      <c r="A571" t="s">
        <v>570</v>
      </c>
      <c r="B571" s="2">
        <v>42014.726000000002</v>
      </c>
      <c r="C571" s="3" t="s">
        <v>5009</v>
      </c>
      <c r="D571" t="s">
        <v>5013</v>
      </c>
      <c r="E571" t="s">
        <v>5018</v>
      </c>
      <c r="F571" t="s">
        <v>5018</v>
      </c>
      <c r="G571">
        <v>120</v>
      </c>
      <c r="H571" s="5">
        <v>1.4904255468678291E-3</v>
      </c>
      <c r="I571">
        <v>1</v>
      </c>
      <c r="J571" t="b">
        <f>AND(CCData[[#This Row],[Date]]&gt;=Calculation!$E$3,CCData[[#This Row],[Date]]&lt;Calculation!$E$3+7)</f>
        <v>0</v>
      </c>
    </row>
    <row r="572" spans="1:10">
      <c r="A572" t="s">
        <v>571</v>
      </c>
      <c r="B572" s="2">
        <v>42014.73</v>
      </c>
      <c r="C572" s="3" t="s">
        <v>5005</v>
      </c>
      <c r="D572" t="s">
        <v>5012</v>
      </c>
      <c r="E572" t="s">
        <v>5018</v>
      </c>
      <c r="F572" t="s">
        <v>5018</v>
      </c>
      <c r="G572">
        <v>50</v>
      </c>
      <c r="H572" s="5">
        <v>1.8592438093073831E-3</v>
      </c>
      <c r="I572">
        <v>2</v>
      </c>
      <c r="J572" t="b">
        <f>AND(CCData[[#This Row],[Date]]&gt;=Calculation!$E$3,CCData[[#This Row],[Date]]&lt;Calculation!$E$3+7)</f>
        <v>0</v>
      </c>
    </row>
    <row r="573" spans="1:10">
      <c r="A573" t="s">
        <v>572</v>
      </c>
      <c r="B573" s="2">
        <v>42014.73</v>
      </c>
      <c r="C573" s="3" t="s">
        <v>5009</v>
      </c>
      <c r="D573" t="s">
        <v>5015</v>
      </c>
      <c r="E573" t="s">
        <v>5018</v>
      </c>
      <c r="F573" t="s">
        <v>5019</v>
      </c>
      <c r="G573">
        <v>15</v>
      </c>
      <c r="H573" s="5">
        <v>2.1125579086905804E-3</v>
      </c>
      <c r="I573">
        <v>1</v>
      </c>
      <c r="J573" t="b">
        <f>AND(CCData[[#This Row],[Date]]&gt;=Calculation!$E$3,CCData[[#This Row],[Date]]&lt;Calculation!$E$3+7)</f>
        <v>0</v>
      </c>
    </row>
    <row r="574" spans="1:10">
      <c r="A574" t="s">
        <v>573</v>
      </c>
      <c r="B574" s="2">
        <v>42014.733</v>
      </c>
      <c r="C574" s="3" t="s">
        <v>5010</v>
      </c>
      <c r="D574" t="s">
        <v>5016</v>
      </c>
      <c r="E574" t="s">
        <v>5018</v>
      </c>
      <c r="F574" t="s">
        <v>5018</v>
      </c>
      <c r="G574">
        <v>10</v>
      </c>
      <c r="H574" s="5">
        <v>3.4510209943892966E-3</v>
      </c>
      <c r="I574">
        <v>3</v>
      </c>
      <c r="J574" t="b">
        <f>AND(CCData[[#This Row],[Date]]&gt;=Calculation!$E$3,CCData[[#This Row],[Date]]&lt;Calculation!$E$3+7)</f>
        <v>0</v>
      </c>
    </row>
    <row r="575" spans="1:10">
      <c r="A575" t="s">
        <v>574</v>
      </c>
      <c r="B575" s="2">
        <v>42014.733</v>
      </c>
      <c r="C575" s="3" t="s">
        <v>5006</v>
      </c>
      <c r="D575" t="s">
        <v>5013</v>
      </c>
      <c r="E575" t="s">
        <v>5018</v>
      </c>
      <c r="F575" t="s">
        <v>5018</v>
      </c>
      <c r="G575">
        <v>110</v>
      </c>
      <c r="H575" s="5">
        <v>2.9394266022983347E-3</v>
      </c>
      <c r="I575">
        <v>3</v>
      </c>
      <c r="J575" t="b">
        <f>AND(CCData[[#This Row],[Date]]&gt;=Calculation!$E$3,CCData[[#This Row],[Date]]&lt;Calculation!$E$3+7)</f>
        <v>0</v>
      </c>
    </row>
    <row r="576" spans="1:10">
      <c r="A576" t="s">
        <v>575</v>
      </c>
      <c r="B576" s="2">
        <v>42014.735999999997</v>
      </c>
      <c r="C576" s="3" t="s">
        <v>5006</v>
      </c>
      <c r="D576" t="s">
        <v>5014</v>
      </c>
      <c r="E576" t="s">
        <v>5018</v>
      </c>
      <c r="F576" t="s">
        <v>5018</v>
      </c>
      <c r="G576">
        <v>69</v>
      </c>
      <c r="H576" s="5">
        <v>5.4138658258171967E-4</v>
      </c>
      <c r="I576">
        <v>3</v>
      </c>
      <c r="J576" t="b">
        <f>AND(CCData[[#This Row],[Date]]&gt;=Calculation!$E$3,CCData[[#This Row],[Date]]&lt;Calculation!$E$3+7)</f>
        <v>0</v>
      </c>
    </row>
    <row r="577" spans="1:10">
      <c r="A577" t="s">
        <v>576</v>
      </c>
      <c r="B577" s="2">
        <v>42014.735999999997</v>
      </c>
      <c r="C577" s="3" t="s">
        <v>5007</v>
      </c>
      <c r="D577" t="s">
        <v>5012</v>
      </c>
      <c r="E577" t="s">
        <v>5018</v>
      </c>
      <c r="F577" t="s">
        <v>5019</v>
      </c>
      <c r="G577">
        <v>122</v>
      </c>
      <c r="H577" s="5">
        <v>1.9448813781929139E-3</v>
      </c>
      <c r="I577">
        <v>1</v>
      </c>
      <c r="J577" t="b">
        <f>AND(CCData[[#This Row],[Date]]&gt;=Calculation!$E$3,CCData[[#This Row],[Date]]&lt;Calculation!$E$3+7)</f>
        <v>0</v>
      </c>
    </row>
    <row r="578" spans="1:10">
      <c r="A578" t="s">
        <v>577</v>
      </c>
      <c r="B578" s="2">
        <v>42014.741999999998</v>
      </c>
      <c r="C578" s="3" t="s">
        <v>5003</v>
      </c>
      <c r="D578" t="s">
        <v>5012</v>
      </c>
      <c r="E578" t="s">
        <v>5018</v>
      </c>
      <c r="F578" t="s">
        <v>5018</v>
      </c>
      <c r="G578">
        <v>47</v>
      </c>
      <c r="H578" s="5">
        <v>6.7273170321743641E-4</v>
      </c>
      <c r="I578">
        <v>3</v>
      </c>
      <c r="J578" t="b">
        <f>AND(CCData[[#This Row],[Date]]&gt;=Calculation!$E$3,CCData[[#This Row],[Date]]&lt;Calculation!$E$3+7)</f>
        <v>0</v>
      </c>
    </row>
    <row r="579" spans="1:10">
      <c r="A579" t="s">
        <v>578</v>
      </c>
      <c r="B579" s="2">
        <v>42014.741999999998</v>
      </c>
      <c r="C579" s="3" t="s">
        <v>5006</v>
      </c>
      <c r="D579" t="s">
        <v>5013</v>
      </c>
      <c r="E579" t="s">
        <v>5018</v>
      </c>
      <c r="F579" t="s">
        <v>5019</v>
      </c>
      <c r="G579">
        <v>124</v>
      </c>
      <c r="H579" s="5">
        <v>4.6975353506730905E-3</v>
      </c>
      <c r="I579">
        <v>5</v>
      </c>
      <c r="J579" t="b">
        <f>AND(CCData[[#This Row],[Date]]&gt;=Calculation!$E$3,CCData[[#This Row],[Date]]&lt;Calculation!$E$3+7)</f>
        <v>0</v>
      </c>
    </row>
    <row r="580" spans="1:10">
      <c r="A580" t="s">
        <v>579</v>
      </c>
      <c r="B580" s="2">
        <v>42015.396000000001</v>
      </c>
      <c r="C580" s="3" t="s">
        <v>5009</v>
      </c>
      <c r="D580" t="s">
        <v>5016</v>
      </c>
      <c r="E580" t="s">
        <v>5018</v>
      </c>
      <c r="F580" t="s">
        <v>5018</v>
      </c>
      <c r="G580">
        <v>92</v>
      </c>
      <c r="H580" s="5">
        <v>1.396273519826732E-3</v>
      </c>
      <c r="I580">
        <v>3</v>
      </c>
      <c r="J580" t="b">
        <f>AND(CCData[[#This Row],[Date]]&gt;=Calculation!$E$3,CCData[[#This Row],[Date]]&lt;Calculation!$E$3+7)</f>
        <v>0</v>
      </c>
    </row>
    <row r="581" spans="1:10">
      <c r="A581" t="s">
        <v>580</v>
      </c>
      <c r="B581" s="2">
        <v>42015.396000000001</v>
      </c>
      <c r="C581" s="3" t="s">
        <v>5004</v>
      </c>
      <c r="D581" t="s">
        <v>5014</v>
      </c>
      <c r="E581" t="s">
        <v>5018</v>
      </c>
      <c r="F581" t="s">
        <v>5018</v>
      </c>
      <c r="G581">
        <v>110</v>
      </c>
      <c r="H581" s="5">
        <v>3.8378025326101109E-3</v>
      </c>
      <c r="I581">
        <v>2</v>
      </c>
      <c r="J581" t="b">
        <f>AND(CCData[[#This Row],[Date]]&gt;=Calculation!$E$3,CCData[[#This Row],[Date]]&lt;Calculation!$E$3+7)</f>
        <v>0</v>
      </c>
    </row>
    <row r="582" spans="1:10">
      <c r="A582" t="s">
        <v>581</v>
      </c>
      <c r="B582" s="2">
        <v>42015.400999999998</v>
      </c>
      <c r="C582" s="3" t="s">
        <v>5005</v>
      </c>
      <c r="D582" t="s">
        <v>5016</v>
      </c>
      <c r="E582" t="s">
        <v>5018</v>
      </c>
      <c r="F582" t="s">
        <v>5018</v>
      </c>
      <c r="G582">
        <v>84</v>
      </c>
      <c r="H582" s="5">
        <v>1.6772729567820935E-3</v>
      </c>
      <c r="I582">
        <v>4</v>
      </c>
      <c r="J582" t="b">
        <f>AND(CCData[[#This Row],[Date]]&gt;=Calculation!$E$3,CCData[[#This Row],[Date]]&lt;Calculation!$E$3+7)</f>
        <v>0</v>
      </c>
    </row>
    <row r="583" spans="1:10">
      <c r="A583" t="s">
        <v>582</v>
      </c>
      <c r="B583" s="2">
        <v>42015.400999999998</v>
      </c>
      <c r="C583" s="3" t="s">
        <v>5005</v>
      </c>
      <c r="D583" t="s">
        <v>5015</v>
      </c>
      <c r="E583" t="s">
        <v>5019</v>
      </c>
      <c r="F583" t="s">
        <v>5019</v>
      </c>
      <c r="G583" t="s">
        <v>5022</v>
      </c>
      <c r="H583" s="5" t="s">
        <v>5022</v>
      </c>
      <c r="I583" t="s">
        <v>5022</v>
      </c>
      <c r="J583" t="b">
        <f>AND(CCData[[#This Row],[Date]]&gt;=Calculation!$E$3,CCData[[#This Row],[Date]]&lt;Calculation!$E$3+7)</f>
        <v>0</v>
      </c>
    </row>
    <row r="584" spans="1:10">
      <c r="A584" t="s">
        <v>583</v>
      </c>
      <c r="B584" s="2">
        <v>42015.402000000002</v>
      </c>
      <c r="C584" s="3" t="s">
        <v>5003</v>
      </c>
      <c r="D584" t="s">
        <v>5015</v>
      </c>
      <c r="E584" t="s">
        <v>5018</v>
      </c>
      <c r="F584" t="s">
        <v>5018</v>
      </c>
      <c r="G584">
        <v>81</v>
      </c>
      <c r="H584" s="5">
        <v>3.0261977227596117E-3</v>
      </c>
      <c r="I584">
        <v>5</v>
      </c>
      <c r="J584" t="b">
        <f>AND(CCData[[#This Row],[Date]]&gt;=Calculation!$E$3,CCData[[#This Row],[Date]]&lt;Calculation!$E$3+7)</f>
        <v>0</v>
      </c>
    </row>
    <row r="585" spans="1:10">
      <c r="A585" t="s">
        <v>584</v>
      </c>
      <c r="B585" s="2">
        <v>42015.402000000002</v>
      </c>
      <c r="C585" s="3" t="s">
        <v>5006</v>
      </c>
      <c r="D585" t="s">
        <v>5014</v>
      </c>
      <c r="E585" t="s">
        <v>5018</v>
      </c>
      <c r="F585" t="s">
        <v>5018</v>
      </c>
      <c r="G585">
        <v>116</v>
      </c>
      <c r="H585" s="5">
        <v>1.498431331034759E-3</v>
      </c>
      <c r="I585">
        <v>4</v>
      </c>
      <c r="J585" t="b">
        <f>AND(CCData[[#This Row],[Date]]&gt;=Calculation!$E$3,CCData[[#This Row],[Date]]&lt;Calculation!$E$3+7)</f>
        <v>0</v>
      </c>
    </row>
    <row r="586" spans="1:10">
      <c r="A586" t="s">
        <v>585</v>
      </c>
      <c r="B586" s="2">
        <v>42015.402000000002</v>
      </c>
      <c r="C586" s="3" t="s">
        <v>5003</v>
      </c>
      <c r="D586" t="s">
        <v>5014</v>
      </c>
      <c r="E586" t="s">
        <v>5019</v>
      </c>
      <c r="F586" t="s">
        <v>5019</v>
      </c>
      <c r="G586" t="s">
        <v>5022</v>
      </c>
      <c r="H586" s="5" t="s">
        <v>5022</v>
      </c>
      <c r="I586" t="s">
        <v>5022</v>
      </c>
      <c r="J586" t="b">
        <f>AND(CCData[[#This Row],[Date]]&gt;=Calculation!$E$3,CCData[[#This Row],[Date]]&lt;Calculation!$E$3+7)</f>
        <v>0</v>
      </c>
    </row>
    <row r="587" spans="1:10">
      <c r="A587" t="s">
        <v>586</v>
      </c>
      <c r="B587" s="2">
        <v>42015.402000000002</v>
      </c>
      <c r="C587" s="3" t="s">
        <v>5008</v>
      </c>
      <c r="D587" t="s">
        <v>5016</v>
      </c>
      <c r="E587" t="s">
        <v>5018</v>
      </c>
      <c r="F587" t="s">
        <v>5018</v>
      </c>
      <c r="G587">
        <v>63</v>
      </c>
      <c r="H587" s="5">
        <v>2.8792760762219789E-3</v>
      </c>
      <c r="I587">
        <v>3</v>
      </c>
      <c r="J587" t="b">
        <f>AND(CCData[[#This Row],[Date]]&gt;=Calculation!$E$3,CCData[[#This Row],[Date]]&lt;Calculation!$E$3+7)</f>
        <v>0</v>
      </c>
    </row>
    <row r="588" spans="1:10">
      <c r="A588" t="s">
        <v>587</v>
      </c>
      <c r="B588" s="2">
        <v>42015.409</v>
      </c>
      <c r="C588" s="3" t="s">
        <v>5010</v>
      </c>
      <c r="D588" t="s">
        <v>5016</v>
      </c>
      <c r="E588" t="s">
        <v>5019</v>
      </c>
      <c r="F588" t="s">
        <v>5019</v>
      </c>
      <c r="G588" t="s">
        <v>5022</v>
      </c>
      <c r="H588" s="5" t="s">
        <v>5022</v>
      </c>
      <c r="I588" t="s">
        <v>5022</v>
      </c>
      <c r="J588" t="b">
        <f>AND(CCData[[#This Row],[Date]]&gt;=Calculation!$E$3,CCData[[#This Row],[Date]]&lt;Calculation!$E$3+7)</f>
        <v>0</v>
      </c>
    </row>
    <row r="589" spans="1:10">
      <c r="A589" t="s">
        <v>588</v>
      </c>
      <c r="B589" s="2">
        <v>42015.409</v>
      </c>
      <c r="C589" s="3" t="s">
        <v>5008</v>
      </c>
      <c r="D589" t="s">
        <v>5016</v>
      </c>
      <c r="E589" t="s">
        <v>5018</v>
      </c>
      <c r="F589" t="s">
        <v>5018</v>
      </c>
      <c r="G589">
        <v>30</v>
      </c>
      <c r="H589" s="5">
        <v>3.134584430394148E-3</v>
      </c>
      <c r="I589">
        <v>3</v>
      </c>
      <c r="J589" t="b">
        <f>AND(CCData[[#This Row],[Date]]&gt;=Calculation!$E$3,CCData[[#This Row],[Date]]&lt;Calculation!$E$3+7)</f>
        <v>0</v>
      </c>
    </row>
    <row r="590" spans="1:10">
      <c r="A590" t="s">
        <v>589</v>
      </c>
      <c r="B590" s="2">
        <v>42015.42</v>
      </c>
      <c r="C590" s="3" t="s">
        <v>5003</v>
      </c>
      <c r="D590" t="s">
        <v>5015</v>
      </c>
      <c r="E590" t="s">
        <v>5018</v>
      </c>
      <c r="F590" t="s">
        <v>5018</v>
      </c>
      <c r="G590">
        <v>22</v>
      </c>
      <c r="H590" s="5">
        <v>3.9554323212463308E-3</v>
      </c>
      <c r="I590">
        <v>3</v>
      </c>
      <c r="J590" t="b">
        <f>AND(CCData[[#This Row],[Date]]&gt;=Calculation!$E$3,CCData[[#This Row],[Date]]&lt;Calculation!$E$3+7)</f>
        <v>0</v>
      </c>
    </row>
    <row r="591" spans="1:10">
      <c r="A591" t="s">
        <v>590</v>
      </c>
      <c r="B591" s="2">
        <v>42015.42</v>
      </c>
      <c r="C591" s="3" t="s">
        <v>5005</v>
      </c>
      <c r="D591" t="s">
        <v>5013</v>
      </c>
      <c r="E591" t="s">
        <v>5018</v>
      </c>
      <c r="F591" t="s">
        <v>5018</v>
      </c>
      <c r="G591">
        <v>31</v>
      </c>
      <c r="H591" s="5">
        <v>3.700610203437689E-3</v>
      </c>
      <c r="I591">
        <v>3</v>
      </c>
      <c r="J591" t="b">
        <f>AND(CCData[[#This Row],[Date]]&gt;=Calculation!$E$3,CCData[[#This Row],[Date]]&lt;Calculation!$E$3+7)</f>
        <v>0</v>
      </c>
    </row>
    <row r="592" spans="1:10">
      <c r="A592" t="s">
        <v>591</v>
      </c>
      <c r="B592" s="2">
        <v>42015.425999999999</v>
      </c>
      <c r="C592" s="3" t="s">
        <v>5003</v>
      </c>
      <c r="D592" t="s">
        <v>5014</v>
      </c>
      <c r="E592" t="s">
        <v>5018</v>
      </c>
      <c r="F592" t="s">
        <v>5018</v>
      </c>
      <c r="G592">
        <v>47</v>
      </c>
      <c r="H592" s="5">
        <v>1.7639806574597178E-3</v>
      </c>
      <c r="I592">
        <v>3</v>
      </c>
      <c r="J592" t="b">
        <f>AND(CCData[[#This Row],[Date]]&gt;=Calculation!$E$3,CCData[[#This Row],[Date]]&lt;Calculation!$E$3+7)</f>
        <v>0</v>
      </c>
    </row>
    <row r="593" spans="1:10">
      <c r="A593" t="s">
        <v>592</v>
      </c>
      <c r="B593" s="2">
        <v>42015.425999999999</v>
      </c>
      <c r="C593" s="3" t="s">
        <v>5010</v>
      </c>
      <c r="D593" t="s">
        <v>5013</v>
      </c>
      <c r="E593" t="s">
        <v>5018</v>
      </c>
      <c r="F593" t="s">
        <v>5018</v>
      </c>
      <c r="G593">
        <v>88</v>
      </c>
      <c r="H593" s="5">
        <v>3.1673591797863935E-3</v>
      </c>
      <c r="I593">
        <v>3</v>
      </c>
      <c r="J593" t="b">
        <f>AND(CCData[[#This Row],[Date]]&gt;=Calculation!$E$3,CCData[[#This Row],[Date]]&lt;Calculation!$E$3+7)</f>
        <v>0</v>
      </c>
    </row>
    <row r="594" spans="1:10">
      <c r="A594" t="s">
        <v>593</v>
      </c>
      <c r="B594" s="2">
        <v>42015.430999999997</v>
      </c>
      <c r="C594" s="3" t="s">
        <v>5009</v>
      </c>
      <c r="D594" t="s">
        <v>5016</v>
      </c>
      <c r="E594" t="s">
        <v>5018</v>
      </c>
      <c r="F594" t="s">
        <v>5018</v>
      </c>
      <c r="G594">
        <v>106</v>
      </c>
      <c r="H594" s="5">
        <v>2.5306884201704697E-3</v>
      </c>
      <c r="I594">
        <v>4</v>
      </c>
      <c r="J594" t="b">
        <f>AND(CCData[[#This Row],[Date]]&gt;=Calculation!$E$3,CCData[[#This Row],[Date]]&lt;Calculation!$E$3+7)</f>
        <v>0</v>
      </c>
    </row>
    <row r="595" spans="1:10">
      <c r="A595" t="s">
        <v>594</v>
      </c>
      <c r="B595" s="2">
        <v>42015.430999999997</v>
      </c>
      <c r="C595" s="3" t="s">
        <v>5003</v>
      </c>
      <c r="D595" t="s">
        <v>5014</v>
      </c>
      <c r="E595" t="s">
        <v>5018</v>
      </c>
      <c r="F595" t="s">
        <v>5018</v>
      </c>
      <c r="G595">
        <v>70</v>
      </c>
      <c r="H595" s="5">
        <v>1.0087362847578869E-3</v>
      </c>
      <c r="I595">
        <v>5</v>
      </c>
      <c r="J595" t="b">
        <f>AND(CCData[[#This Row],[Date]]&gt;=Calculation!$E$3,CCData[[#This Row],[Date]]&lt;Calculation!$E$3+7)</f>
        <v>0</v>
      </c>
    </row>
    <row r="596" spans="1:10">
      <c r="A596" t="s">
        <v>595</v>
      </c>
      <c r="B596" s="2">
        <v>42015.434999999998</v>
      </c>
      <c r="C596" s="3" t="s">
        <v>5009</v>
      </c>
      <c r="D596" t="s">
        <v>5014</v>
      </c>
      <c r="E596" t="s">
        <v>5018</v>
      </c>
      <c r="F596" t="s">
        <v>5018</v>
      </c>
      <c r="G596">
        <v>77</v>
      </c>
      <c r="H596" s="5">
        <v>3.8979862700119113E-3</v>
      </c>
      <c r="I596">
        <v>3</v>
      </c>
      <c r="J596" t="b">
        <f>AND(CCData[[#This Row],[Date]]&gt;=Calculation!$E$3,CCData[[#This Row],[Date]]&lt;Calculation!$E$3+7)</f>
        <v>0</v>
      </c>
    </row>
    <row r="597" spans="1:10">
      <c r="A597" t="s">
        <v>596</v>
      </c>
      <c r="B597" s="2">
        <v>42015.434999999998</v>
      </c>
      <c r="C597" s="3" t="s">
        <v>5008</v>
      </c>
      <c r="D597" t="s">
        <v>5016</v>
      </c>
      <c r="E597" t="s">
        <v>5018</v>
      </c>
      <c r="F597" t="s">
        <v>5018</v>
      </c>
      <c r="G597">
        <v>82</v>
      </c>
      <c r="H597" s="5">
        <v>4.6393401262672558E-3</v>
      </c>
      <c r="I597">
        <v>3</v>
      </c>
      <c r="J597" t="b">
        <f>AND(CCData[[#This Row],[Date]]&gt;=Calculation!$E$3,CCData[[#This Row],[Date]]&lt;Calculation!$E$3+7)</f>
        <v>0</v>
      </c>
    </row>
    <row r="598" spans="1:10">
      <c r="A598" t="s">
        <v>597</v>
      </c>
      <c r="B598" s="2">
        <v>42015.438999999998</v>
      </c>
      <c r="C598" s="3" t="s">
        <v>5006</v>
      </c>
      <c r="D598" t="s">
        <v>5012</v>
      </c>
      <c r="E598" t="s">
        <v>5018</v>
      </c>
      <c r="F598" t="s">
        <v>5018</v>
      </c>
      <c r="G598">
        <v>84</v>
      </c>
      <c r="H598" s="5">
        <v>3.2993425108826069E-3</v>
      </c>
      <c r="I598">
        <v>3</v>
      </c>
      <c r="J598" t="b">
        <f>AND(CCData[[#This Row],[Date]]&gt;=Calculation!$E$3,CCData[[#This Row],[Date]]&lt;Calculation!$E$3+7)</f>
        <v>0</v>
      </c>
    </row>
    <row r="599" spans="1:10">
      <c r="A599" t="s">
        <v>598</v>
      </c>
      <c r="B599" s="2">
        <v>42015.438999999998</v>
      </c>
      <c r="C599" s="3" t="s">
        <v>5009</v>
      </c>
      <c r="D599" t="s">
        <v>5013</v>
      </c>
      <c r="E599" t="s">
        <v>5018</v>
      </c>
      <c r="F599" t="s">
        <v>5018</v>
      </c>
      <c r="G599">
        <v>50</v>
      </c>
      <c r="H599" s="5">
        <v>4.2348386720521304E-3</v>
      </c>
      <c r="I599">
        <v>4</v>
      </c>
      <c r="J599" t="b">
        <f>AND(CCData[[#This Row],[Date]]&gt;=Calculation!$E$3,CCData[[#This Row],[Date]]&lt;Calculation!$E$3+7)</f>
        <v>0</v>
      </c>
    </row>
    <row r="600" spans="1:10">
      <c r="A600" t="s">
        <v>599</v>
      </c>
      <c r="B600" s="2">
        <v>42015.462</v>
      </c>
      <c r="C600" s="3" t="s">
        <v>5009</v>
      </c>
      <c r="D600" t="s">
        <v>5015</v>
      </c>
      <c r="E600" t="s">
        <v>5019</v>
      </c>
      <c r="F600" t="s">
        <v>5019</v>
      </c>
      <c r="G600" t="s">
        <v>5022</v>
      </c>
      <c r="H600" s="5" t="s">
        <v>5022</v>
      </c>
      <c r="I600" t="s">
        <v>5022</v>
      </c>
      <c r="J600" t="b">
        <f>AND(CCData[[#This Row],[Date]]&gt;=Calculation!$E$3,CCData[[#This Row],[Date]]&lt;Calculation!$E$3+7)</f>
        <v>0</v>
      </c>
    </row>
    <row r="601" spans="1:10">
      <c r="A601" t="s">
        <v>600</v>
      </c>
      <c r="B601" s="2">
        <v>42015.462</v>
      </c>
      <c r="C601" s="3" t="s">
        <v>5004</v>
      </c>
      <c r="D601" t="s">
        <v>5012</v>
      </c>
      <c r="E601" t="s">
        <v>5018</v>
      </c>
      <c r="F601" t="s">
        <v>5018</v>
      </c>
      <c r="G601">
        <v>73</v>
      </c>
      <c r="H601" s="5">
        <v>5.1962153753795084E-4</v>
      </c>
      <c r="I601">
        <v>3</v>
      </c>
      <c r="J601" t="b">
        <f>AND(CCData[[#This Row],[Date]]&gt;=Calculation!$E$3,CCData[[#This Row],[Date]]&lt;Calculation!$E$3+7)</f>
        <v>0</v>
      </c>
    </row>
    <row r="602" spans="1:10">
      <c r="A602" t="s">
        <v>601</v>
      </c>
      <c r="B602" s="2">
        <v>42015.478000000003</v>
      </c>
      <c r="C602" s="3" t="s">
        <v>5006</v>
      </c>
      <c r="D602" t="s">
        <v>5012</v>
      </c>
      <c r="E602" t="s">
        <v>5018</v>
      </c>
      <c r="F602" t="s">
        <v>5018</v>
      </c>
      <c r="G602">
        <v>79</v>
      </c>
      <c r="H602" s="5">
        <v>3.7492507495083616E-3</v>
      </c>
      <c r="I602">
        <v>3</v>
      </c>
      <c r="J602" t="b">
        <f>AND(CCData[[#This Row],[Date]]&gt;=Calculation!$E$3,CCData[[#This Row],[Date]]&lt;Calculation!$E$3+7)</f>
        <v>0</v>
      </c>
    </row>
    <row r="603" spans="1:10">
      <c r="A603" t="s">
        <v>602</v>
      </c>
      <c r="B603" s="2">
        <v>42015.478000000003</v>
      </c>
      <c r="C603" s="3" t="s">
        <v>5010</v>
      </c>
      <c r="D603" t="s">
        <v>5012</v>
      </c>
      <c r="E603" t="s">
        <v>5018</v>
      </c>
      <c r="F603" t="s">
        <v>5018</v>
      </c>
      <c r="G603">
        <v>124</v>
      </c>
      <c r="H603" s="5">
        <v>2.7579633876445458E-3</v>
      </c>
      <c r="I603">
        <v>5</v>
      </c>
      <c r="J603" t="b">
        <f>AND(CCData[[#This Row],[Date]]&gt;=Calculation!$E$3,CCData[[#This Row],[Date]]&lt;Calculation!$E$3+7)</f>
        <v>0</v>
      </c>
    </row>
    <row r="604" spans="1:10">
      <c r="A604" t="s">
        <v>603</v>
      </c>
      <c r="B604" s="2">
        <v>42015.478999999999</v>
      </c>
      <c r="C604" s="3" t="s">
        <v>5005</v>
      </c>
      <c r="D604" t="s">
        <v>5015</v>
      </c>
      <c r="E604" t="s">
        <v>5019</v>
      </c>
      <c r="F604" t="s">
        <v>5019</v>
      </c>
      <c r="G604" t="s">
        <v>5022</v>
      </c>
      <c r="H604" s="5" t="s">
        <v>5022</v>
      </c>
      <c r="I604" t="s">
        <v>5022</v>
      </c>
      <c r="J604" t="b">
        <f>AND(CCData[[#This Row],[Date]]&gt;=Calculation!$E$3,CCData[[#This Row],[Date]]&lt;Calculation!$E$3+7)</f>
        <v>0</v>
      </c>
    </row>
    <row r="605" spans="1:10">
      <c r="A605" t="s">
        <v>604</v>
      </c>
      <c r="B605" s="2">
        <v>42015.478999999999</v>
      </c>
      <c r="C605" s="3" t="s">
        <v>5004</v>
      </c>
      <c r="D605" t="s">
        <v>5013</v>
      </c>
      <c r="E605" t="s">
        <v>5018</v>
      </c>
      <c r="F605" t="s">
        <v>5019</v>
      </c>
      <c r="G605">
        <v>75</v>
      </c>
      <c r="H605" s="5">
        <v>2.4630221233720908E-3</v>
      </c>
      <c r="I605">
        <v>4</v>
      </c>
      <c r="J605" t="b">
        <f>AND(CCData[[#This Row],[Date]]&gt;=Calculation!$E$3,CCData[[#This Row],[Date]]&lt;Calculation!$E$3+7)</f>
        <v>0</v>
      </c>
    </row>
    <row r="606" spans="1:10">
      <c r="A606" t="s">
        <v>605</v>
      </c>
      <c r="B606" s="2">
        <v>42015.483999999997</v>
      </c>
      <c r="C606" s="3" t="s">
        <v>5004</v>
      </c>
      <c r="D606" t="s">
        <v>5013</v>
      </c>
      <c r="E606" t="s">
        <v>5018</v>
      </c>
      <c r="F606" t="s">
        <v>5018</v>
      </c>
      <c r="G606">
        <v>34</v>
      </c>
      <c r="H606" s="5">
        <v>3.1388971062165324E-3</v>
      </c>
      <c r="I606">
        <v>3</v>
      </c>
      <c r="J606" t="b">
        <f>AND(CCData[[#This Row],[Date]]&gt;=Calculation!$E$3,CCData[[#This Row],[Date]]&lt;Calculation!$E$3+7)</f>
        <v>0</v>
      </c>
    </row>
    <row r="607" spans="1:10">
      <c r="A607" t="s">
        <v>606</v>
      </c>
      <c r="B607" s="2">
        <v>42015.483999999997</v>
      </c>
      <c r="C607" s="3" t="s">
        <v>5005</v>
      </c>
      <c r="D607" t="s">
        <v>5014</v>
      </c>
      <c r="E607" t="s">
        <v>5019</v>
      </c>
      <c r="F607" t="s">
        <v>5019</v>
      </c>
      <c r="G607" t="s">
        <v>5022</v>
      </c>
      <c r="H607" s="5" t="s">
        <v>5022</v>
      </c>
      <c r="I607" t="s">
        <v>5022</v>
      </c>
      <c r="J607" t="b">
        <f>AND(CCData[[#This Row],[Date]]&gt;=Calculation!$E$3,CCData[[#This Row],[Date]]&lt;Calculation!$E$3+7)</f>
        <v>0</v>
      </c>
    </row>
    <row r="608" spans="1:10">
      <c r="A608" t="s">
        <v>607</v>
      </c>
      <c r="B608" s="2">
        <v>42015.491000000002</v>
      </c>
      <c r="C608" s="3" t="s">
        <v>5005</v>
      </c>
      <c r="D608" t="s">
        <v>5016</v>
      </c>
      <c r="E608" t="s">
        <v>5018</v>
      </c>
      <c r="F608" t="s">
        <v>5018</v>
      </c>
      <c r="G608">
        <v>116</v>
      </c>
      <c r="H608" s="5">
        <v>2.7327651086358875E-3</v>
      </c>
      <c r="I608">
        <v>3</v>
      </c>
      <c r="J608" t="b">
        <f>AND(CCData[[#This Row],[Date]]&gt;=Calculation!$E$3,CCData[[#This Row],[Date]]&lt;Calculation!$E$3+7)</f>
        <v>0</v>
      </c>
    </row>
    <row r="609" spans="1:10">
      <c r="A609" t="s">
        <v>608</v>
      </c>
      <c r="B609" s="2">
        <v>42015.491000000002</v>
      </c>
      <c r="C609" s="3" t="s">
        <v>5010</v>
      </c>
      <c r="D609" t="s">
        <v>5014</v>
      </c>
      <c r="E609" t="s">
        <v>5018</v>
      </c>
      <c r="F609" t="s">
        <v>5018</v>
      </c>
      <c r="G609">
        <v>20</v>
      </c>
      <c r="H609" s="5">
        <v>3.8026031831354208E-4</v>
      </c>
      <c r="I609">
        <v>3</v>
      </c>
      <c r="J609" t="b">
        <f>AND(CCData[[#This Row],[Date]]&gt;=Calculation!$E$3,CCData[[#This Row],[Date]]&lt;Calculation!$E$3+7)</f>
        <v>0</v>
      </c>
    </row>
    <row r="610" spans="1:10">
      <c r="A610" t="s">
        <v>609</v>
      </c>
      <c r="B610" s="2">
        <v>42015.506999999998</v>
      </c>
      <c r="C610" s="3" t="s">
        <v>5007</v>
      </c>
      <c r="D610" t="s">
        <v>5016</v>
      </c>
      <c r="E610" t="s">
        <v>5018</v>
      </c>
      <c r="F610" t="s">
        <v>5018</v>
      </c>
      <c r="G610">
        <v>105</v>
      </c>
      <c r="H610" s="5">
        <v>4.6077326141269878E-3</v>
      </c>
      <c r="I610">
        <v>1</v>
      </c>
      <c r="J610" t="b">
        <f>AND(CCData[[#This Row],[Date]]&gt;=Calculation!$E$3,CCData[[#This Row],[Date]]&lt;Calculation!$E$3+7)</f>
        <v>0</v>
      </c>
    </row>
    <row r="611" spans="1:10">
      <c r="A611" t="s">
        <v>610</v>
      </c>
      <c r="B611" s="2">
        <v>42015.506999999998</v>
      </c>
      <c r="C611" s="3" t="s">
        <v>5003</v>
      </c>
      <c r="D611" t="s">
        <v>5014</v>
      </c>
      <c r="E611" t="s">
        <v>5018</v>
      </c>
      <c r="F611" t="s">
        <v>5018</v>
      </c>
      <c r="G611">
        <v>25</v>
      </c>
      <c r="H611" s="5">
        <v>6.1143266421309053E-4</v>
      </c>
      <c r="I611">
        <v>3</v>
      </c>
      <c r="J611" t="b">
        <f>AND(CCData[[#This Row],[Date]]&gt;=Calculation!$E$3,CCData[[#This Row],[Date]]&lt;Calculation!$E$3+7)</f>
        <v>0</v>
      </c>
    </row>
    <row r="612" spans="1:10">
      <c r="A612" t="s">
        <v>611</v>
      </c>
      <c r="B612" s="2">
        <v>42015.514000000003</v>
      </c>
      <c r="C612" s="3" t="s">
        <v>5003</v>
      </c>
      <c r="D612" t="s">
        <v>5014</v>
      </c>
      <c r="E612" t="s">
        <v>5018</v>
      </c>
      <c r="F612" t="s">
        <v>5018</v>
      </c>
      <c r="G612">
        <v>16</v>
      </c>
      <c r="H612" s="5">
        <v>4.4188543125662826E-3</v>
      </c>
      <c r="I612">
        <v>4</v>
      </c>
      <c r="J612" t="b">
        <f>AND(CCData[[#This Row],[Date]]&gt;=Calculation!$E$3,CCData[[#This Row],[Date]]&lt;Calculation!$E$3+7)</f>
        <v>0</v>
      </c>
    </row>
    <row r="613" spans="1:10">
      <c r="A613" t="s">
        <v>612</v>
      </c>
      <c r="B613" s="2">
        <v>42015.514000000003</v>
      </c>
      <c r="C613" s="3" t="s">
        <v>5009</v>
      </c>
      <c r="D613" t="s">
        <v>5012</v>
      </c>
      <c r="E613" t="s">
        <v>5018</v>
      </c>
      <c r="F613" t="s">
        <v>5018</v>
      </c>
      <c r="G613">
        <v>64</v>
      </c>
      <c r="H613" s="5">
        <v>1.855594563676087E-3</v>
      </c>
      <c r="I613">
        <v>4</v>
      </c>
      <c r="J613" t="b">
        <f>AND(CCData[[#This Row],[Date]]&gt;=Calculation!$E$3,CCData[[#This Row],[Date]]&lt;Calculation!$E$3+7)</f>
        <v>0</v>
      </c>
    </row>
    <row r="614" spans="1:10">
      <c r="A614" t="s">
        <v>613</v>
      </c>
      <c r="B614" s="2">
        <v>42015.517</v>
      </c>
      <c r="C614" s="3" t="s">
        <v>5005</v>
      </c>
      <c r="D614" t="s">
        <v>5015</v>
      </c>
      <c r="E614" t="s">
        <v>5018</v>
      </c>
      <c r="F614" t="s">
        <v>5018</v>
      </c>
      <c r="G614">
        <v>82</v>
      </c>
      <c r="H614" s="5">
        <v>4.7558707828832692E-3</v>
      </c>
      <c r="I614">
        <v>3</v>
      </c>
      <c r="J614" t="b">
        <f>AND(CCData[[#This Row],[Date]]&gt;=Calculation!$E$3,CCData[[#This Row],[Date]]&lt;Calculation!$E$3+7)</f>
        <v>0</v>
      </c>
    </row>
    <row r="615" spans="1:10">
      <c r="A615" t="s">
        <v>614</v>
      </c>
      <c r="B615" s="2">
        <v>42015.517</v>
      </c>
      <c r="C615" s="3" t="s">
        <v>5010</v>
      </c>
      <c r="D615" t="s">
        <v>5016</v>
      </c>
      <c r="E615" t="s">
        <v>5018</v>
      </c>
      <c r="F615" t="s">
        <v>5018</v>
      </c>
      <c r="G615">
        <v>13</v>
      </c>
      <c r="H615" s="5">
        <v>1.4915038403047075E-3</v>
      </c>
      <c r="I615">
        <v>5</v>
      </c>
      <c r="J615" t="b">
        <f>AND(CCData[[#This Row],[Date]]&gt;=Calculation!$E$3,CCData[[#This Row],[Date]]&lt;Calculation!$E$3+7)</f>
        <v>0</v>
      </c>
    </row>
    <row r="616" spans="1:10">
      <c r="A616" t="s">
        <v>615</v>
      </c>
      <c r="B616" s="2">
        <v>42015.53</v>
      </c>
      <c r="C616" s="3" t="s">
        <v>5007</v>
      </c>
      <c r="D616" t="s">
        <v>5012</v>
      </c>
      <c r="E616" t="s">
        <v>5018</v>
      </c>
      <c r="F616" t="s">
        <v>5018</v>
      </c>
      <c r="G616">
        <v>15</v>
      </c>
      <c r="H616" s="5">
        <v>5.1865332352474204E-4</v>
      </c>
      <c r="I616">
        <v>5</v>
      </c>
      <c r="J616" t="b">
        <f>AND(CCData[[#This Row],[Date]]&gt;=Calculation!$E$3,CCData[[#This Row],[Date]]&lt;Calculation!$E$3+7)</f>
        <v>0</v>
      </c>
    </row>
    <row r="617" spans="1:10">
      <c r="A617" t="s">
        <v>616</v>
      </c>
      <c r="B617" s="2">
        <v>42015.53</v>
      </c>
      <c r="C617" s="3" t="s">
        <v>5006</v>
      </c>
      <c r="D617" t="s">
        <v>5012</v>
      </c>
      <c r="E617" t="s">
        <v>5018</v>
      </c>
      <c r="F617" t="s">
        <v>5018</v>
      </c>
      <c r="G617">
        <v>42</v>
      </c>
      <c r="H617" s="5">
        <v>4.2613344717991886E-3</v>
      </c>
      <c r="I617">
        <v>2</v>
      </c>
      <c r="J617" t="b">
        <f>AND(CCData[[#This Row],[Date]]&gt;=Calculation!$E$3,CCData[[#This Row],[Date]]&lt;Calculation!$E$3+7)</f>
        <v>0</v>
      </c>
    </row>
    <row r="618" spans="1:10">
      <c r="A618" t="s">
        <v>617</v>
      </c>
      <c r="B618" s="2">
        <v>42015.53</v>
      </c>
      <c r="C618" s="3" t="s">
        <v>5007</v>
      </c>
      <c r="D618" t="s">
        <v>5014</v>
      </c>
      <c r="E618" t="s">
        <v>5019</v>
      </c>
      <c r="F618" t="s">
        <v>5019</v>
      </c>
      <c r="G618" t="s">
        <v>5022</v>
      </c>
      <c r="H618" s="5" t="s">
        <v>5022</v>
      </c>
      <c r="I618" t="s">
        <v>5022</v>
      </c>
      <c r="J618" t="b">
        <f>AND(CCData[[#This Row],[Date]]&gt;=Calculation!$E$3,CCData[[#This Row],[Date]]&lt;Calculation!$E$3+7)</f>
        <v>0</v>
      </c>
    </row>
    <row r="619" spans="1:10">
      <c r="A619" t="s">
        <v>618</v>
      </c>
      <c r="B619" s="2">
        <v>42015.53</v>
      </c>
      <c r="C619" s="3" t="s">
        <v>5009</v>
      </c>
      <c r="D619" t="s">
        <v>5014</v>
      </c>
      <c r="E619" t="s">
        <v>5018</v>
      </c>
      <c r="F619" t="s">
        <v>5018</v>
      </c>
      <c r="G619">
        <v>32</v>
      </c>
      <c r="H619" s="5">
        <v>3.9478985023577622E-3</v>
      </c>
      <c r="I619">
        <v>3</v>
      </c>
      <c r="J619" t="b">
        <f>AND(CCData[[#This Row],[Date]]&gt;=Calculation!$E$3,CCData[[#This Row],[Date]]&lt;Calculation!$E$3+7)</f>
        <v>0</v>
      </c>
    </row>
    <row r="620" spans="1:10">
      <c r="A620" t="s">
        <v>619</v>
      </c>
      <c r="B620" s="2">
        <v>42015.54</v>
      </c>
      <c r="C620" s="3" t="s">
        <v>5010</v>
      </c>
      <c r="D620" t="s">
        <v>5014</v>
      </c>
      <c r="E620" t="s">
        <v>5018</v>
      </c>
      <c r="F620" t="s">
        <v>5018</v>
      </c>
      <c r="G620">
        <v>75</v>
      </c>
      <c r="H620" s="5">
        <v>2.8891603578618907E-3</v>
      </c>
      <c r="I620">
        <v>3</v>
      </c>
      <c r="J620" t="b">
        <f>AND(CCData[[#This Row],[Date]]&gt;=Calculation!$E$3,CCData[[#This Row],[Date]]&lt;Calculation!$E$3+7)</f>
        <v>0</v>
      </c>
    </row>
    <row r="621" spans="1:10">
      <c r="A621" t="s">
        <v>620</v>
      </c>
      <c r="B621" s="2">
        <v>42015.54</v>
      </c>
      <c r="C621" s="3" t="s">
        <v>5005</v>
      </c>
      <c r="D621" t="s">
        <v>5012</v>
      </c>
      <c r="E621" t="s">
        <v>5018</v>
      </c>
      <c r="F621" t="s">
        <v>5019</v>
      </c>
      <c r="G621">
        <v>123</v>
      </c>
      <c r="H621" s="5">
        <v>1.9726020195079733E-3</v>
      </c>
      <c r="I621">
        <v>3</v>
      </c>
      <c r="J621" t="b">
        <f>AND(CCData[[#This Row],[Date]]&gt;=Calculation!$E$3,CCData[[#This Row],[Date]]&lt;Calculation!$E$3+7)</f>
        <v>0</v>
      </c>
    </row>
    <row r="622" spans="1:10">
      <c r="A622" t="s">
        <v>621</v>
      </c>
      <c r="B622" s="2">
        <v>42015.555</v>
      </c>
      <c r="C622" s="3" t="s">
        <v>5005</v>
      </c>
      <c r="D622" t="s">
        <v>5016</v>
      </c>
      <c r="E622" t="s">
        <v>5018</v>
      </c>
      <c r="F622" t="s">
        <v>5018</v>
      </c>
      <c r="G622">
        <v>22</v>
      </c>
      <c r="H622" s="5">
        <v>3.7893509240112836E-3</v>
      </c>
      <c r="I622">
        <v>5</v>
      </c>
      <c r="J622" t="b">
        <f>AND(CCData[[#This Row],[Date]]&gt;=Calculation!$E$3,CCData[[#This Row],[Date]]&lt;Calculation!$E$3+7)</f>
        <v>0</v>
      </c>
    </row>
    <row r="623" spans="1:10">
      <c r="A623" t="s">
        <v>622</v>
      </c>
      <c r="B623" s="2">
        <v>42015.555</v>
      </c>
      <c r="C623" s="3" t="s">
        <v>5006</v>
      </c>
      <c r="D623" t="s">
        <v>5013</v>
      </c>
      <c r="E623" t="s">
        <v>5018</v>
      </c>
      <c r="F623" t="s">
        <v>5018</v>
      </c>
      <c r="G623">
        <v>21</v>
      </c>
      <c r="H623" s="5">
        <v>1.3665499126525697E-3</v>
      </c>
      <c r="I623">
        <v>2</v>
      </c>
      <c r="J623" t="b">
        <f>AND(CCData[[#This Row],[Date]]&gt;=Calculation!$E$3,CCData[[#This Row],[Date]]&lt;Calculation!$E$3+7)</f>
        <v>0</v>
      </c>
    </row>
    <row r="624" spans="1:10">
      <c r="A624" t="s">
        <v>623</v>
      </c>
      <c r="B624" s="2">
        <v>42015.58</v>
      </c>
      <c r="C624" s="3" t="s">
        <v>5006</v>
      </c>
      <c r="D624" t="s">
        <v>5016</v>
      </c>
      <c r="E624" t="s">
        <v>5018</v>
      </c>
      <c r="F624" t="s">
        <v>5018</v>
      </c>
      <c r="G624">
        <v>15</v>
      </c>
      <c r="H624" s="5">
        <v>4.2874126496432966E-3</v>
      </c>
      <c r="I624">
        <v>4</v>
      </c>
      <c r="J624" t="b">
        <f>AND(CCData[[#This Row],[Date]]&gt;=Calculation!$E$3,CCData[[#This Row],[Date]]&lt;Calculation!$E$3+7)</f>
        <v>0</v>
      </c>
    </row>
    <row r="625" spans="1:10">
      <c r="A625" t="s">
        <v>624</v>
      </c>
      <c r="B625" s="2">
        <v>42015.58</v>
      </c>
      <c r="C625" s="3" t="s">
        <v>5003</v>
      </c>
      <c r="D625" t="s">
        <v>5016</v>
      </c>
      <c r="E625" t="s">
        <v>5018</v>
      </c>
      <c r="F625" t="s">
        <v>5018</v>
      </c>
      <c r="G625">
        <v>76</v>
      </c>
      <c r="H625" s="5">
        <v>2.7169719793713192E-3</v>
      </c>
      <c r="I625">
        <v>4</v>
      </c>
      <c r="J625" t="b">
        <f>AND(CCData[[#This Row],[Date]]&gt;=Calculation!$E$3,CCData[[#This Row],[Date]]&lt;Calculation!$E$3+7)</f>
        <v>0</v>
      </c>
    </row>
    <row r="626" spans="1:10">
      <c r="A626" t="s">
        <v>625</v>
      </c>
      <c r="B626" s="2">
        <v>42015.59</v>
      </c>
      <c r="C626" s="3" t="s">
        <v>5008</v>
      </c>
      <c r="D626" t="s">
        <v>5015</v>
      </c>
      <c r="E626" t="s">
        <v>5018</v>
      </c>
      <c r="F626" t="s">
        <v>5018</v>
      </c>
      <c r="G626">
        <v>92</v>
      </c>
      <c r="H626" s="5">
        <v>3.692183749779014E-3</v>
      </c>
      <c r="I626">
        <v>3</v>
      </c>
      <c r="J626" t="b">
        <f>AND(CCData[[#This Row],[Date]]&gt;=Calculation!$E$3,CCData[[#This Row],[Date]]&lt;Calculation!$E$3+7)</f>
        <v>0</v>
      </c>
    </row>
    <row r="627" spans="1:10">
      <c r="A627" t="s">
        <v>626</v>
      </c>
      <c r="B627" s="2">
        <v>42015.59</v>
      </c>
      <c r="C627" s="3" t="s">
        <v>5006</v>
      </c>
      <c r="D627" t="s">
        <v>5013</v>
      </c>
      <c r="E627" t="s">
        <v>5019</v>
      </c>
      <c r="F627" t="s">
        <v>5019</v>
      </c>
      <c r="G627" t="s">
        <v>5022</v>
      </c>
      <c r="H627" s="5" t="s">
        <v>5022</v>
      </c>
      <c r="I627" t="s">
        <v>5022</v>
      </c>
      <c r="J627" t="b">
        <f>AND(CCData[[#This Row],[Date]]&gt;=Calculation!$E$3,CCData[[#This Row],[Date]]&lt;Calculation!$E$3+7)</f>
        <v>0</v>
      </c>
    </row>
    <row r="628" spans="1:10">
      <c r="A628" t="s">
        <v>627</v>
      </c>
      <c r="B628" s="2">
        <v>42015.593000000001</v>
      </c>
      <c r="C628" s="3" t="s">
        <v>5009</v>
      </c>
      <c r="D628" t="s">
        <v>5013</v>
      </c>
      <c r="E628" t="s">
        <v>5019</v>
      </c>
      <c r="F628" t="s">
        <v>5019</v>
      </c>
      <c r="G628" t="s">
        <v>5022</v>
      </c>
      <c r="H628" s="5" t="s">
        <v>5022</v>
      </c>
      <c r="I628" t="s">
        <v>5022</v>
      </c>
      <c r="J628" t="b">
        <f>AND(CCData[[#This Row],[Date]]&gt;=Calculation!$E$3,CCData[[#This Row],[Date]]&lt;Calculation!$E$3+7)</f>
        <v>0</v>
      </c>
    </row>
    <row r="629" spans="1:10">
      <c r="A629" t="s">
        <v>628</v>
      </c>
      <c r="B629" s="2">
        <v>42015.593000000001</v>
      </c>
      <c r="C629" s="3" t="s">
        <v>5004</v>
      </c>
      <c r="D629" t="s">
        <v>5014</v>
      </c>
      <c r="E629" t="s">
        <v>5018</v>
      </c>
      <c r="F629" t="s">
        <v>5019</v>
      </c>
      <c r="G629">
        <v>62</v>
      </c>
      <c r="H629" s="5">
        <v>2.7648630336207475E-3</v>
      </c>
      <c r="I629">
        <v>4</v>
      </c>
      <c r="J629" t="b">
        <f>AND(CCData[[#This Row],[Date]]&gt;=Calculation!$E$3,CCData[[#This Row],[Date]]&lt;Calculation!$E$3+7)</f>
        <v>0</v>
      </c>
    </row>
    <row r="630" spans="1:10">
      <c r="A630" t="s">
        <v>629</v>
      </c>
      <c r="B630" s="2">
        <v>42015.597000000002</v>
      </c>
      <c r="C630" s="3" t="s">
        <v>5008</v>
      </c>
      <c r="D630" t="s">
        <v>5015</v>
      </c>
      <c r="E630" t="s">
        <v>5018</v>
      </c>
      <c r="F630" t="s">
        <v>5018</v>
      </c>
      <c r="G630">
        <v>33</v>
      </c>
      <c r="H630" s="5">
        <v>3.4503303294840908E-3</v>
      </c>
      <c r="I630">
        <v>3</v>
      </c>
      <c r="J630" t="b">
        <f>AND(CCData[[#This Row],[Date]]&gt;=Calculation!$E$3,CCData[[#This Row],[Date]]&lt;Calculation!$E$3+7)</f>
        <v>0</v>
      </c>
    </row>
    <row r="631" spans="1:10">
      <c r="A631" t="s">
        <v>630</v>
      </c>
      <c r="B631" s="2">
        <v>42015.597000000002</v>
      </c>
      <c r="C631" s="3" t="s">
        <v>5005</v>
      </c>
      <c r="D631" t="s">
        <v>5015</v>
      </c>
      <c r="E631" t="s">
        <v>5018</v>
      </c>
      <c r="F631" t="s">
        <v>5018</v>
      </c>
      <c r="G631">
        <v>122</v>
      </c>
      <c r="H631" s="5">
        <v>1.3826969815422835E-3</v>
      </c>
      <c r="I631">
        <v>1</v>
      </c>
      <c r="J631" t="b">
        <f>AND(CCData[[#This Row],[Date]]&gt;=Calculation!$E$3,CCData[[#This Row],[Date]]&lt;Calculation!$E$3+7)</f>
        <v>0</v>
      </c>
    </row>
    <row r="632" spans="1:10">
      <c r="A632" t="s">
        <v>631</v>
      </c>
      <c r="B632" s="2">
        <v>42015.6</v>
      </c>
      <c r="C632" s="3" t="s">
        <v>5005</v>
      </c>
      <c r="D632" t="s">
        <v>5016</v>
      </c>
      <c r="E632" t="s">
        <v>5018</v>
      </c>
      <c r="F632" t="s">
        <v>5019</v>
      </c>
      <c r="G632">
        <v>47</v>
      </c>
      <c r="H632" s="5">
        <v>3.1779378031820877E-3</v>
      </c>
      <c r="I632">
        <v>1</v>
      </c>
      <c r="J632" t="b">
        <f>AND(CCData[[#This Row],[Date]]&gt;=Calculation!$E$3,CCData[[#This Row],[Date]]&lt;Calculation!$E$3+7)</f>
        <v>0</v>
      </c>
    </row>
    <row r="633" spans="1:10">
      <c r="A633" t="s">
        <v>632</v>
      </c>
      <c r="B633" s="2">
        <v>42015.6</v>
      </c>
      <c r="C633" s="3" t="s">
        <v>5003</v>
      </c>
      <c r="D633" t="s">
        <v>5015</v>
      </c>
      <c r="E633" t="s">
        <v>5019</v>
      </c>
      <c r="F633" t="s">
        <v>5019</v>
      </c>
      <c r="G633" t="s">
        <v>5022</v>
      </c>
      <c r="H633" s="5" t="s">
        <v>5022</v>
      </c>
      <c r="I633" t="s">
        <v>5022</v>
      </c>
      <c r="J633" t="b">
        <f>AND(CCData[[#This Row],[Date]]&gt;=Calculation!$E$3,CCData[[#This Row],[Date]]&lt;Calculation!$E$3+7)</f>
        <v>0</v>
      </c>
    </row>
    <row r="634" spans="1:10">
      <c r="A634" t="s">
        <v>633</v>
      </c>
      <c r="B634" s="2">
        <v>42015.601999999999</v>
      </c>
      <c r="C634" s="3" t="s">
        <v>5009</v>
      </c>
      <c r="D634" t="s">
        <v>5013</v>
      </c>
      <c r="E634" t="s">
        <v>5019</v>
      </c>
      <c r="F634" t="s">
        <v>5019</v>
      </c>
      <c r="G634" t="s">
        <v>5022</v>
      </c>
      <c r="H634" s="5" t="s">
        <v>5022</v>
      </c>
      <c r="I634" t="s">
        <v>5022</v>
      </c>
      <c r="J634" t="b">
        <f>AND(CCData[[#This Row],[Date]]&gt;=Calculation!$E$3,CCData[[#This Row],[Date]]&lt;Calculation!$E$3+7)</f>
        <v>0</v>
      </c>
    </row>
    <row r="635" spans="1:10">
      <c r="A635" t="s">
        <v>634</v>
      </c>
      <c r="B635" s="2">
        <v>42015.601999999999</v>
      </c>
      <c r="C635" s="3" t="s">
        <v>5008</v>
      </c>
      <c r="D635" t="s">
        <v>5012</v>
      </c>
      <c r="E635" t="s">
        <v>5019</v>
      </c>
      <c r="F635" t="s">
        <v>5019</v>
      </c>
      <c r="G635" t="s">
        <v>5022</v>
      </c>
      <c r="H635" s="5" t="s">
        <v>5022</v>
      </c>
      <c r="I635" t="s">
        <v>5022</v>
      </c>
      <c r="J635" t="b">
        <f>AND(CCData[[#This Row],[Date]]&gt;=Calculation!$E$3,CCData[[#This Row],[Date]]&lt;Calculation!$E$3+7)</f>
        <v>0</v>
      </c>
    </row>
    <row r="636" spans="1:10">
      <c r="A636" t="s">
        <v>635</v>
      </c>
      <c r="B636" s="2">
        <v>42015.603000000003</v>
      </c>
      <c r="C636" s="3" t="s">
        <v>5005</v>
      </c>
      <c r="D636" t="s">
        <v>5016</v>
      </c>
      <c r="E636" t="s">
        <v>5018</v>
      </c>
      <c r="F636" t="s">
        <v>5018</v>
      </c>
      <c r="G636">
        <v>44</v>
      </c>
      <c r="H636" s="5">
        <v>4.5205549410375073E-4</v>
      </c>
      <c r="I636">
        <v>4</v>
      </c>
      <c r="J636" t="b">
        <f>AND(CCData[[#This Row],[Date]]&gt;=Calculation!$E$3,CCData[[#This Row],[Date]]&lt;Calculation!$E$3+7)</f>
        <v>0</v>
      </c>
    </row>
    <row r="637" spans="1:10">
      <c r="A637" t="s">
        <v>636</v>
      </c>
      <c r="B637" s="2">
        <v>42015.603000000003</v>
      </c>
      <c r="C637" s="3" t="s">
        <v>5009</v>
      </c>
      <c r="D637" t="s">
        <v>5012</v>
      </c>
      <c r="E637" t="s">
        <v>5018</v>
      </c>
      <c r="F637" t="s">
        <v>5018</v>
      </c>
      <c r="G637">
        <v>48</v>
      </c>
      <c r="H637" s="5">
        <v>3.2539184697264229E-3</v>
      </c>
      <c r="I637">
        <v>3</v>
      </c>
      <c r="J637" t="b">
        <f>AND(CCData[[#This Row],[Date]]&gt;=Calculation!$E$3,CCData[[#This Row],[Date]]&lt;Calculation!$E$3+7)</f>
        <v>0</v>
      </c>
    </row>
    <row r="638" spans="1:10">
      <c r="A638" t="s">
        <v>637</v>
      </c>
      <c r="B638" s="2">
        <v>42015.606</v>
      </c>
      <c r="C638" s="3" t="s">
        <v>5009</v>
      </c>
      <c r="D638" t="s">
        <v>5015</v>
      </c>
      <c r="E638" t="s">
        <v>5018</v>
      </c>
      <c r="F638" t="s">
        <v>5018</v>
      </c>
      <c r="G638">
        <v>60</v>
      </c>
      <c r="H638" s="5">
        <v>6.8537980908420194E-4</v>
      </c>
      <c r="I638">
        <v>3</v>
      </c>
      <c r="J638" t="b">
        <f>AND(CCData[[#This Row],[Date]]&gt;=Calculation!$E$3,CCData[[#This Row],[Date]]&lt;Calculation!$E$3+7)</f>
        <v>0</v>
      </c>
    </row>
    <row r="639" spans="1:10">
      <c r="A639" t="s">
        <v>638</v>
      </c>
      <c r="B639" s="2">
        <v>42015.606</v>
      </c>
      <c r="C639" s="3" t="s">
        <v>5003</v>
      </c>
      <c r="D639" t="s">
        <v>5016</v>
      </c>
      <c r="E639" t="s">
        <v>5019</v>
      </c>
      <c r="F639" t="s">
        <v>5019</v>
      </c>
      <c r="G639" t="s">
        <v>5022</v>
      </c>
      <c r="H639" s="5" t="s">
        <v>5022</v>
      </c>
      <c r="I639" t="s">
        <v>5022</v>
      </c>
      <c r="J639" t="b">
        <f>AND(CCData[[#This Row],[Date]]&gt;=Calculation!$E$3,CCData[[#This Row],[Date]]&lt;Calculation!$E$3+7)</f>
        <v>0</v>
      </c>
    </row>
    <row r="640" spans="1:10">
      <c r="A640" t="s">
        <v>639</v>
      </c>
      <c r="B640" s="2">
        <v>42015.623</v>
      </c>
      <c r="C640" s="3" t="s">
        <v>5007</v>
      </c>
      <c r="D640" t="s">
        <v>5013</v>
      </c>
      <c r="E640" t="s">
        <v>5018</v>
      </c>
      <c r="F640" t="s">
        <v>5018</v>
      </c>
      <c r="G640">
        <v>120</v>
      </c>
      <c r="H640" s="5">
        <v>2.3314536666314127E-3</v>
      </c>
      <c r="I640">
        <v>2</v>
      </c>
      <c r="J640" t="b">
        <f>AND(CCData[[#This Row],[Date]]&gt;=Calculation!$E$3,CCData[[#This Row],[Date]]&lt;Calculation!$E$3+7)</f>
        <v>0</v>
      </c>
    </row>
    <row r="641" spans="1:10">
      <c r="A641" t="s">
        <v>640</v>
      </c>
      <c r="B641" s="2">
        <v>42015.623</v>
      </c>
      <c r="C641" s="3" t="s">
        <v>5005</v>
      </c>
      <c r="D641" t="s">
        <v>5015</v>
      </c>
      <c r="E641" t="s">
        <v>5018</v>
      </c>
      <c r="F641" t="s">
        <v>5018</v>
      </c>
      <c r="G641">
        <v>61</v>
      </c>
      <c r="H641" s="5">
        <v>3.0743580363730327E-3</v>
      </c>
      <c r="I641">
        <v>2</v>
      </c>
      <c r="J641" t="b">
        <f>AND(CCData[[#This Row],[Date]]&gt;=Calculation!$E$3,CCData[[#This Row],[Date]]&lt;Calculation!$E$3+7)</f>
        <v>0</v>
      </c>
    </row>
    <row r="642" spans="1:10">
      <c r="A642" t="s">
        <v>641</v>
      </c>
      <c r="B642" s="2">
        <v>42015.633999999998</v>
      </c>
      <c r="C642" s="3" t="s">
        <v>5006</v>
      </c>
      <c r="D642" t="s">
        <v>5013</v>
      </c>
      <c r="E642" t="s">
        <v>5018</v>
      </c>
      <c r="F642" t="s">
        <v>5018</v>
      </c>
      <c r="G642">
        <v>103</v>
      </c>
      <c r="H642" s="5">
        <v>4.4533633127497828E-3</v>
      </c>
      <c r="I642">
        <v>4</v>
      </c>
      <c r="J642" t="b">
        <f>AND(CCData[[#This Row],[Date]]&gt;=Calculation!$E$3,CCData[[#This Row],[Date]]&lt;Calculation!$E$3+7)</f>
        <v>0</v>
      </c>
    </row>
    <row r="643" spans="1:10">
      <c r="A643" t="s">
        <v>642</v>
      </c>
      <c r="B643" s="2">
        <v>42015.633999999998</v>
      </c>
      <c r="C643" s="3" t="s">
        <v>5004</v>
      </c>
      <c r="D643" t="s">
        <v>5012</v>
      </c>
      <c r="E643" t="s">
        <v>5019</v>
      </c>
      <c r="F643" t="s">
        <v>5019</v>
      </c>
      <c r="G643" t="s">
        <v>5022</v>
      </c>
      <c r="H643" s="5" t="s">
        <v>5022</v>
      </c>
      <c r="I643" t="s">
        <v>5022</v>
      </c>
      <c r="J643" t="b">
        <f>AND(CCData[[#This Row],[Date]]&gt;=Calculation!$E$3,CCData[[#This Row],[Date]]&lt;Calculation!$E$3+7)</f>
        <v>0</v>
      </c>
    </row>
    <row r="644" spans="1:10">
      <c r="A644" t="s">
        <v>643</v>
      </c>
      <c r="B644" s="2">
        <v>42015.650999999998</v>
      </c>
      <c r="C644" s="3" t="s">
        <v>5007</v>
      </c>
      <c r="D644" t="s">
        <v>5014</v>
      </c>
      <c r="E644" t="s">
        <v>5018</v>
      </c>
      <c r="F644" t="s">
        <v>5018</v>
      </c>
      <c r="G644">
        <v>32</v>
      </c>
      <c r="H644" s="5">
        <v>2.0943391720855938E-3</v>
      </c>
      <c r="I644">
        <v>2</v>
      </c>
      <c r="J644" t="b">
        <f>AND(CCData[[#This Row],[Date]]&gt;=Calculation!$E$3,CCData[[#This Row],[Date]]&lt;Calculation!$E$3+7)</f>
        <v>0</v>
      </c>
    </row>
    <row r="645" spans="1:10">
      <c r="A645" t="s">
        <v>644</v>
      </c>
      <c r="B645" s="2">
        <v>42015.650999999998</v>
      </c>
      <c r="C645" s="3" t="s">
        <v>5008</v>
      </c>
      <c r="D645" t="s">
        <v>5015</v>
      </c>
      <c r="E645" t="s">
        <v>5019</v>
      </c>
      <c r="F645" t="s">
        <v>5019</v>
      </c>
      <c r="G645" t="s">
        <v>5022</v>
      </c>
      <c r="H645" s="5" t="s">
        <v>5022</v>
      </c>
      <c r="I645" t="s">
        <v>5022</v>
      </c>
      <c r="J645" t="b">
        <f>AND(CCData[[#This Row],[Date]]&gt;=Calculation!$E$3,CCData[[#This Row],[Date]]&lt;Calculation!$E$3+7)</f>
        <v>0</v>
      </c>
    </row>
    <row r="646" spans="1:10">
      <c r="A646" t="s">
        <v>645</v>
      </c>
      <c r="B646" s="2">
        <v>42015.665999999997</v>
      </c>
      <c r="C646" s="3" t="s">
        <v>5007</v>
      </c>
      <c r="D646" t="s">
        <v>5013</v>
      </c>
      <c r="E646" t="s">
        <v>5018</v>
      </c>
      <c r="F646" t="s">
        <v>5018</v>
      </c>
      <c r="G646">
        <v>53</v>
      </c>
      <c r="H646" s="5">
        <v>3.203520556813653E-3</v>
      </c>
      <c r="I646">
        <v>1</v>
      </c>
      <c r="J646" t="b">
        <f>AND(CCData[[#This Row],[Date]]&gt;=Calculation!$E$3,CCData[[#This Row],[Date]]&lt;Calculation!$E$3+7)</f>
        <v>0</v>
      </c>
    </row>
    <row r="647" spans="1:10">
      <c r="A647" t="s">
        <v>646</v>
      </c>
      <c r="B647" s="2">
        <v>42015.665999999997</v>
      </c>
      <c r="C647" s="3" t="s">
        <v>5003</v>
      </c>
      <c r="D647" t="s">
        <v>5016</v>
      </c>
      <c r="E647" t="s">
        <v>5018</v>
      </c>
      <c r="F647" t="s">
        <v>5018</v>
      </c>
      <c r="G647">
        <v>40</v>
      </c>
      <c r="H647" s="5">
        <v>2.0335954516581753E-3</v>
      </c>
      <c r="I647">
        <v>5</v>
      </c>
      <c r="J647" t="b">
        <f>AND(CCData[[#This Row],[Date]]&gt;=Calculation!$E$3,CCData[[#This Row],[Date]]&lt;Calculation!$E$3+7)</f>
        <v>0</v>
      </c>
    </row>
    <row r="648" spans="1:10">
      <c r="A648" t="s">
        <v>647</v>
      </c>
      <c r="B648" s="2">
        <v>42015.678999999996</v>
      </c>
      <c r="C648" s="3" t="s">
        <v>5005</v>
      </c>
      <c r="D648" t="s">
        <v>5012</v>
      </c>
      <c r="E648" t="s">
        <v>5018</v>
      </c>
      <c r="F648" t="s">
        <v>5019</v>
      </c>
      <c r="G648">
        <v>58</v>
      </c>
      <c r="H648" s="5">
        <v>2.24135953884687E-3</v>
      </c>
      <c r="I648">
        <v>3</v>
      </c>
      <c r="J648" t="b">
        <f>AND(CCData[[#This Row],[Date]]&gt;=Calculation!$E$3,CCData[[#This Row],[Date]]&lt;Calculation!$E$3+7)</f>
        <v>0</v>
      </c>
    </row>
    <row r="649" spans="1:10">
      <c r="A649" t="s">
        <v>648</v>
      </c>
      <c r="B649" s="2">
        <v>42015.678999999996</v>
      </c>
      <c r="C649" s="3" t="s">
        <v>5005</v>
      </c>
      <c r="D649" t="s">
        <v>5013</v>
      </c>
      <c r="E649" t="s">
        <v>5018</v>
      </c>
      <c r="F649" t="s">
        <v>5018</v>
      </c>
      <c r="G649">
        <v>92</v>
      </c>
      <c r="H649" s="5">
        <v>1.7038011407300416E-3</v>
      </c>
      <c r="I649">
        <v>2</v>
      </c>
      <c r="J649" t="b">
        <f>AND(CCData[[#This Row],[Date]]&gt;=Calculation!$E$3,CCData[[#This Row],[Date]]&lt;Calculation!$E$3+7)</f>
        <v>0</v>
      </c>
    </row>
    <row r="650" spans="1:10">
      <c r="A650" t="s">
        <v>649</v>
      </c>
      <c r="B650" s="2">
        <v>42015.697</v>
      </c>
      <c r="C650" s="3" t="s">
        <v>5003</v>
      </c>
      <c r="D650" t="s">
        <v>5014</v>
      </c>
      <c r="E650" t="s">
        <v>5019</v>
      </c>
      <c r="F650" t="s">
        <v>5019</v>
      </c>
      <c r="G650" t="s">
        <v>5022</v>
      </c>
      <c r="H650" s="5" t="s">
        <v>5022</v>
      </c>
      <c r="I650" t="s">
        <v>5022</v>
      </c>
      <c r="J650" t="b">
        <f>AND(CCData[[#This Row],[Date]]&gt;=Calculation!$E$3,CCData[[#This Row],[Date]]&lt;Calculation!$E$3+7)</f>
        <v>0</v>
      </c>
    </row>
    <row r="651" spans="1:10">
      <c r="A651" t="s">
        <v>650</v>
      </c>
      <c r="B651" s="2">
        <v>42015.697</v>
      </c>
      <c r="C651" s="3" t="s">
        <v>5010</v>
      </c>
      <c r="D651" t="s">
        <v>5016</v>
      </c>
      <c r="E651" t="s">
        <v>5018</v>
      </c>
      <c r="F651" t="s">
        <v>5018</v>
      </c>
      <c r="G651">
        <v>124</v>
      </c>
      <c r="H651" s="5">
        <v>5.6728074184633748E-4</v>
      </c>
      <c r="I651">
        <v>5</v>
      </c>
      <c r="J651" t="b">
        <f>AND(CCData[[#This Row],[Date]]&gt;=Calculation!$E$3,CCData[[#This Row],[Date]]&lt;Calculation!$E$3+7)</f>
        <v>0</v>
      </c>
    </row>
    <row r="652" spans="1:10">
      <c r="A652" t="s">
        <v>651</v>
      </c>
      <c r="B652" s="2">
        <v>42015.713000000003</v>
      </c>
      <c r="C652" s="3" t="s">
        <v>5007</v>
      </c>
      <c r="D652" t="s">
        <v>5015</v>
      </c>
      <c r="E652" t="s">
        <v>5018</v>
      </c>
      <c r="F652" t="s">
        <v>5018</v>
      </c>
      <c r="G652">
        <v>59</v>
      </c>
      <c r="H652" s="5">
        <v>3.1301922022818293E-3</v>
      </c>
      <c r="I652">
        <v>3</v>
      </c>
      <c r="J652" t="b">
        <f>AND(CCData[[#This Row],[Date]]&gt;=Calculation!$E$3,CCData[[#This Row],[Date]]&lt;Calculation!$E$3+7)</f>
        <v>0</v>
      </c>
    </row>
    <row r="653" spans="1:10">
      <c r="A653" t="s">
        <v>652</v>
      </c>
      <c r="B653" s="2">
        <v>42015.713000000003</v>
      </c>
      <c r="C653" s="3" t="s">
        <v>5006</v>
      </c>
      <c r="D653" t="s">
        <v>5016</v>
      </c>
      <c r="E653" t="s">
        <v>5018</v>
      </c>
      <c r="F653" t="s">
        <v>5018</v>
      </c>
      <c r="G653">
        <v>44</v>
      </c>
      <c r="H653" s="5">
        <v>3.4950584772745429E-3</v>
      </c>
      <c r="I653">
        <v>1</v>
      </c>
      <c r="J653" t="b">
        <f>AND(CCData[[#This Row],[Date]]&gt;=Calculation!$E$3,CCData[[#This Row],[Date]]&lt;Calculation!$E$3+7)</f>
        <v>0</v>
      </c>
    </row>
    <row r="654" spans="1:10">
      <c r="A654" t="s">
        <v>653</v>
      </c>
      <c r="B654" s="2">
        <v>42015.724000000002</v>
      </c>
      <c r="C654" s="3" t="s">
        <v>5007</v>
      </c>
      <c r="D654" t="s">
        <v>5015</v>
      </c>
      <c r="E654" t="s">
        <v>5018</v>
      </c>
      <c r="F654" t="s">
        <v>5018</v>
      </c>
      <c r="G654">
        <v>42</v>
      </c>
      <c r="H654" s="5">
        <v>2.5236123407433638E-3</v>
      </c>
      <c r="I654">
        <v>2</v>
      </c>
      <c r="J654" t="b">
        <f>AND(CCData[[#This Row],[Date]]&gt;=Calculation!$E$3,CCData[[#This Row],[Date]]&lt;Calculation!$E$3+7)</f>
        <v>0</v>
      </c>
    </row>
    <row r="655" spans="1:10">
      <c r="A655" t="s">
        <v>654</v>
      </c>
      <c r="B655" s="2">
        <v>42015.724000000002</v>
      </c>
      <c r="C655" s="3" t="s">
        <v>5005</v>
      </c>
      <c r="D655" t="s">
        <v>5014</v>
      </c>
      <c r="E655" t="s">
        <v>5018</v>
      </c>
      <c r="F655" t="s">
        <v>5018</v>
      </c>
      <c r="G655">
        <v>21</v>
      </c>
      <c r="H655" s="5">
        <v>3.3080052643713995E-3</v>
      </c>
      <c r="I655">
        <v>5</v>
      </c>
      <c r="J655" t="b">
        <f>AND(CCData[[#This Row],[Date]]&gt;=Calculation!$E$3,CCData[[#This Row],[Date]]&lt;Calculation!$E$3+7)</f>
        <v>0</v>
      </c>
    </row>
    <row r="656" spans="1:10">
      <c r="A656" t="s">
        <v>655</v>
      </c>
      <c r="B656" s="2">
        <v>42015.737000000001</v>
      </c>
      <c r="C656" s="3" t="s">
        <v>5005</v>
      </c>
      <c r="D656" t="s">
        <v>5012</v>
      </c>
      <c r="E656" t="s">
        <v>5018</v>
      </c>
      <c r="F656" t="s">
        <v>5018</v>
      </c>
      <c r="G656">
        <v>69</v>
      </c>
      <c r="H656" s="5">
        <v>3.6632506080691438E-4</v>
      </c>
      <c r="I656">
        <v>4</v>
      </c>
      <c r="J656" t="b">
        <f>AND(CCData[[#This Row],[Date]]&gt;=Calculation!$E$3,CCData[[#This Row],[Date]]&lt;Calculation!$E$3+7)</f>
        <v>0</v>
      </c>
    </row>
    <row r="657" spans="1:10">
      <c r="A657" t="s">
        <v>656</v>
      </c>
      <c r="B657" s="2">
        <v>42015.737000000001</v>
      </c>
      <c r="C657" s="3" t="s">
        <v>5005</v>
      </c>
      <c r="D657" t="s">
        <v>5014</v>
      </c>
      <c r="E657" t="s">
        <v>5018</v>
      </c>
      <c r="F657" t="s">
        <v>5018</v>
      </c>
      <c r="G657">
        <v>46</v>
      </c>
      <c r="H657" s="5">
        <v>6.1681768339397083E-4</v>
      </c>
      <c r="I657">
        <v>1</v>
      </c>
      <c r="J657" t="b">
        <f>AND(CCData[[#This Row],[Date]]&gt;=Calculation!$E$3,CCData[[#This Row],[Date]]&lt;Calculation!$E$3+7)</f>
        <v>0</v>
      </c>
    </row>
    <row r="658" spans="1:10">
      <c r="A658" t="s">
        <v>657</v>
      </c>
      <c r="B658" s="2">
        <v>42015.737000000001</v>
      </c>
      <c r="C658" s="3" t="s">
        <v>5009</v>
      </c>
      <c r="D658" t="s">
        <v>5014</v>
      </c>
      <c r="E658" t="s">
        <v>5018</v>
      </c>
      <c r="F658" t="s">
        <v>5018</v>
      </c>
      <c r="G658">
        <v>24</v>
      </c>
      <c r="H658" s="5">
        <v>4.1745886509593141E-3</v>
      </c>
      <c r="I658">
        <v>5</v>
      </c>
      <c r="J658" t="b">
        <f>AND(CCData[[#This Row],[Date]]&gt;=Calculation!$E$3,CCData[[#This Row],[Date]]&lt;Calculation!$E$3+7)</f>
        <v>0</v>
      </c>
    </row>
    <row r="659" spans="1:10">
      <c r="A659" t="s">
        <v>658</v>
      </c>
      <c r="B659" s="2">
        <v>42015.737000000001</v>
      </c>
      <c r="C659" s="3" t="s">
        <v>5005</v>
      </c>
      <c r="D659" t="s">
        <v>5016</v>
      </c>
      <c r="E659" t="s">
        <v>5018</v>
      </c>
      <c r="F659" t="s">
        <v>5018</v>
      </c>
      <c r="G659">
        <v>101</v>
      </c>
      <c r="H659" s="5">
        <v>3.3014495026702623E-3</v>
      </c>
      <c r="I659">
        <v>2</v>
      </c>
      <c r="J659" t="b">
        <f>AND(CCData[[#This Row],[Date]]&gt;=Calculation!$E$3,CCData[[#This Row],[Date]]&lt;Calculation!$E$3+7)</f>
        <v>0</v>
      </c>
    </row>
    <row r="660" spans="1:10">
      <c r="A660" t="s">
        <v>659</v>
      </c>
      <c r="B660" s="2">
        <v>42015.741999999998</v>
      </c>
      <c r="C660" s="3" t="s">
        <v>5004</v>
      </c>
      <c r="D660" t="s">
        <v>5014</v>
      </c>
      <c r="E660" t="s">
        <v>5018</v>
      </c>
      <c r="F660" t="s">
        <v>5018</v>
      </c>
      <c r="G660">
        <v>121</v>
      </c>
      <c r="H660" s="5">
        <v>9.3498190747001763E-4</v>
      </c>
      <c r="I660">
        <v>5</v>
      </c>
      <c r="J660" t="b">
        <f>AND(CCData[[#This Row],[Date]]&gt;=Calculation!$E$3,CCData[[#This Row],[Date]]&lt;Calculation!$E$3+7)</f>
        <v>0</v>
      </c>
    </row>
    <row r="661" spans="1:10">
      <c r="A661" t="s">
        <v>660</v>
      </c>
      <c r="B661" s="2">
        <v>42015.741999999998</v>
      </c>
      <c r="C661" s="3" t="s">
        <v>5005</v>
      </c>
      <c r="D661" t="s">
        <v>5015</v>
      </c>
      <c r="E661" t="s">
        <v>5018</v>
      </c>
      <c r="F661" t="s">
        <v>5018</v>
      </c>
      <c r="G661">
        <v>61</v>
      </c>
      <c r="H661" s="5">
        <v>8.2279875746183069E-4</v>
      </c>
      <c r="I661">
        <v>3</v>
      </c>
      <c r="J661" t="b">
        <f>AND(CCData[[#This Row],[Date]]&gt;=Calculation!$E$3,CCData[[#This Row],[Date]]&lt;Calculation!$E$3+7)</f>
        <v>0</v>
      </c>
    </row>
    <row r="662" spans="1:10">
      <c r="A662" t="s">
        <v>661</v>
      </c>
      <c r="B662" s="2">
        <v>42015.743000000002</v>
      </c>
      <c r="C662" s="3" t="s">
        <v>5004</v>
      </c>
      <c r="D662" t="s">
        <v>5012</v>
      </c>
      <c r="E662" t="s">
        <v>5018</v>
      </c>
      <c r="F662" t="s">
        <v>5018</v>
      </c>
      <c r="G662">
        <v>45</v>
      </c>
      <c r="H662" s="5">
        <v>9.2984376850196353E-4</v>
      </c>
      <c r="I662">
        <v>4</v>
      </c>
      <c r="J662" t="b">
        <f>AND(CCData[[#This Row],[Date]]&gt;=Calculation!$E$3,CCData[[#This Row],[Date]]&lt;Calculation!$E$3+7)</f>
        <v>0</v>
      </c>
    </row>
    <row r="663" spans="1:10">
      <c r="A663" t="s">
        <v>662</v>
      </c>
      <c r="B663" s="2">
        <v>42015.743000000002</v>
      </c>
      <c r="C663" s="3" t="s">
        <v>5004</v>
      </c>
      <c r="D663" t="s">
        <v>5014</v>
      </c>
      <c r="E663" t="s">
        <v>5018</v>
      </c>
      <c r="F663" t="s">
        <v>5018</v>
      </c>
      <c r="G663">
        <v>40</v>
      </c>
      <c r="H663" s="5">
        <v>1.3993515832725215E-3</v>
      </c>
      <c r="I663">
        <v>5</v>
      </c>
      <c r="J663" t="b">
        <f>AND(CCData[[#This Row],[Date]]&gt;=Calculation!$E$3,CCData[[#This Row],[Date]]&lt;Calculation!$E$3+7)</f>
        <v>0</v>
      </c>
    </row>
    <row r="664" spans="1:10">
      <c r="A664" t="s">
        <v>663</v>
      </c>
      <c r="B664" s="2">
        <v>42016.411</v>
      </c>
      <c r="C664" s="3" t="s">
        <v>5010</v>
      </c>
      <c r="D664" t="s">
        <v>5013</v>
      </c>
      <c r="E664" t="s">
        <v>5018</v>
      </c>
      <c r="F664" t="s">
        <v>5018</v>
      </c>
      <c r="G664">
        <v>94</v>
      </c>
      <c r="H664" s="5">
        <v>6.4717226118694566E-4</v>
      </c>
      <c r="I664">
        <v>4</v>
      </c>
      <c r="J664" t="b">
        <f>AND(CCData[[#This Row],[Date]]&gt;=Calculation!$E$3,CCData[[#This Row],[Date]]&lt;Calculation!$E$3+7)</f>
        <v>0</v>
      </c>
    </row>
    <row r="665" spans="1:10">
      <c r="A665" t="s">
        <v>664</v>
      </c>
      <c r="B665" s="2">
        <v>42016.411</v>
      </c>
      <c r="C665" s="3" t="s">
        <v>5006</v>
      </c>
      <c r="D665" t="s">
        <v>5016</v>
      </c>
      <c r="E665" t="s">
        <v>5018</v>
      </c>
      <c r="F665" t="s">
        <v>5018</v>
      </c>
      <c r="G665">
        <v>85</v>
      </c>
      <c r="H665" s="5">
        <v>3.6394610543902463E-3</v>
      </c>
      <c r="I665">
        <v>5</v>
      </c>
      <c r="J665" t="b">
        <f>AND(CCData[[#This Row],[Date]]&gt;=Calculation!$E$3,CCData[[#This Row],[Date]]&lt;Calculation!$E$3+7)</f>
        <v>0</v>
      </c>
    </row>
    <row r="666" spans="1:10">
      <c r="A666" t="s">
        <v>665</v>
      </c>
      <c r="B666" s="2">
        <v>42016.415000000001</v>
      </c>
      <c r="C666" s="3" t="s">
        <v>5007</v>
      </c>
      <c r="D666" t="s">
        <v>5014</v>
      </c>
      <c r="E666" t="s">
        <v>5018</v>
      </c>
      <c r="F666" t="s">
        <v>5018</v>
      </c>
      <c r="G666">
        <v>22</v>
      </c>
      <c r="H666" s="5">
        <v>3.2226831575875208E-3</v>
      </c>
      <c r="I666">
        <v>3</v>
      </c>
      <c r="J666" t="b">
        <f>AND(CCData[[#This Row],[Date]]&gt;=Calculation!$E$3,CCData[[#This Row],[Date]]&lt;Calculation!$E$3+7)</f>
        <v>0</v>
      </c>
    </row>
    <row r="667" spans="1:10">
      <c r="A667" t="s">
        <v>666</v>
      </c>
      <c r="B667" s="2">
        <v>42016.415000000001</v>
      </c>
      <c r="C667" s="3" t="s">
        <v>5004</v>
      </c>
      <c r="D667" t="s">
        <v>5012</v>
      </c>
      <c r="E667" t="s">
        <v>5018</v>
      </c>
      <c r="F667" t="s">
        <v>5018</v>
      </c>
      <c r="G667">
        <v>119</v>
      </c>
      <c r="H667" s="5">
        <v>4.7615213109602388E-3</v>
      </c>
      <c r="I667">
        <v>5</v>
      </c>
      <c r="J667" t="b">
        <f>AND(CCData[[#This Row],[Date]]&gt;=Calculation!$E$3,CCData[[#This Row],[Date]]&lt;Calculation!$E$3+7)</f>
        <v>0</v>
      </c>
    </row>
    <row r="668" spans="1:10">
      <c r="A668" t="s">
        <v>667</v>
      </c>
      <c r="B668" s="2">
        <v>42016.425000000003</v>
      </c>
      <c r="C668" s="3" t="s">
        <v>5004</v>
      </c>
      <c r="D668" t="s">
        <v>5014</v>
      </c>
      <c r="E668" t="s">
        <v>5018</v>
      </c>
      <c r="F668" t="s">
        <v>5018</v>
      </c>
      <c r="G668">
        <v>13</v>
      </c>
      <c r="H668" s="5">
        <v>1.6308067739583705E-3</v>
      </c>
      <c r="I668">
        <v>4</v>
      </c>
      <c r="J668" t="b">
        <f>AND(CCData[[#This Row],[Date]]&gt;=Calculation!$E$3,CCData[[#This Row],[Date]]&lt;Calculation!$E$3+7)</f>
        <v>0</v>
      </c>
    </row>
    <row r="669" spans="1:10">
      <c r="A669" t="s">
        <v>668</v>
      </c>
      <c r="B669" s="2">
        <v>42016.425000000003</v>
      </c>
      <c r="C669" s="3" t="s">
        <v>5009</v>
      </c>
      <c r="D669" t="s">
        <v>5012</v>
      </c>
      <c r="E669" t="s">
        <v>5018</v>
      </c>
      <c r="F669" t="s">
        <v>5018</v>
      </c>
      <c r="G669">
        <v>60</v>
      </c>
      <c r="H669" s="5">
        <v>3.0127854086439893E-3</v>
      </c>
      <c r="I669">
        <v>4</v>
      </c>
      <c r="J669" t="b">
        <f>AND(CCData[[#This Row],[Date]]&gt;=Calculation!$E$3,CCData[[#This Row],[Date]]&lt;Calculation!$E$3+7)</f>
        <v>0</v>
      </c>
    </row>
    <row r="670" spans="1:10">
      <c r="A670" t="s">
        <v>669</v>
      </c>
      <c r="B670" s="2">
        <v>42016.428</v>
      </c>
      <c r="C670" s="3" t="s">
        <v>5003</v>
      </c>
      <c r="D670" t="s">
        <v>5015</v>
      </c>
      <c r="E670" t="s">
        <v>5019</v>
      </c>
      <c r="F670" t="s">
        <v>5019</v>
      </c>
      <c r="G670" t="s">
        <v>5022</v>
      </c>
      <c r="H670" s="5" t="s">
        <v>5022</v>
      </c>
      <c r="I670" t="s">
        <v>5022</v>
      </c>
      <c r="J670" t="b">
        <f>AND(CCData[[#This Row],[Date]]&gt;=Calculation!$E$3,CCData[[#This Row],[Date]]&lt;Calculation!$E$3+7)</f>
        <v>0</v>
      </c>
    </row>
    <row r="671" spans="1:10">
      <c r="A671" t="s">
        <v>670</v>
      </c>
      <c r="B671" s="2">
        <v>42016.428</v>
      </c>
      <c r="C671" s="3" t="s">
        <v>5007</v>
      </c>
      <c r="D671" t="s">
        <v>5014</v>
      </c>
      <c r="E671" t="s">
        <v>5018</v>
      </c>
      <c r="F671" t="s">
        <v>5018</v>
      </c>
      <c r="G671">
        <v>29</v>
      </c>
      <c r="H671" s="5">
        <v>4.2042764046571869E-3</v>
      </c>
      <c r="I671">
        <v>1</v>
      </c>
      <c r="J671" t="b">
        <f>AND(CCData[[#This Row],[Date]]&gt;=Calculation!$E$3,CCData[[#This Row],[Date]]&lt;Calculation!$E$3+7)</f>
        <v>0</v>
      </c>
    </row>
    <row r="672" spans="1:10">
      <c r="A672" t="s">
        <v>671</v>
      </c>
      <c r="B672" s="2">
        <v>42016.444000000003</v>
      </c>
      <c r="C672" s="3" t="s">
        <v>5003</v>
      </c>
      <c r="D672" t="s">
        <v>5014</v>
      </c>
      <c r="E672" t="s">
        <v>5018</v>
      </c>
      <c r="F672" t="s">
        <v>5019</v>
      </c>
      <c r="G672">
        <v>41</v>
      </c>
      <c r="H672" s="5">
        <v>4.0147316464897642E-3</v>
      </c>
      <c r="I672">
        <v>5</v>
      </c>
      <c r="J672" t="b">
        <f>AND(CCData[[#This Row],[Date]]&gt;=Calculation!$E$3,CCData[[#This Row],[Date]]&lt;Calculation!$E$3+7)</f>
        <v>0</v>
      </c>
    </row>
    <row r="673" spans="1:10">
      <c r="A673" t="s">
        <v>672</v>
      </c>
      <c r="B673" s="2">
        <v>42016.444000000003</v>
      </c>
      <c r="C673" s="3" t="s">
        <v>5009</v>
      </c>
      <c r="D673" t="s">
        <v>5012</v>
      </c>
      <c r="E673" t="s">
        <v>5018</v>
      </c>
      <c r="F673" t="s">
        <v>5018</v>
      </c>
      <c r="G673">
        <v>87</v>
      </c>
      <c r="H673" s="5">
        <v>3.9362215078065721E-3</v>
      </c>
      <c r="I673">
        <v>5</v>
      </c>
      <c r="J673" t="b">
        <f>AND(CCData[[#This Row],[Date]]&gt;=Calculation!$E$3,CCData[[#This Row],[Date]]&lt;Calculation!$E$3+7)</f>
        <v>0</v>
      </c>
    </row>
    <row r="674" spans="1:10">
      <c r="A674" t="s">
        <v>673</v>
      </c>
      <c r="B674" s="2">
        <v>42016.45</v>
      </c>
      <c r="C674" s="3" t="s">
        <v>5007</v>
      </c>
      <c r="D674" t="s">
        <v>5012</v>
      </c>
      <c r="E674" t="s">
        <v>5018</v>
      </c>
      <c r="F674" t="s">
        <v>5018</v>
      </c>
      <c r="G674">
        <v>77</v>
      </c>
      <c r="H674" s="5">
        <v>3.0994537644702886E-3</v>
      </c>
      <c r="I674">
        <v>5</v>
      </c>
      <c r="J674" t="b">
        <f>AND(CCData[[#This Row],[Date]]&gt;=Calculation!$E$3,CCData[[#This Row],[Date]]&lt;Calculation!$E$3+7)</f>
        <v>0</v>
      </c>
    </row>
    <row r="675" spans="1:10">
      <c r="A675" t="s">
        <v>674</v>
      </c>
      <c r="B675" s="2">
        <v>42016.45</v>
      </c>
      <c r="C675" s="3" t="s">
        <v>5007</v>
      </c>
      <c r="D675" t="s">
        <v>5014</v>
      </c>
      <c r="E675" t="s">
        <v>5019</v>
      </c>
      <c r="F675" t="s">
        <v>5019</v>
      </c>
      <c r="G675" t="s">
        <v>5022</v>
      </c>
      <c r="H675" s="5" t="s">
        <v>5022</v>
      </c>
      <c r="I675" t="s">
        <v>5022</v>
      </c>
      <c r="J675" t="b">
        <f>AND(CCData[[#This Row],[Date]]&gt;=Calculation!$E$3,CCData[[#This Row],[Date]]&lt;Calculation!$E$3+7)</f>
        <v>0</v>
      </c>
    </row>
    <row r="676" spans="1:10">
      <c r="A676" t="s">
        <v>675</v>
      </c>
      <c r="B676" s="2">
        <v>42016.451000000001</v>
      </c>
      <c r="C676" s="3" t="s">
        <v>5010</v>
      </c>
      <c r="D676" t="s">
        <v>5015</v>
      </c>
      <c r="E676" t="s">
        <v>5018</v>
      </c>
      <c r="F676" t="s">
        <v>5018</v>
      </c>
      <c r="G676">
        <v>30</v>
      </c>
      <c r="H676" s="5">
        <v>1.9188170864145081E-3</v>
      </c>
      <c r="I676">
        <v>4</v>
      </c>
      <c r="J676" t="b">
        <f>AND(CCData[[#This Row],[Date]]&gt;=Calculation!$E$3,CCData[[#This Row],[Date]]&lt;Calculation!$E$3+7)</f>
        <v>0</v>
      </c>
    </row>
    <row r="677" spans="1:10">
      <c r="A677" t="s">
        <v>676</v>
      </c>
      <c r="B677" s="2">
        <v>42016.451000000001</v>
      </c>
      <c r="C677" s="3" t="s">
        <v>5005</v>
      </c>
      <c r="D677" t="s">
        <v>5014</v>
      </c>
      <c r="E677" t="s">
        <v>5019</v>
      </c>
      <c r="F677" t="s">
        <v>5019</v>
      </c>
      <c r="G677" t="s">
        <v>5022</v>
      </c>
      <c r="H677" s="5" t="s">
        <v>5022</v>
      </c>
      <c r="I677" t="s">
        <v>5022</v>
      </c>
      <c r="J677" t="b">
        <f>AND(CCData[[#This Row],[Date]]&gt;=Calculation!$E$3,CCData[[#This Row],[Date]]&lt;Calculation!$E$3+7)</f>
        <v>0</v>
      </c>
    </row>
    <row r="678" spans="1:10">
      <c r="A678" t="s">
        <v>677</v>
      </c>
      <c r="B678" s="2">
        <v>42016.463000000003</v>
      </c>
      <c r="C678" s="3" t="s">
        <v>5007</v>
      </c>
      <c r="D678" t="s">
        <v>5014</v>
      </c>
      <c r="E678" t="s">
        <v>5018</v>
      </c>
      <c r="F678" t="s">
        <v>5018</v>
      </c>
      <c r="G678">
        <v>81</v>
      </c>
      <c r="H678" s="5">
        <v>3.8164490115346196E-3</v>
      </c>
      <c r="I678">
        <v>3</v>
      </c>
      <c r="J678" t="b">
        <f>AND(CCData[[#This Row],[Date]]&gt;=Calculation!$E$3,CCData[[#This Row],[Date]]&lt;Calculation!$E$3+7)</f>
        <v>0</v>
      </c>
    </row>
    <row r="679" spans="1:10">
      <c r="A679" t="s">
        <v>678</v>
      </c>
      <c r="B679" s="2">
        <v>42016.463000000003</v>
      </c>
      <c r="C679" s="3" t="s">
        <v>5005</v>
      </c>
      <c r="D679" t="s">
        <v>5012</v>
      </c>
      <c r="E679" t="s">
        <v>5018</v>
      </c>
      <c r="F679" t="s">
        <v>5018</v>
      </c>
      <c r="G679">
        <v>76</v>
      </c>
      <c r="H679" s="5">
        <v>1.6467255983748114E-3</v>
      </c>
      <c r="I679">
        <v>4</v>
      </c>
      <c r="J679" t="b">
        <f>AND(CCData[[#This Row],[Date]]&gt;=Calculation!$E$3,CCData[[#This Row],[Date]]&lt;Calculation!$E$3+7)</f>
        <v>0</v>
      </c>
    </row>
    <row r="680" spans="1:10">
      <c r="A680" t="s">
        <v>679</v>
      </c>
      <c r="B680" s="2">
        <v>42016.487000000001</v>
      </c>
      <c r="C680" s="3" t="s">
        <v>5003</v>
      </c>
      <c r="D680" t="s">
        <v>5012</v>
      </c>
      <c r="E680" t="s">
        <v>5019</v>
      </c>
      <c r="F680" t="s">
        <v>5019</v>
      </c>
      <c r="G680" t="s">
        <v>5022</v>
      </c>
      <c r="H680" s="5" t="s">
        <v>5022</v>
      </c>
      <c r="I680" t="s">
        <v>5022</v>
      </c>
      <c r="J680" t="b">
        <f>AND(CCData[[#This Row],[Date]]&gt;=Calculation!$E$3,CCData[[#This Row],[Date]]&lt;Calculation!$E$3+7)</f>
        <v>0</v>
      </c>
    </row>
    <row r="681" spans="1:10">
      <c r="A681" t="s">
        <v>680</v>
      </c>
      <c r="B681" s="2">
        <v>42016.487000000001</v>
      </c>
      <c r="C681" s="3" t="s">
        <v>5006</v>
      </c>
      <c r="D681" t="s">
        <v>5012</v>
      </c>
      <c r="E681" t="s">
        <v>5018</v>
      </c>
      <c r="F681" t="s">
        <v>5018</v>
      </c>
      <c r="G681">
        <v>79</v>
      </c>
      <c r="H681" s="5">
        <v>2.36892358524715E-3</v>
      </c>
      <c r="I681">
        <v>4</v>
      </c>
      <c r="J681" t="b">
        <f>AND(CCData[[#This Row],[Date]]&gt;=Calculation!$E$3,CCData[[#This Row],[Date]]&lt;Calculation!$E$3+7)</f>
        <v>0</v>
      </c>
    </row>
    <row r="682" spans="1:10">
      <c r="A682" t="s">
        <v>681</v>
      </c>
      <c r="B682" s="2">
        <v>42016.502999999997</v>
      </c>
      <c r="C682" s="3" t="s">
        <v>5008</v>
      </c>
      <c r="D682" t="s">
        <v>5015</v>
      </c>
      <c r="E682" t="s">
        <v>5018</v>
      </c>
      <c r="F682" t="s">
        <v>5018</v>
      </c>
      <c r="G682">
        <v>114</v>
      </c>
      <c r="H682" s="5">
        <v>3.8239409702850707E-3</v>
      </c>
      <c r="I682">
        <v>3</v>
      </c>
      <c r="J682" t="b">
        <f>AND(CCData[[#This Row],[Date]]&gt;=Calculation!$E$3,CCData[[#This Row],[Date]]&lt;Calculation!$E$3+7)</f>
        <v>0</v>
      </c>
    </row>
    <row r="683" spans="1:10">
      <c r="A683" t="s">
        <v>682</v>
      </c>
      <c r="B683" s="2">
        <v>42016.502999999997</v>
      </c>
      <c r="C683" s="3" t="s">
        <v>5006</v>
      </c>
      <c r="D683" t="s">
        <v>5012</v>
      </c>
      <c r="E683" t="s">
        <v>5018</v>
      </c>
      <c r="F683" t="s">
        <v>5018</v>
      </c>
      <c r="G683">
        <v>15</v>
      </c>
      <c r="H683" s="5">
        <v>4.8568552517138089E-3</v>
      </c>
      <c r="I683">
        <v>2</v>
      </c>
      <c r="J683" t="b">
        <f>AND(CCData[[#This Row],[Date]]&gt;=Calculation!$E$3,CCData[[#This Row],[Date]]&lt;Calculation!$E$3+7)</f>
        <v>0</v>
      </c>
    </row>
    <row r="684" spans="1:10">
      <c r="A684" t="s">
        <v>683</v>
      </c>
      <c r="B684" s="2">
        <v>42016.544000000002</v>
      </c>
      <c r="C684" s="3" t="s">
        <v>5004</v>
      </c>
      <c r="D684" t="s">
        <v>5016</v>
      </c>
      <c r="E684" t="s">
        <v>5018</v>
      </c>
      <c r="F684" t="s">
        <v>5018</v>
      </c>
      <c r="G684">
        <v>43</v>
      </c>
      <c r="H684" s="5">
        <v>2.3190632542469088E-3</v>
      </c>
      <c r="I684">
        <v>4</v>
      </c>
      <c r="J684" t="b">
        <f>AND(CCData[[#This Row],[Date]]&gt;=Calculation!$E$3,CCData[[#This Row],[Date]]&lt;Calculation!$E$3+7)</f>
        <v>0</v>
      </c>
    </row>
    <row r="685" spans="1:10">
      <c r="A685" t="s">
        <v>684</v>
      </c>
      <c r="B685" s="2">
        <v>42016.544000000002</v>
      </c>
      <c r="C685" s="3" t="s">
        <v>5005</v>
      </c>
      <c r="D685" t="s">
        <v>5013</v>
      </c>
      <c r="E685" t="s">
        <v>5018</v>
      </c>
      <c r="F685" t="s">
        <v>5018</v>
      </c>
      <c r="G685">
        <v>26</v>
      </c>
      <c r="H685" s="5">
        <v>4.4963773786379614E-3</v>
      </c>
      <c r="I685">
        <v>1</v>
      </c>
      <c r="J685" t="b">
        <f>AND(CCData[[#This Row],[Date]]&gt;=Calculation!$E$3,CCData[[#This Row],[Date]]&lt;Calculation!$E$3+7)</f>
        <v>0</v>
      </c>
    </row>
    <row r="686" spans="1:10">
      <c r="A686" t="s">
        <v>685</v>
      </c>
      <c r="B686" s="2">
        <v>42016.563000000002</v>
      </c>
      <c r="C686" s="3" t="s">
        <v>5006</v>
      </c>
      <c r="D686" t="s">
        <v>5013</v>
      </c>
      <c r="E686" t="s">
        <v>5018</v>
      </c>
      <c r="F686" t="s">
        <v>5018</v>
      </c>
      <c r="G686">
        <v>57</v>
      </c>
      <c r="H686" s="5">
        <v>2.4523472545613829E-3</v>
      </c>
      <c r="I686">
        <v>2</v>
      </c>
      <c r="J686" t="b">
        <f>AND(CCData[[#This Row],[Date]]&gt;=Calculation!$E$3,CCData[[#This Row],[Date]]&lt;Calculation!$E$3+7)</f>
        <v>0</v>
      </c>
    </row>
    <row r="687" spans="1:10">
      <c r="A687" t="s">
        <v>686</v>
      </c>
      <c r="B687" s="2">
        <v>42016.563000000002</v>
      </c>
      <c r="C687" s="3" t="s">
        <v>5005</v>
      </c>
      <c r="D687" t="s">
        <v>5012</v>
      </c>
      <c r="E687" t="s">
        <v>5018</v>
      </c>
      <c r="F687" t="s">
        <v>5018</v>
      </c>
      <c r="G687">
        <v>86</v>
      </c>
      <c r="H687" s="5">
        <v>1.7802085967290157E-3</v>
      </c>
      <c r="I687">
        <v>3</v>
      </c>
      <c r="J687" t="b">
        <f>AND(CCData[[#This Row],[Date]]&gt;=Calculation!$E$3,CCData[[#This Row],[Date]]&lt;Calculation!$E$3+7)</f>
        <v>0</v>
      </c>
    </row>
    <row r="688" spans="1:10">
      <c r="A688" t="s">
        <v>687</v>
      </c>
      <c r="B688" s="2">
        <v>42016.567999999999</v>
      </c>
      <c r="C688" s="3" t="s">
        <v>5003</v>
      </c>
      <c r="D688" t="s">
        <v>5014</v>
      </c>
      <c r="E688" t="s">
        <v>5018</v>
      </c>
      <c r="F688" t="s">
        <v>5018</v>
      </c>
      <c r="G688">
        <v>110</v>
      </c>
      <c r="H688" s="5">
        <v>3.3091555667627954E-3</v>
      </c>
      <c r="I688">
        <v>3</v>
      </c>
      <c r="J688" t="b">
        <f>AND(CCData[[#This Row],[Date]]&gt;=Calculation!$E$3,CCData[[#This Row],[Date]]&lt;Calculation!$E$3+7)</f>
        <v>0</v>
      </c>
    </row>
    <row r="689" spans="1:10">
      <c r="A689" t="s">
        <v>688</v>
      </c>
      <c r="B689" s="2">
        <v>42016.567999999999</v>
      </c>
      <c r="C689" s="3" t="s">
        <v>5004</v>
      </c>
      <c r="D689" t="s">
        <v>5012</v>
      </c>
      <c r="E689" t="s">
        <v>5018</v>
      </c>
      <c r="F689" t="s">
        <v>5018</v>
      </c>
      <c r="G689">
        <v>43</v>
      </c>
      <c r="H689" s="5">
        <v>3.3521754171594977E-3</v>
      </c>
      <c r="I689">
        <v>2</v>
      </c>
      <c r="J689" t="b">
        <f>AND(CCData[[#This Row],[Date]]&gt;=Calculation!$E$3,CCData[[#This Row],[Date]]&lt;Calculation!$E$3+7)</f>
        <v>0</v>
      </c>
    </row>
    <row r="690" spans="1:10">
      <c r="A690" t="s">
        <v>689</v>
      </c>
      <c r="B690" s="2">
        <v>42016.571000000004</v>
      </c>
      <c r="C690" s="3" t="s">
        <v>5009</v>
      </c>
      <c r="D690" t="s">
        <v>5013</v>
      </c>
      <c r="E690" t="s">
        <v>5019</v>
      </c>
      <c r="F690" t="s">
        <v>5019</v>
      </c>
      <c r="G690" t="s">
        <v>5022</v>
      </c>
      <c r="H690" s="5" t="s">
        <v>5022</v>
      </c>
      <c r="I690" t="s">
        <v>5022</v>
      </c>
      <c r="J690" t="b">
        <f>AND(CCData[[#This Row],[Date]]&gt;=Calculation!$E$3,CCData[[#This Row],[Date]]&lt;Calculation!$E$3+7)</f>
        <v>0</v>
      </c>
    </row>
    <row r="691" spans="1:10">
      <c r="A691" t="s">
        <v>690</v>
      </c>
      <c r="B691" s="2">
        <v>42016.571000000004</v>
      </c>
      <c r="C691" s="3" t="s">
        <v>5009</v>
      </c>
      <c r="D691" t="s">
        <v>5015</v>
      </c>
      <c r="E691" t="s">
        <v>5019</v>
      </c>
      <c r="F691" t="s">
        <v>5019</v>
      </c>
      <c r="G691" t="s">
        <v>5022</v>
      </c>
      <c r="H691" s="5" t="s">
        <v>5022</v>
      </c>
      <c r="I691" t="s">
        <v>5022</v>
      </c>
      <c r="J691" t="b">
        <f>AND(CCData[[#This Row],[Date]]&gt;=Calculation!$E$3,CCData[[#This Row],[Date]]&lt;Calculation!$E$3+7)</f>
        <v>0</v>
      </c>
    </row>
    <row r="692" spans="1:10">
      <c r="A692" t="s">
        <v>691</v>
      </c>
      <c r="B692" s="2">
        <v>42016.591999999997</v>
      </c>
      <c r="C692" s="3" t="s">
        <v>5008</v>
      </c>
      <c r="D692" t="s">
        <v>5013</v>
      </c>
      <c r="E692" t="s">
        <v>5018</v>
      </c>
      <c r="F692" t="s">
        <v>5018</v>
      </c>
      <c r="G692">
        <v>105</v>
      </c>
      <c r="H692" s="5">
        <v>2.0918666642945976E-3</v>
      </c>
      <c r="I692">
        <v>2</v>
      </c>
      <c r="J692" t="b">
        <f>AND(CCData[[#This Row],[Date]]&gt;=Calculation!$E$3,CCData[[#This Row],[Date]]&lt;Calculation!$E$3+7)</f>
        <v>0</v>
      </c>
    </row>
    <row r="693" spans="1:10">
      <c r="A693" t="s">
        <v>692</v>
      </c>
      <c r="B693" s="2">
        <v>42016.591999999997</v>
      </c>
      <c r="C693" s="3" t="s">
        <v>5003</v>
      </c>
      <c r="D693" t="s">
        <v>5013</v>
      </c>
      <c r="E693" t="s">
        <v>5019</v>
      </c>
      <c r="F693" t="s">
        <v>5019</v>
      </c>
      <c r="G693" t="s">
        <v>5022</v>
      </c>
      <c r="H693" s="5" t="s">
        <v>5022</v>
      </c>
      <c r="I693" t="s">
        <v>5022</v>
      </c>
      <c r="J693" t="b">
        <f>AND(CCData[[#This Row],[Date]]&gt;=Calculation!$E$3,CCData[[#This Row],[Date]]&lt;Calculation!$E$3+7)</f>
        <v>0</v>
      </c>
    </row>
    <row r="694" spans="1:10">
      <c r="A694" t="s">
        <v>693</v>
      </c>
      <c r="B694" s="2">
        <v>42016.618999999999</v>
      </c>
      <c r="C694" s="3" t="s">
        <v>5006</v>
      </c>
      <c r="D694" t="s">
        <v>5015</v>
      </c>
      <c r="E694" t="s">
        <v>5018</v>
      </c>
      <c r="F694" t="s">
        <v>5018</v>
      </c>
      <c r="G694">
        <v>79</v>
      </c>
      <c r="H694" s="5">
        <v>5.5886245498795099E-4</v>
      </c>
      <c r="I694">
        <v>4</v>
      </c>
      <c r="J694" t="b">
        <f>AND(CCData[[#This Row],[Date]]&gt;=Calculation!$E$3,CCData[[#This Row],[Date]]&lt;Calculation!$E$3+7)</f>
        <v>0</v>
      </c>
    </row>
    <row r="695" spans="1:10">
      <c r="A695" t="s">
        <v>694</v>
      </c>
      <c r="B695" s="2">
        <v>42016.618999999999</v>
      </c>
      <c r="C695" s="3" t="s">
        <v>5007</v>
      </c>
      <c r="D695" t="s">
        <v>5014</v>
      </c>
      <c r="E695" t="s">
        <v>5018</v>
      </c>
      <c r="F695" t="s">
        <v>5019</v>
      </c>
      <c r="G695">
        <v>42</v>
      </c>
      <c r="H695" s="5">
        <v>2.4110035228180333E-3</v>
      </c>
      <c r="I695">
        <v>3</v>
      </c>
      <c r="J695" t="b">
        <f>AND(CCData[[#This Row],[Date]]&gt;=Calculation!$E$3,CCData[[#This Row],[Date]]&lt;Calculation!$E$3+7)</f>
        <v>0</v>
      </c>
    </row>
    <row r="696" spans="1:10">
      <c r="A696" t="s">
        <v>695</v>
      </c>
      <c r="B696" s="2">
        <v>42016.631000000001</v>
      </c>
      <c r="C696" s="3" t="s">
        <v>5007</v>
      </c>
      <c r="D696" t="s">
        <v>5012</v>
      </c>
      <c r="E696" t="s">
        <v>5018</v>
      </c>
      <c r="F696" t="s">
        <v>5019</v>
      </c>
      <c r="G696">
        <v>100</v>
      </c>
      <c r="H696" s="5">
        <v>6.5829991525180847E-4</v>
      </c>
      <c r="I696">
        <v>4</v>
      </c>
      <c r="J696" t="b">
        <f>AND(CCData[[#This Row],[Date]]&gt;=Calculation!$E$3,CCData[[#This Row],[Date]]&lt;Calculation!$E$3+7)</f>
        <v>0</v>
      </c>
    </row>
    <row r="697" spans="1:10">
      <c r="A697" t="s">
        <v>696</v>
      </c>
      <c r="B697" s="2">
        <v>42016.631000000001</v>
      </c>
      <c r="C697" s="3" t="s">
        <v>5006</v>
      </c>
      <c r="D697" t="s">
        <v>5016</v>
      </c>
      <c r="E697" t="s">
        <v>5018</v>
      </c>
      <c r="F697" t="s">
        <v>5018</v>
      </c>
      <c r="G697">
        <v>107</v>
      </c>
      <c r="H697" s="5">
        <v>4.4867543602167522E-3</v>
      </c>
      <c r="I697">
        <v>4</v>
      </c>
      <c r="J697" t="b">
        <f>AND(CCData[[#This Row],[Date]]&gt;=Calculation!$E$3,CCData[[#This Row],[Date]]&lt;Calculation!$E$3+7)</f>
        <v>0</v>
      </c>
    </row>
    <row r="698" spans="1:10">
      <c r="A698" t="s">
        <v>697</v>
      </c>
      <c r="B698" s="2">
        <v>42016.641000000003</v>
      </c>
      <c r="C698" s="3" t="s">
        <v>5009</v>
      </c>
      <c r="D698" t="s">
        <v>5014</v>
      </c>
      <c r="E698" t="s">
        <v>5018</v>
      </c>
      <c r="F698" t="s">
        <v>5018</v>
      </c>
      <c r="G698">
        <v>96</v>
      </c>
      <c r="H698" s="5">
        <v>2.6238497823201233E-3</v>
      </c>
      <c r="I698">
        <v>5</v>
      </c>
      <c r="J698" t="b">
        <f>AND(CCData[[#This Row],[Date]]&gt;=Calculation!$E$3,CCData[[#This Row],[Date]]&lt;Calculation!$E$3+7)</f>
        <v>0</v>
      </c>
    </row>
    <row r="699" spans="1:10">
      <c r="A699" t="s">
        <v>698</v>
      </c>
      <c r="B699" s="2">
        <v>42016.641000000003</v>
      </c>
      <c r="C699" s="3" t="s">
        <v>5006</v>
      </c>
      <c r="D699" t="s">
        <v>5016</v>
      </c>
      <c r="E699" t="s">
        <v>5018</v>
      </c>
      <c r="F699" t="s">
        <v>5019</v>
      </c>
      <c r="G699">
        <v>116</v>
      </c>
      <c r="H699" s="5">
        <v>2.9521985853716275E-3</v>
      </c>
      <c r="I699">
        <v>5</v>
      </c>
      <c r="J699" t="b">
        <f>AND(CCData[[#This Row],[Date]]&gt;=Calculation!$E$3,CCData[[#This Row],[Date]]&lt;Calculation!$E$3+7)</f>
        <v>0</v>
      </c>
    </row>
    <row r="700" spans="1:10">
      <c r="A700" t="s">
        <v>699</v>
      </c>
      <c r="B700" s="2">
        <v>42016.658000000003</v>
      </c>
      <c r="C700" s="3" t="s">
        <v>5009</v>
      </c>
      <c r="D700" t="s">
        <v>5013</v>
      </c>
      <c r="E700" t="s">
        <v>5018</v>
      </c>
      <c r="F700" t="s">
        <v>5018</v>
      </c>
      <c r="G700">
        <v>54</v>
      </c>
      <c r="H700" s="5">
        <v>2.0196346318713766E-3</v>
      </c>
      <c r="I700">
        <v>3</v>
      </c>
      <c r="J700" t="b">
        <f>AND(CCData[[#This Row],[Date]]&gt;=Calculation!$E$3,CCData[[#This Row],[Date]]&lt;Calculation!$E$3+7)</f>
        <v>0</v>
      </c>
    </row>
    <row r="701" spans="1:10">
      <c r="A701" t="s">
        <v>700</v>
      </c>
      <c r="B701" s="2">
        <v>42016.658000000003</v>
      </c>
      <c r="C701" s="3" t="s">
        <v>5003</v>
      </c>
      <c r="D701" t="s">
        <v>5016</v>
      </c>
      <c r="E701" t="s">
        <v>5018</v>
      </c>
      <c r="F701" t="s">
        <v>5018</v>
      </c>
      <c r="G701">
        <v>24</v>
      </c>
      <c r="H701" s="5">
        <v>4.4560165721976488E-3</v>
      </c>
      <c r="I701">
        <v>4</v>
      </c>
      <c r="J701" t="b">
        <f>AND(CCData[[#This Row],[Date]]&gt;=Calculation!$E$3,CCData[[#This Row],[Date]]&lt;Calculation!$E$3+7)</f>
        <v>0</v>
      </c>
    </row>
    <row r="702" spans="1:10">
      <c r="A702" t="s">
        <v>701</v>
      </c>
      <c r="B702" s="2">
        <v>42016.661</v>
      </c>
      <c r="C702" s="3" t="s">
        <v>5010</v>
      </c>
      <c r="D702" t="s">
        <v>5012</v>
      </c>
      <c r="E702" t="s">
        <v>5018</v>
      </c>
      <c r="F702" t="s">
        <v>5018</v>
      </c>
      <c r="G702">
        <v>52</v>
      </c>
      <c r="H702" s="5">
        <v>2.0318911310739738E-3</v>
      </c>
      <c r="I702">
        <v>5</v>
      </c>
      <c r="J702" t="b">
        <f>AND(CCData[[#This Row],[Date]]&gt;=Calculation!$E$3,CCData[[#This Row],[Date]]&lt;Calculation!$E$3+7)</f>
        <v>0</v>
      </c>
    </row>
    <row r="703" spans="1:10">
      <c r="A703" t="s">
        <v>702</v>
      </c>
      <c r="B703" s="2">
        <v>42016.661</v>
      </c>
      <c r="C703" s="3" t="s">
        <v>5010</v>
      </c>
      <c r="D703" t="s">
        <v>5012</v>
      </c>
      <c r="E703" t="s">
        <v>5018</v>
      </c>
      <c r="F703" t="s">
        <v>5018</v>
      </c>
      <c r="G703">
        <v>77</v>
      </c>
      <c r="H703" s="5">
        <v>5.9354035345029479E-4</v>
      </c>
      <c r="I703">
        <v>3</v>
      </c>
      <c r="J703" t="b">
        <f>AND(CCData[[#This Row],[Date]]&gt;=Calculation!$E$3,CCData[[#This Row],[Date]]&lt;Calculation!$E$3+7)</f>
        <v>0</v>
      </c>
    </row>
    <row r="704" spans="1:10">
      <c r="A704" t="s">
        <v>703</v>
      </c>
      <c r="B704" s="2">
        <v>42016.675000000003</v>
      </c>
      <c r="C704" s="3" t="s">
        <v>5003</v>
      </c>
      <c r="D704" t="s">
        <v>5015</v>
      </c>
      <c r="E704" t="s">
        <v>5018</v>
      </c>
      <c r="F704" t="s">
        <v>5018</v>
      </c>
      <c r="G704">
        <v>91</v>
      </c>
      <c r="H704" s="5">
        <v>1.1601105887219915E-3</v>
      </c>
      <c r="I704">
        <v>3</v>
      </c>
      <c r="J704" t="b">
        <f>AND(CCData[[#This Row],[Date]]&gt;=Calculation!$E$3,CCData[[#This Row],[Date]]&lt;Calculation!$E$3+7)</f>
        <v>0</v>
      </c>
    </row>
    <row r="705" spans="1:10">
      <c r="A705" t="s">
        <v>704</v>
      </c>
      <c r="B705" s="2">
        <v>42016.675000000003</v>
      </c>
      <c r="C705" s="3" t="s">
        <v>5010</v>
      </c>
      <c r="D705" t="s">
        <v>5016</v>
      </c>
      <c r="E705" t="s">
        <v>5018</v>
      </c>
      <c r="F705" t="s">
        <v>5019</v>
      </c>
      <c r="G705">
        <v>104</v>
      </c>
      <c r="H705" s="5">
        <v>1.1986176572741504E-3</v>
      </c>
      <c r="I705">
        <v>3</v>
      </c>
      <c r="J705" t="b">
        <f>AND(CCData[[#This Row],[Date]]&gt;=Calculation!$E$3,CCData[[#This Row],[Date]]&lt;Calculation!$E$3+7)</f>
        <v>0</v>
      </c>
    </row>
    <row r="706" spans="1:10">
      <c r="A706" t="s">
        <v>705</v>
      </c>
      <c r="B706" s="2">
        <v>42016.697999999997</v>
      </c>
      <c r="C706" s="3" t="s">
        <v>5008</v>
      </c>
      <c r="D706" t="s">
        <v>5013</v>
      </c>
      <c r="E706" t="s">
        <v>5018</v>
      </c>
      <c r="F706" t="s">
        <v>5018</v>
      </c>
      <c r="G706">
        <v>111</v>
      </c>
      <c r="H706" s="5">
        <v>1.8091705353894983E-3</v>
      </c>
      <c r="I706">
        <v>3</v>
      </c>
      <c r="J706" t="b">
        <f>AND(CCData[[#This Row],[Date]]&gt;=Calculation!$E$3,CCData[[#This Row],[Date]]&lt;Calculation!$E$3+7)</f>
        <v>0</v>
      </c>
    </row>
    <row r="707" spans="1:10">
      <c r="A707" t="s">
        <v>706</v>
      </c>
      <c r="B707" s="2">
        <v>42016.697999999997</v>
      </c>
      <c r="C707" s="3" t="s">
        <v>5004</v>
      </c>
      <c r="D707" t="s">
        <v>5013</v>
      </c>
      <c r="E707" t="s">
        <v>5019</v>
      </c>
      <c r="F707" t="s">
        <v>5019</v>
      </c>
      <c r="G707" t="s">
        <v>5022</v>
      </c>
      <c r="H707" s="5" t="s">
        <v>5022</v>
      </c>
      <c r="I707" t="s">
        <v>5022</v>
      </c>
      <c r="J707" t="b">
        <f>AND(CCData[[#This Row],[Date]]&gt;=Calculation!$E$3,CCData[[#This Row],[Date]]&lt;Calculation!$E$3+7)</f>
        <v>0</v>
      </c>
    </row>
    <row r="708" spans="1:10">
      <c r="A708" t="s">
        <v>707</v>
      </c>
      <c r="B708" s="2">
        <v>42016.699000000001</v>
      </c>
      <c r="C708" s="3" t="s">
        <v>5007</v>
      </c>
      <c r="D708" t="s">
        <v>5014</v>
      </c>
      <c r="E708" t="s">
        <v>5018</v>
      </c>
      <c r="F708" t="s">
        <v>5018</v>
      </c>
      <c r="G708">
        <v>55</v>
      </c>
      <c r="H708" s="5">
        <v>3.5673850482398424E-3</v>
      </c>
      <c r="I708">
        <v>4</v>
      </c>
      <c r="J708" t="b">
        <f>AND(CCData[[#This Row],[Date]]&gt;=Calculation!$E$3,CCData[[#This Row],[Date]]&lt;Calculation!$E$3+7)</f>
        <v>0</v>
      </c>
    </row>
    <row r="709" spans="1:10">
      <c r="A709" t="s">
        <v>708</v>
      </c>
      <c r="B709" s="2">
        <v>42016.699000000001</v>
      </c>
      <c r="C709" s="3" t="s">
        <v>5005</v>
      </c>
      <c r="D709" t="s">
        <v>5015</v>
      </c>
      <c r="E709" t="s">
        <v>5019</v>
      </c>
      <c r="F709" t="s">
        <v>5019</v>
      </c>
      <c r="G709" t="s">
        <v>5022</v>
      </c>
      <c r="H709" s="5" t="s">
        <v>5022</v>
      </c>
      <c r="I709" t="s">
        <v>5022</v>
      </c>
      <c r="J709" t="b">
        <f>AND(CCData[[#This Row],[Date]]&gt;=Calculation!$E$3,CCData[[#This Row],[Date]]&lt;Calculation!$E$3+7)</f>
        <v>0</v>
      </c>
    </row>
    <row r="710" spans="1:10">
      <c r="A710" t="s">
        <v>709</v>
      </c>
      <c r="B710" s="2">
        <v>42016.701000000001</v>
      </c>
      <c r="C710" s="3" t="s">
        <v>5008</v>
      </c>
      <c r="D710" t="s">
        <v>5012</v>
      </c>
      <c r="E710" t="s">
        <v>5018</v>
      </c>
      <c r="F710" t="s">
        <v>5018</v>
      </c>
      <c r="G710">
        <v>124</v>
      </c>
      <c r="H710" s="5">
        <v>3.7723899034745826E-3</v>
      </c>
      <c r="I710">
        <v>4</v>
      </c>
      <c r="J710" t="b">
        <f>AND(CCData[[#This Row],[Date]]&gt;=Calculation!$E$3,CCData[[#This Row],[Date]]&lt;Calculation!$E$3+7)</f>
        <v>0</v>
      </c>
    </row>
    <row r="711" spans="1:10">
      <c r="A711" t="s">
        <v>710</v>
      </c>
      <c r="B711" s="2">
        <v>42016.701000000001</v>
      </c>
      <c r="C711" s="3" t="s">
        <v>5009</v>
      </c>
      <c r="D711" t="s">
        <v>5014</v>
      </c>
      <c r="E711" t="s">
        <v>5018</v>
      </c>
      <c r="F711" t="s">
        <v>5018</v>
      </c>
      <c r="G711">
        <v>68</v>
      </c>
      <c r="H711" s="5">
        <v>3.2079632316000979E-3</v>
      </c>
      <c r="I711">
        <v>3</v>
      </c>
      <c r="J711" t="b">
        <f>AND(CCData[[#This Row],[Date]]&gt;=Calculation!$E$3,CCData[[#This Row],[Date]]&lt;Calculation!$E$3+7)</f>
        <v>0</v>
      </c>
    </row>
    <row r="712" spans="1:10">
      <c r="A712" t="s">
        <v>711</v>
      </c>
      <c r="B712" s="2">
        <v>42016.701999999997</v>
      </c>
      <c r="C712" s="3" t="s">
        <v>5010</v>
      </c>
      <c r="D712" t="s">
        <v>5013</v>
      </c>
      <c r="E712" t="s">
        <v>5018</v>
      </c>
      <c r="F712" t="s">
        <v>5019</v>
      </c>
      <c r="G712">
        <v>40</v>
      </c>
      <c r="H712" s="5">
        <v>3.1542658407198278E-3</v>
      </c>
      <c r="I712">
        <v>3</v>
      </c>
      <c r="J712" t="b">
        <f>AND(CCData[[#This Row],[Date]]&gt;=Calculation!$E$3,CCData[[#This Row],[Date]]&lt;Calculation!$E$3+7)</f>
        <v>0</v>
      </c>
    </row>
    <row r="713" spans="1:10">
      <c r="A713" t="s">
        <v>712</v>
      </c>
      <c r="B713" s="2">
        <v>42016.701999999997</v>
      </c>
      <c r="C713" s="3" t="s">
        <v>5005</v>
      </c>
      <c r="D713" t="s">
        <v>5014</v>
      </c>
      <c r="E713" t="s">
        <v>5018</v>
      </c>
      <c r="F713" t="s">
        <v>5018</v>
      </c>
      <c r="G713">
        <v>119</v>
      </c>
      <c r="H713" s="5">
        <v>1.798906846455774E-3</v>
      </c>
      <c r="I713">
        <v>4</v>
      </c>
      <c r="J713" t="b">
        <f>AND(CCData[[#This Row],[Date]]&gt;=Calculation!$E$3,CCData[[#This Row],[Date]]&lt;Calculation!$E$3+7)</f>
        <v>0</v>
      </c>
    </row>
    <row r="714" spans="1:10">
      <c r="A714" t="s">
        <v>713</v>
      </c>
      <c r="B714" s="2">
        <v>42016.703000000001</v>
      </c>
      <c r="C714" s="3" t="s">
        <v>5010</v>
      </c>
      <c r="D714" t="s">
        <v>5014</v>
      </c>
      <c r="E714" t="s">
        <v>5018</v>
      </c>
      <c r="F714" t="s">
        <v>5018</v>
      </c>
      <c r="G714">
        <v>42</v>
      </c>
      <c r="H714" s="5">
        <v>6.3325563491309085E-4</v>
      </c>
      <c r="I714">
        <v>1</v>
      </c>
      <c r="J714" t="b">
        <f>AND(CCData[[#This Row],[Date]]&gt;=Calculation!$E$3,CCData[[#This Row],[Date]]&lt;Calculation!$E$3+7)</f>
        <v>0</v>
      </c>
    </row>
    <row r="715" spans="1:10">
      <c r="A715" t="s">
        <v>714</v>
      </c>
      <c r="B715" s="2">
        <v>42016.703000000001</v>
      </c>
      <c r="C715" s="3" t="s">
        <v>5008</v>
      </c>
      <c r="D715" t="s">
        <v>5015</v>
      </c>
      <c r="E715" t="s">
        <v>5018</v>
      </c>
      <c r="F715" t="s">
        <v>5018</v>
      </c>
      <c r="G715">
        <v>30</v>
      </c>
      <c r="H715" s="5">
        <v>2.7167281490961407E-3</v>
      </c>
      <c r="I715">
        <v>4</v>
      </c>
      <c r="J715" t="b">
        <f>AND(CCData[[#This Row],[Date]]&gt;=Calculation!$E$3,CCData[[#This Row],[Date]]&lt;Calculation!$E$3+7)</f>
        <v>0</v>
      </c>
    </row>
    <row r="716" spans="1:10">
      <c r="A716" t="s">
        <v>715</v>
      </c>
      <c r="B716" s="2">
        <v>42016.713000000003</v>
      </c>
      <c r="C716" s="3" t="s">
        <v>5007</v>
      </c>
      <c r="D716" t="s">
        <v>5015</v>
      </c>
      <c r="E716" t="s">
        <v>5018</v>
      </c>
      <c r="F716" t="s">
        <v>5018</v>
      </c>
      <c r="G716">
        <v>79</v>
      </c>
      <c r="H716" s="5">
        <v>3.0252345844693045E-3</v>
      </c>
      <c r="I716">
        <v>4</v>
      </c>
      <c r="J716" t="b">
        <f>AND(CCData[[#This Row],[Date]]&gt;=Calculation!$E$3,CCData[[#This Row],[Date]]&lt;Calculation!$E$3+7)</f>
        <v>0</v>
      </c>
    </row>
    <row r="717" spans="1:10">
      <c r="A717" t="s">
        <v>716</v>
      </c>
      <c r="B717" s="2">
        <v>42016.713000000003</v>
      </c>
      <c r="C717" s="3" t="s">
        <v>5004</v>
      </c>
      <c r="D717" t="s">
        <v>5012</v>
      </c>
      <c r="E717" t="s">
        <v>5018</v>
      </c>
      <c r="F717" t="s">
        <v>5018</v>
      </c>
      <c r="G717">
        <v>44</v>
      </c>
      <c r="H717" s="5">
        <v>4.8194302089092462E-3</v>
      </c>
      <c r="I717">
        <v>1</v>
      </c>
      <c r="J717" t="b">
        <f>AND(CCData[[#This Row],[Date]]&gt;=Calculation!$E$3,CCData[[#This Row],[Date]]&lt;Calculation!$E$3+7)</f>
        <v>0</v>
      </c>
    </row>
    <row r="718" spans="1:10">
      <c r="A718" t="s">
        <v>717</v>
      </c>
      <c r="B718" s="2">
        <v>42016.75</v>
      </c>
      <c r="C718" s="3" t="s">
        <v>5007</v>
      </c>
      <c r="D718" t="s">
        <v>5016</v>
      </c>
      <c r="E718" t="s">
        <v>5018</v>
      </c>
      <c r="F718" t="s">
        <v>5018</v>
      </c>
      <c r="G718">
        <v>71</v>
      </c>
      <c r="H718" s="5">
        <v>1.389602006100574E-3</v>
      </c>
      <c r="I718">
        <v>3</v>
      </c>
      <c r="J718" t="b">
        <f>AND(CCData[[#This Row],[Date]]&gt;=Calculation!$E$3,CCData[[#This Row],[Date]]&lt;Calculation!$E$3+7)</f>
        <v>0</v>
      </c>
    </row>
    <row r="719" spans="1:10">
      <c r="A719" t="s">
        <v>718</v>
      </c>
      <c r="B719" s="2">
        <v>42016.75</v>
      </c>
      <c r="C719" s="3" t="s">
        <v>5006</v>
      </c>
      <c r="D719" t="s">
        <v>5016</v>
      </c>
      <c r="E719" t="s">
        <v>5019</v>
      </c>
      <c r="F719" t="s">
        <v>5019</v>
      </c>
      <c r="G719" t="s">
        <v>5022</v>
      </c>
      <c r="H719" s="5" t="s">
        <v>5022</v>
      </c>
      <c r="I719" t="s">
        <v>5022</v>
      </c>
      <c r="J719" t="b">
        <f>AND(CCData[[#This Row],[Date]]&gt;=Calculation!$E$3,CCData[[#This Row],[Date]]&lt;Calculation!$E$3+7)</f>
        <v>0</v>
      </c>
    </row>
    <row r="720" spans="1:10">
      <c r="A720" t="s">
        <v>719</v>
      </c>
      <c r="B720" s="2">
        <v>42017.39</v>
      </c>
      <c r="C720" s="3" t="s">
        <v>5008</v>
      </c>
      <c r="D720" t="s">
        <v>5015</v>
      </c>
      <c r="E720" t="s">
        <v>5018</v>
      </c>
      <c r="F720" t="s">
        <v>5018</v>
      </c>
      <c r="G720">
        <v>21</v>
      </c>
      <c r="H720" s="5">
        <v>4.4598415185662646E-3</v>
      </c>
      <c r="I720">
        <v>5</v>
      </c>
      <c r="J720" t="b">
        <f>AND(CCData[[#This Row],[Date]]&gt;=Calculation!$E$3,CCData[[#This Row],[Date]]&lt;Calculation!$E$3+7)</f>
        <v>0</v>
      </c>
    </row>
    <row r="721" spans="1:10">
      <c r="A721" t="s">
        <v>720</v>
      </c>
      <c r="B721" s="2">
        <v>42017.39</v>
      </c>
      <c r="C721" s="3" t="s">
        <v>5007</v>
      </c>
      <c r="D721" t="s">
        <v>5013</v>
      </c>
      <c r="E721" t="s">
        <v>5018</v>
      </c>
      <c r="F721" t="s">
        <v>5018</v>
      </c>
      <c r="G721">
        <v>122</v>
      </c>
      <c r="H721" s="5">
        <v>3.3350253786531966E-3</v>
      </c>
      <c r="I721">
        <v>4</v>
      </c>
      <c r="J721" t="b">
        <f>AND(CCData[[#This Row],[Date]]&gt;=Calculation!$E$3,CCData[[#This Row],[Date]]&lt;Calculation!$E$3+7)</f>
        <v>0</v>
      </c>
    </row>
    <row r="722" spans="1:10">
      <c r="A722" t="s">
        <v>721</v>
      </c>
      <c r="B722" s="2">
        <v>42017.406000000003</v>
      </c>
      <c r="C722" s="3" t="s">
        <v>5004</v>
      </c>
      <c r="D722" t="s">
        <v>5013</v>
      </c>
      <c r="E722" t="s">
        <v>5019</v>
      </c>
      <c r="F722" t="s">
        <v>5019</v>
      </c>
      <c r="G722" t="s">
        <v>5022</v>
      </c>
      <c r="H722" s="5" t="s">
        <v>5022</v>
      </c>
      <c r="I722" t="s">
        <v>5022</v>
      </c>
      <c r="J722" t="b">
        <f>AND(CCData[[#This Row],[Date]]&gt;=Calculation!$E$3,CCData[[#This Row],[Date]]&lt;Calculation!$E$3+7)</f>
        <v>0</v>
      </c>
    </row>
    <row r="723" spans="1:10">
      <c r="A723" t="s">
        <v>722</v>
      </c>
      <c r="B723" s="2">
        <v>42017.406000000003</v>
      </c>
      <c r="C723" s="3" t="s">
        <v>5004</v>
      </c>
      <c r="D723" t="s">
        <v>5015</v>
      </c>
      <c r="E723" t="s">
        <v>5018</v>
      </c>
      <c r="F723" t="s">
        <v>5018</v>
      </c>
      <c r="G723">
        <v>62</v>
      </c>
      <c r="H723" s="5">
        <v>1.6804214464835113E-3</v>
      </c>
      <c r="I723">
        <v>3</v>
      </c>
      <c r="J723" t="b">
        <f>AND(CCData[[#This Row],[Date]]&gt;=Calculation!$E$3,CCData[[#This Row],[Date]]&lt;Calculation!$E$3+7)</f>
        <v>0</v>
      </c>
    </row>
    <row r="724" spans="1:10">
      <c r="A724" t="s">
        <v>723</v>
      </c>
      <c r="B724" s="2">
        <v>42017.406999999999</v>
      </c>
      <c r="C724" s="3" t="s">
        <v>5005</v>
      </c>
      <c r="D724" t="s">
        <v>5012</v>
      </c>
      <c r="E724" t="s">
        <v>5018</v>
      </c>
      <c r="F724" t="s">
        <v>5019</v>
      </c>
      <c r="G724">
        <v>37</v>
      </c>
      <c r="H724" s="5">
        <v>1.8698686735912518E-3</v>
      </c>
      <c r="I724">
        <v>5</v>
      </c>
      <c r="J724" t="b">
        <f>AND(CCData[[#This Row],[Date]]&gt;=Calculation!$E$3,CCData[[#This Row],[Date]]&lt;Calculation!$E$3+7)</f>
        <v>0</v>
      </c>
    </row>
    <row r="725" spans="1:10">
      <c r="A725" t="s">
        <v>724</v>
      </c>
      <c r="B725" s="2">
        <v>42017.406999999999</v>
      </c>
      <c r="C725" s="3" t="s">
        <v>5003</v>
      </c>
      <c r="D725" t="s">
        <v>5012</v>
      </c>
      <c r="E725" t="s">
        <v>5018</v>
      </c>
      <c r="F725" t="s">
        <v>5018</v>
      </c>
      <c r="G725">
        <v>112</v>
      </c>
      <c r="H725" s="5">
        <v>4.8224334598808956E-3</v>
      </c>
      <c r="I725">
        <v>2</v>
      </c>
      <c r="J725" t="b">
        <f>AND(CCData[[#This Row],[Date]]&gt;=Calculation!$E$3,CCData[[#This Row],[Date]]&lt;Calculation!$E$3+7)</f>
        <v>0</v>
      </c>
    </row>
    <row r="726" spans="1:10">
      <c r="A726" t="s">
        <v>725</v>
      </c>
      <c r="B726" s="2">
        <v>42017.413999999997</v>
      </c>
      <c r="C726" s="3" t="s">
        <v>5007</v>
      </c>
      <c r="D726" t="s">
        <v>5012</v>
      </c>
      <c r="E726" t="s">
        <v>5018</v>
      </c>
      <c r="F726" t="s">
        <v>5018</v>
      </c>
      <c r="G726">
        <v>40</v>
      </c>
      <c r="H726" s="5">
        <v>2.3588700672313202E-3</v>
      </c>
      <c r="I726">
        <v>2</v>
      </c>
      <c r="J726" t="b">
        <f>AND(CCData[[#This Row],[Date]]&gt;=Calculation!$E$3,CCData[[#This Row],[Date]]&lt;Calculation!$E$3+7)</f>
        <v>0</v>
      </c>
    </row>
    <row r="727" spans="1:10">
      <c r="A727" t="s">
        <v>726</v>
      </c>
      <c r="B727" s="2">
        <v>42017.413999999997</v>
      </c>
      <c r="C727" s="3" t="s">
        <v>5008</v>
      </c>
      <c r="D727" t="s">
        <v>5016</v>
      </c>
      <c r="E727" t="s">
        <v>5018</v>
      </c>
      <c r="F727" t="s">
        <v>5019</v>
      </c>
      <c r="G727">
        <v>50</v>
      </c>
      <c r="H727" s="5">
        <v>1.3102404217906871E-3</v>
      </c>
      <c r="I727">
        <v>5</v>
      </c>
      <c r="J727" t="b">
        <f>AND(CCData[[#This Row],[Date]]&gt;=Calculation!$E$3,CCData[[#This Row],[Date]]&lt;Calculation!$E$3+7)</f>
        <v>0</v>
      </c>
    </row>
    <row r="728" spans="1:10">
      <c r="A728" t="s">
        <v>727</v>
      </c>
      <c r="B728" s="2">
        <v>42017.442999999999</v>
      </c>
      <c r="C728" s="3" t="s">
        <v>5010</v>
      </c>
      <c r="D728" t="s">
        <v>5016</v>
      </c>
      <c r="E728" t="s">
        <v>5018</v>
      </c>
      <c r="F728" t="s">
        <v>5018</v>
      </c>
      <c r="G728">
        <v>88</v>
      </c>
      <c r="H728" s="5">
        <v>2.8923208183867918E-3</v>
      </c>
      <c r="I728">
        <v>4</v>
      </c>
      <c r="J728" t="b">
        <f>AND(CCData[[#This Row],[Date]]&gt;=Calculation!$E$3,CCData[[#This Row],[Date]]&lt;Calculation!$E$3+7)</f>
        <v>0</v>
      </c>
    </row>
    <row r="729" spans="1:10">
      <c r="A729" t="s">
        <v>728</v>
      </c>
      <c r="B729" s="2">
        <v>42017.442999999999</v>
      </c>
      <c r="C729" s="3" t="s">
        <v>5010</v>
      </c>
      <c r="D729" t="s">
        <v>5015</v>
      </c>
      <c r="E729" t="s">
        <v>5018</v>
      </c>
      <c r="F729" t="s">
        <v>5018</v>
      </c>
      <c r="G729">
        <v>97</v>
      </c>
      <c r="H729" s="5">
        <v>6.0058291521867147E-4</v>
      </c>
      <c r="I729">
        <v>3</v>
      </c>
      <c r="J729" t="b">
        <f>AND(CCData[[#This Row],[Date]]&gt;=Calculation!$E$3,CCData[[#This Row],[Date]]&lt;Calculation!$E$3+7)</f>
        <v>0</v>
      </c>
    </row>
    <row r="730" spans="1:10">
      <c r="A730" t="s">
        <v>729</v>
      </c>
      <c r="B730" s="2">
        <v>42017.463000000003</v>
      </c>
      <c r="C730" s="3" t="s">
        <v>5003</v>
      </c>
      <c r="D730" t="s">
        <v>5014</v>
      </c>
      <c r="E730" t="s">
        <v>5019</v>
      </c>
      <c r="F730" t="s">
        <v>5019</v>
      </c>
      <c r="G730" t="s">
        <v>5022</v>
      </c>
      <c r="H730" s="5" t="s">
        <v>5022</v>
      </c>
      <c r="I730" t="s">
        <v>5022</v>
      </c>
      <c r="J730" t="b">
        <f>AND(CCData[[#This Row],[Date]]&gt;=Calculation!$E$3,CCData[[#This Row],[Date]]&lt;Calculation!$E$3+7)</f>
        <v>0</v>
      </c>
    </row>
    <row r="731" spans="1:10">
      <c r="A731" t="s">
        <v>730</v>
      </c>
      <c r="B731" s="2">
        <v>42017.463000000003</v>
      </c>
      <c r="C731" s="3" t="s">
        <v>5004</v>
      </c>
      <c r="D731" t="s">
        <v>5016</v>
      </c>
      <c r="E731" t="s">
        <v>5018</v>
      </c>
      <c r="F731" t="s">
        <v>5018</v>
      </c>
      <c r="G731">
        <v>110</v>
      </c>
      <c r="H731" s="5">
        <v>3.2736357724546328E-3</v>
      </c>
      <c r="I731">
        <v>4</v>
      </c>
      <c r="J731" t="b">
        <f>AND(CCData[[#This Row],[Date]]&gt;=Calculation!$E$3,CCData[[#This Row],[Date]]&lt;Calculation!$E$3+7)</f>
        <v>0</v>
      </c>
    </row>
    <row r="732" spans="1:10">
      <c r="A732" t="s">
        <v>731</v>
      </c>
      <c r="B732" s="2">
        <v>42017.464999999997</v>
      </c>
      <c r="C732" s="3" t="s">
        <v>5009</v>
      </c>
      <c r="D732" t="s">
        <v>5016</v>
      </c>
      <c r="E732" t="s">
        <v>5019</v>
      </c>
      <c r="F732" t="s">
        <v>5019</v>
      </c>
      <c r="G732" t="s">
        <v>5022</v>
      </c>
      <c r="H732" s="5" t="s">
        <v>5022</v>
      </c>
      <c r="I732" t="s">
        <v>5022</v>
      </c>
      <c r="J732" t="b">
        <f>AND(CCData[[#This Row],[Date]]&gt;=Calculation!$E$3,CCData[[#This Row],[Date]]&lt;Calculation!$E$3+7)</f>
        <v>0</v>
      </c>
    </row>
    <row r="733" spans="1:10">
      <c r="A733" t="s">
        <v>732</v>
      </c>
      <c r="B733" s="2">
        <v>42017.464999999997</v>
      </c>
      <c r="C733" s="3" t="s">
        <v>5007</v>
      </c>
      <c r="D733" t="s">
        <v>5013</v>
      </c>
      <c r="E733" t="s">
        <v>5018</v>
      </c>
      <c r="F733" t="s">
        <v>5018</v>
      </c>
      <c r="G733">
        <v>104</v>
      </c>
      <c r="H733" s="5">
        <v>2.3594648863541562E-3</v>
      </c>
      <c r="I733">
        <v>5</v>
      </c>
      <c r="J733" t="b">
        <f>AND(CCData[[#This Row],[Date]]&gt;=Calculation!$E$3,CCData[[#This Row],[Date]]&lt;Calculation!$E$3+7)</f>
        <v>0</v>
      </c>
    </row>
    <row r="734" spans="1:10">
      <c r="A734" t="s">
        <v>733</v>
      </c>
      <c r="B734" s="2">
        <v>42017.49</v>
      </c>
      <c r="C734" s="3" t="s">
        <v>5005</v>
      </c>
      <c r="D734" t="s">
        <v>5012</v>
      </c>
      <c r="E734" t="s">
        <v>5018</v>
      </c>
      <c r="F734" t="s">
        <v>5019</v>
      </c>
      <c r="G734">
        <v>79</v>
      </c>
      <c r="H734" s="5">
        <v>3.447115947907108E-3</v>
      </c>
      <c r="I734">
        <v>3</v>
      </c>
      <c r="J734" t="b">
        <f>AND(CCData[[#This Row],[Date]]&gt;=Calculation!$E$3,CCData[[#This Row],[Date]]&lt;Calculation!$E$3+7)</f>
        <v>0</v>
      </c>
    </row>
    <row r="735" spans="1:10">
      <c r="A735" t="s">
        <v>734</v>
      </c>
      <c r="B735" s="2">
        <v>42017.49</v>
      </c>
      <c r="C735" s="3" t="s">
        <v>5004</v>
      </c>
      <c r="D735" t="s">
        <v>5014</v>
      </c>
      <c r="E735" t="s">
        <v>5018</v>
      </c>
      <c r="F735" t="s">
        <v>5018</v>
      </c>
      <c r="G735">
        <v>70</v>
      </c>
      <c r="H735" s="5">
        <v>1.0577093372211948E-3</v>
      </c>
      <c r="I735">
        <v>3</v>
      </c>
      <c r="J735" t="b">
        <f>AND(CCData[[#This Row],[Date]]&gt;=Calculation!$E$3,CCData[[#This Row],[Date]]&lt;Calculation!$E$3+7)</f>
        <v>0</v>
      </c>
    </row>
    <row r="736" spans="1:10">
      <c r="A736" t="s">
        <v>735</v>
      </c>
      <c r="B736" s="2">
        <v>42017.495999999999</v>
      </c>
      <c r="C736" s="3" t="s">
        <v>5006</v>
      </c>
      <c r="D736" t="s">
        <v>5015</v>
      </c>
      <c r="E736" t="s">
        <v>5019</v>
      </c>
      <c r="F736" t="s">
        <v>5019</v>
      </c>
      <c r="G736" t="s">
        <v>5022</v>
      </c>
      <c r="H736" s="5" t="s">
        <v>5022</v>
      </c>
      <c r="I736" t="s">
        <v>5022</v>
      </c>
      <c r="J736" t="b">
        <f>AND(CCData[[#This Row],[Date]]&gt;=Calculation!$E$3,CCData[[#This Row],[Date]]&lt;Calculation!$E$3+7)</f>
        <v>0</v>
      </c>
    </row>
    <row r="737" spans="1:10">
      <c r="A737" t="s">
        <v>736</v>
      </c>
      <c r="B737" s="2">
        <v>42017.495999999999</v>
      </c>
      <c r="C737" s="3" t="s">
        <v>5008</v>
      </c>
      <c r="D737" t="s">
        <v>5016</v>
      </c>
      <c r="E737" t="s">
        <v>5018</v>
      </c>
      <c r="F737" t="s">
        <v>5018</v>
      </c>
      <c r="G737">
        <v>70</v>
      </c>
      <c r="H737" s="5">
        <v>3.9235981918212919E-3</v>
      </c>
      <c r="I737">
        <v>1</v>
      </c>
      <c r="J737" t="b">
        <f>AND(CCData[[#This Row],[Date]]&gt;=Calculation!$E$3,CCData[[#This Row],[Date]]&lt;Calculation!$E$3+7)</f>
        <v>0</v>
      </c>
    </row>
    <row r="738" spans="1:10">
      <c r="A738" t="s">
        <v>737</v>
      </c>
      <c r="B738" s="2">
        <v>42017.521999999997</v>
      </c>
      <c r="C738" s="3" t="s">
        <v>5009</v>
      </c>
      <c r="D738" t="s">
        <v>5012</v>
      </c>
      <c r="E738" t="s">
        <v>5018</v>
      </c>
      <c r="F738" t="s">
        <v>5018</v>
      </c>
      <c r="G738">
        <v>33</v>
      </c>
      <c r="H738" s="5">
        <v>5.9776092995659233E-4</v>
      </c>
      <c r="I738">
        <v>3</v>
      </c>
      <c r="J738" t="b">
        <f>AND(CCData[[#This Row],[Date]]&gt;=Calculation!$E$3,CCData[[#This Row],[Date]]&lt;Calculation!$E$3+7)</f>
        <v>0</v>
      </c>
    </row>
    <row r="739" spans="1:10">
      <c r="A739" t="s">
        <v>738</v>
      </c>
      <c r="B739" s="2">
        <v>42017.521999999997</v>
      </c>
      <c r="C739" s="3" t="s">
        <v>5008</v>
      </c>
      <c r="D739" t="s">
        <v>5014</v>
      </c>
      <c r="E739" t="s">
        <v>5018</v>
      </c>
      <c r="F739" t="s">
        <v>5018</v>
      </c>
      <c r="G739">
        <v>124</v>
      </c>
      <c r="H739" s="5">
        <v>6.3035755686775027E-4</v>
      </c>
      <c r="I739">
        <v>4</v>
      </c>
      <c r="J739" t="b">
        <f>AND(CCData[[#This Row],[Date]]&gt;=Calculation!$E$3,CCData[[#This Row],[Date]]&lt;Calculation!$E$3+7)</f>
        <v>0</v>
      </c>
    </row>
    <row r="740" spans="1:10">
      <c r="A740" t="s">
        <v>739</v>
      </c>
      <c r="B740" s="2">
        <v>42017.525999999998</v>
      </c>
      <c r="C740" s="3" t="s">
        <v>5003</v>
      </c>
      <c r="D740" t="s">
        <v>5014</v>
      </c>
      <c r="E740" t="s">
        <v>5018</v>
      </c>
      <c r="F740" t="s">
        <v>5018</v>
      </c>
      <c r="G740">
        <v>77</v>
      </c>
      <c r="H740" s="5">
        <v>1.4352282960087999E-3</v>
      </c>
      <c r="I740">
        <v>3</v>
      </c>
      <c r="J740" t="b">
        <f>AND(CCData[[#This Row],[Date]]&gt;=Calculation!$E$3,CCData[[#This Row],[Date]]&lt;Calculation!$E$3+7)</f>
        <v>0</v>
      </c>
    </row>
    <row r="741" spans="1:10">
      <c r="A741" t="s">
        <v>740</v>
      </c>
      <c r="B741" s="2">
        <v>42017.525999999998</v>
      </c>
      <c r="C741" s="3" t="s">
        <v>5010</v>
      </c>
      <c r="D741" t="s">
        <v>5016</v>
      </c>
      <c r="E741" t="s">
        <v>5018</v>
      </c>
      <c r="F741" t="s">
        <v>5018</v>
      </c>
      <c r="G741">
        <v>33</v>
      </c>
      <c r="H741" s="5">
        <v>4.4139371393250235E-3</v>
      </c>
      <c r="I741">
        <v>3</v>
      </c>
      <c r="J741" t="b">
        <f>AND(CCData[[#This Row],[Date]]&gt;=Calculation!$E$3,CCData[[#This Row],[Date]]&lt;Calculation!$E$3+7)</f>
        <v>0</v>
      </c>
    </row>
    <row r="742" spans="1:10">
      <c r="A742" t="s">
        <v>741</v>
      </c>
      <c r="B742" s="2">
        <v>42017.527999999998</v>
      </c>
      <c r="C742" s="3" t="s">
        <v>5007</v>
      </c>
      <c r="D742" t="s">
        <v>5012</v>
      </c>
      <c r="E742" t="s">
        <v>5018</v>
      </c>
      <c r="F742" t="s">
        <v>5018</v>
      </c>
      <c r="G742">
        <v>96</v>
      </c>
      <c r="H742" s="5">
        <v>7.7163045083974784E-4</v>
      </c>
      <c r="I742">
        <v>5</v>
      </c>
      <c r="J742" t="b">
        <f>AND(CCData[[#This Row],[Date]]&gt;=Calculation!$E$3,CCData[[#This Row],[Date]]&lt;Calculation!$E$3+7)</f>
        <v>0</v>
      </c>
    </row>
    <row r="743" spans="1:10">
      <c r="A743" t="s">
        <v>742</v>
      </c>
      <c r="B743" s="2">
        <v>42017.527999999998</v>
      </c>
      <c r="C743" s="3" t="s">
        <v>5004</v>
      </c>
      <c r="D743" t="s">
        <v>5016</v>
      </c>
      <c r="E743" t="s">
        <v>5019</v>
      </c>
      <c r="F743" t="s">
        <v>5019</v>
      </c>
      <c r="G743" t="s">
        <v>5022</v>
      </c>
      <c r="H743" s="5" t="s">
        <v>5022</v>
      </c>
      <c r="I743" t="s">
        <v>5022</v>
      </c>
      <c r="J743" t="b">
        <f>AND(CCData[[#This Row],[Date]]&gt;=Calculation!$E$3,CCData[[#This Row],[Date]]&lt;Calculation!$E$3+7)</f>
        <v>0</v>
      </c>
    </row>
    <row r="744" spans="1:10">
      <c r="A744" t="s">
        <v>743</v>
      </c>
      <c r="B744" s="2">
        <v>42017.584999999999</v>
      </c>
      <c r="C744" s="3" t="s">
        <v>5008</v>
      </c>
      <c r="D744" t="s">
        <v>5014</v>
      </c>
      <c r="E744" t="s">
        <v>5018</v>
      </c>
      <c r="F744" t="s">
        <v>5018</v>
      </c>
      <c r="G744">
        <v>69</v>
      </c>
      <c r="H744" s="5">
        <v>2.6377874919327128E-3</v>
      </c>
      <c r="I744">
        <v>5</v>
      </c>
      <c r="J744" t="b">
        <f>AND(CCData[[#This Row],[Date]]&gt;=Calculation!$E$3,CCData[[#This Row],[Date]]&lt;Calculation!$E$3+7)</f>
        <v>0</v>
      </c>
    </row>
    <row r="745" spans="1:10">
      <c r="A745" t="s">
        <v>744</v>
      </c>
      <c r="B745" s="2">
        <v>42017.584999999999</v>
      </c>
      <c r="C745" s="3" t="s">
        <v>5010</v>
      </c>
      <c r="D745" t="s">
        <v>5015</v>
      </c>
      <c r="E745" t="s">
        <v>5018</v>
      </c>
      <c r="F745" t="s">
        <v>5018</v>
      </c>
      <c r="G745">
        <v>58</v>
      </c>
      <c r="H745" s="5">
        <v>4.5350241269900811E-3</v>
      </c>
      <c r="I745">
        <v>4</v>
      </c>
      <c r="J745" t="b">
        <f>AND(CCData[[#This Row],[Date]]&gt;=Calculation!$E$3,CCData[[#This Row],[Date]]&lt;Calculation!$E$3+7)</f>
        <v>0</v>
      </c>
    </row>
    <row r="746" spans="1:10">
      <c r="A746" t="s">
        <v>745</v>
      </c>
      <c r="B746" s="2">
        <v>42017.601999999999</v>
      </c>
      <c r="C746" s="3" t="s">
        <v>5009</v>
      </c>
      <c r="D746" t="s">
        <v>5015</v>
      </c>
      <c r="E746" t="s">
        <v>5018</v>
      </c>
      <c r="F746" t="s">
        <v>5019</v>
      </c>
      <c r="G746">
        <v>112</v>
      </c>
      <c r="H746" s="5">
        <v>4.5879500688347574E-4</v>
      </c>
      <c r="I746">
        <v>3</v>
      </c>
      <c r="J746" t="b">
        <f>AND(CCData[[#This Row],[Date]]&gt;=Calculation!$E$3,CCData[[#This Row],[Date]]&lt;Calculation!$E$3+7)</f>
        <v>0</v>
      </c>
    </row>
    <row r="747" spans="1:10">
      <c r="A747" t="s">
        <v>746</v>
      </c>
      <c r="B747" s="2">
        <v>42017.601999999999</v>
      </c>
      <c r="C747" s="3" t="s">
        <v>5007</v>
      </c>
      <c r="D747" t="s">
        <v>5013</v>
      </c>
      <c r="E747" t="s">
        <v>5018</v>
      </c>
      <c r="F747" t="s">
        <v>5018</v>
      </c>
      <c r="G747">
        <v>61</v>
      </c>
      <c r="H747" s="5">
        <v>3.0458041073351955E-3</v>
      </c>
      <c r="I747">
        <v>3</v>
      </c>
      <c r="J747" t="b">
        <f>AND(CCData[[#This Row],[Date]]&gt;=Calculation!$E$3,CCData[[#This Row],[Date]]&lt;Calculation!$E$3+7)</f>
        <v>0</v>
      </c>
    </row>
    <row r="748" spans="1:10">
      <c r="A748" t="s">
        <v>747</v>
      </c>
      <c r="B748" s="2">
        <v>42017.616999999998</v>
      </c>
      <c r="C748" s="3" t="s">
        <v>5010</v>
      </c>
      <c r="D748" t="s">
        <v>5015</v>
      </c>
      <c r="E748" t="s">
        <v>5018</v>
      </c>
      <c r="F748" t="s">
        <v>5018</v>
      </c>
      <c r="G748">
        <v>89</v>
      </c>
      <c r="H748" s="5">
        <v>2.2168481532814101E-3</v>
      </c>
      <c r="I748">
        <v>3</v>
      </c>
      <c r="J748" t="b">
        <f>AND(CCData[[#This Row],[Date]]&gt;=Calculation!$E$3,CCData[[#This Row],[Date]]&lt;Calculation!$E$3+7)</f>
        <v>0</v>
      </c>
    </row>
    <row r="749" spans="1:10">
      <c r="A749" t="s">
        <v>748</v>
      </c>
      <c r="B749" s="2">
        <v>42017.616999999998</v>
      </c>
      <c r="C749" s="3" t="s">
        <v>5004</v>
      </c>
      <c r="D749" t="s">
        <v>5014</v>
      </c>
      <c r="E749" t="s">
        <v>5018</v>
      </c>
      <c r="F749" t="s">
        <v>5018</v>
      </c>
      <c r="G749">
        <v>84</v>
      </c>
      <c r="H749" s="5">
        <v>2.2241349922050959E-3</v>
      </c>
      <c r="I749">
        <v>5</v>
      </c>
      <c r="J749" t="b">
        <f>AND(CCData[[#This Row],[Date]]&gt;=Calculation!$E$3,CCData[[#This Row],[Date]]&lt;Calculation!$E$3+7)</f>
        <v>0</v>
      </c>
    </row>
    <row r="750" spans="1:10">
      <c r="A750" t="s">
        <v>749</v>
      </c>
      <c r="B750" s="2">
        <v>42017.635000000002</v>
      </c>
      <c r="C750" s="3" t="s">
        <v>5003</v>
      </c>
      <c r="D750" t="s">
        <v>5013</v>
      </c>
      <c r="E750" t="s">
        <v>5018</v>
      </c>
      <c r="F750" t="s">
        <v>5018</v>
      </c>
      <c r="G750">
        <v>53</v>
      </c>
      <c r="H750" s="5">
        <v>2.4969864037839283E-3</v>
      </c>
      <c r="I750">
        <v>3</v>
      </c>
      <c r="J750" t="b">
        <f>AND(CCData[[#This Row],[Date]]&gt;=Calculation!$E$3,CCData[[#This Row],[Date]]&lt;Calculation!$E$3+7)</f>
        <v>0</v>
      </c>
    </row>
    <row r="751" spans="1:10">
      <c r="A751" t="s">
        <v>750</v>
      </c>
      <c r="B751" s="2">
        <v>42017.635000000002</v>
      </c>
      <c r="C751" s="3" t="s">
        <v>5004</v>
      </c>
      <c r="D751" t="s">
        <v>5016</v>
      </c>
      <c r="E751" t="s">
        <v>5018</v>
      </c>
      <c r="F751" t="s">
        <v>5018</v>
      </c>
      <c r="G751">
        <v>73</v>
      </c>
      <c r="H751" s="5">
        <v>1.0823915668287352E-3</v>
      </c>
      <c r="I751">
        <v>3</v>
      </c>
      <c r="J751" t="b">
        <f>AND(CCData[[#This Row],[Date]]&gt;=Calculation!$E$3,CCData[[#This Row],[Date]]&lt;Calculation!$E$3+7)</f>
        <v>0</v>
      </c>
    </row>
    <row r="752" spans="1:10">
      <c r="A752" t="s">
        <v>751</v>
      </c>
      <c r="B752" s="2">
        <v>42017.644</v>
      </c>
      <c r="C752" s="3" t="s">
        <v>5005</v>
      </c>
      <c r="D752" t="s">
        <v>5012</v>
      </c>
      <c r="E752" t="s">
        <v>5018</v>
      </c>
      <c r="F752" t="s">
        <v>5018</v>
      </c>
      <c r="G752">
        <v>12</v>
      </c>
      <c r="H752" s="5">
        <v>1.5117060135334294E-3</v>
      </c>
      <c r="I752">
        <v>2</v>
      </c>
      <c r="J752" t="b">
        <f>AND(CCData[[#This Row],[Date]]&gt;=Calculation!$E$3,CCData[[#This Row],[Date]]&lt;Calculation!$E$3+7)</f>
        <v>0</v>
      </c>
    </row>
    <row r="753" spans="1:10">
      <c r="A753" t="s">
        <v>752</v>
      </c>
      <c r="B753" s="2">
        <v>42017.644</v>
      </c>
      <c r="C753" s="3" t="s">
        <v>5009</v>
      </c>
      <c r="D753" t="s">
        <v>5015</v>
      </c>
      <c r="E753" t="s">
        <v>5018</v>
      </c>
      <c r="F753" t="s">
        <v>5018</v>
      </c>
      <c r="G753">
        <v>90</v>
      </c>
      <c r="H753" s="5">
        <v>4.5332759348754702E-3</v>
      </c>
      <c r="I753">
        <v>4</v>
      </c>
      <c r="J753" t="b">
        <f>AND(CCData[[#This Row],[Date]]&gt;=Calculation!$E$3,CCData[[#This Row],[Date]]&lt;Calculation!$E$3+7)</f>
        <v>0</v>
      </c>
    </row>
    <row r="754" spans="1:10">
      <c r="A754" t="s">
        <v>753</v>
      </c>
      <c r="B754" s="2">
        <v>42017.648999999998</v>
      </c>
      <c r="C754" s="3" t="s">
        <v>5005</v>
      </c>
      <c r="D754" t="s">
        <v>5013</v>
      </c>
      <c r="E754" t="s">
        <v>5019</v>
      </c>
      <c r="F754" t="s">
        <v>5019</v>
      </c>
      <c r="G754" t="s">
        <v>5022</v>
      </c>
      <c r="H754" s="5" t="s">
        <v>5022</v>
      </c>
      <c r="I754" t="s">
        <v>5022</v>
      </c>
      <c r="J754" t="b">
        <f>AND(CCData[[#This Row],[Date]]&gt;=Calculation!$E$3,CCData[[#This Row],[Date]]&lt;Calculation!$E$3+7)</f>
        <v>0</v>
      </c>
    </row>
    <row r="755" spans="1:10">
      <c r="A755" t="s">
        <v>754</v>
      </c>
      <c r="B755" s="2">
        <v>42017.648999999998</v>
      </c>
      <c r="C755" s="3" t="s">
        <v>5010</v>
      </c>
      <c r="D755" t="s">
        <v>5013</v>
      </c>
      <c r="E755" t="s">
        <v>5018</v>
      </c>
      <c r="F755" t="s">
        <v>5018</v>
      </c>
      <c r="G755">
        <v>23</v>
      </c>
      <c r="H755" s="5">
        <v>2.9309723629489413E-3</v>
      </c>
      <c r="I755">
        <v>5</v>
      </c>
      <c r="J755" t="b">
        <f>AND(CCData[[#This Row],[Date]]&gt;=Calculation!$E$3,CCData[[#This Row],[Date]]&lt;Calculation!$E$3+7)</f>
        <v>0</v>
      </c>
    </row>
    <row r="756" spans="1:10">
      <c r="A756" t="s">
        <v>755</v>
      </c>
      <c r="B756" s="2">
        <v>42017.652999999998</v>
      </c>
      <c r="C756" s="3" t="s">
        <v>5006</v>
      </c>
      <c r="D756" t="s">
        <v>5015</v>
      </c>
      <c r="E756" t="s">
        <v>5018</v>
      </c>
      <c r="F756" t="s">
        <v>5018</v>
      </c>
      <c r="G756">
        <v>98</v>
      </c>
      <c r="H756" s="5">
        <v>3.5632435419007467E-3</v>
      </c>
      <c r="I756">
        <v>5</v>
      </c>
      <c r="J756" t="b">
        <f>AND(CCData[[#This Row],[Date]]&gt;=Calculation!$E$3,CCData[[#This Row],[Date]]&lt;Calculation!$E$3+7)</f>
        <v>0</v>
      </c>
    </row>
    <row r="757" spans="1:10">
      <c r="A757" t="s">
        <v>756</v>
      </c>
      <c r="B757" s="2">
        <v>42017.652999999998</v>
      </c>
      <c r="C757" s="3" t="s">
        <v>5003</v>
      </c>
      <c r="D757" t="s">
        <v>5012</v>
      </c>
      <c r="E757" t="s">
        <v>5018</v>
      </c>
      <c r="F757" t="s">
        <v>5018</v>
      </c>
      <c r="G757">
        <v>28</v>
      </c>
      <c r="H757" s="5">
        <v>7.3069971006575187E-4</v>
      </c>
      <c r="I757">
        <v>2</v>
      </c>
      <c r="J757" t="b">
        <f>AND(CCData[[#This Row],[Date]]&gt;=Calculation!$E$3,CCData[[#This Row],[Date]]&lt;Calculation!$E$3+7)</f>
        <v>0</v>
      </c>
    </row>
    <row r="758" spans="1:10">
      <c r="A758" t="s">
        <v>757</v>
      </c>
      <c r="B758" s="2">
        <v>42017.749000000003</v>
      </c>
      <c r="C758" s="3" t="s">
        <v>5003</v>
      </c>
      <c r="D758" t="s">
        <v>5013</v>
      </c>
      <c r="E758" t="s">
        <v>5018</v>
      </c>
      <c r="F758" t="s">
        <v>5018</v>
      </c>
      <c r="G758">
        <v>123</v>
      </c>
      <c r="H758" s="5">
        <v>3.1023467704347526E-3</v>
      </c>
      <c r="I758">
        <v>3</v>
      </c>
      <c r="J758" t="b">
        <f>AND(CCData[[#This Row],[Date]]&gt;=Calculation!$E$3,CCData[[#This Row],[Date]]&lt;Calculation!$E$3+7)</f>
        <v>0</v>
      </c>
    </row>
    <row r="759" spans="1:10">
      <c r="A759" t="s">
        <v>758</v>
      </c>
      <c r="B759" s="2">
        <v>42017.749000000003</v>
      </c>
      <c r="C759" s="3" t="s">
        <v>5004</v>
      </c>
      <c r="D759" t="s">
        <v>5012</v>
      </c>
      <c r="E759" t="s">
        <v>5018</v>
      </c>
      <c r="F759" t="s">
        <v>5018</v>
      </c>
      <c r="G759">
        <v>82</v>
      </c>
      <c r="H759" s="5">
        <v>1.7403282747817837E-3</v>
      </c>
      <c r="I759">
        <v>5</v>
      </c>
      <c r="J759" t="b">
        <f>AND(CCData[[#This Row],[Date]]&gt;=Calculation!$E$3,CCData[[#This Row],[Date]]&lt;Calculation!$E$3+7)</f>
        <v>0</v>
      </c>
    </row>
    <row r="760" spans="1:10">
      <c r="A760" t="s">
        <v>759</v>
      </c>
      <c r="B760" s="2">
        <v>42018.377</v>
      </c>
      <c r="C760" s="3" t="s">
        <v>5009</v>
      </c>
      <c r="D760" t="s">
        <v>5013</v>
      </c>
      <c r="E760" t="s">
        <v>5018</v>
      </c>
      <c r="F760" t="s">
        <v>5018</v>
      </c>
      <c r="G760">
        <v>57</v>
      </c>
      <c r="H760" s="5">
        <v>3.3388292410679067E-3</v>
      </c>
      <c r="I760">
        <v>4</v>
      </c>
      <c r="J760" t="b">
        <f>AND(CCData[[#This Row],[Date]]&gt;=Calculation!$E$3,CCData[[#This Row],[Date]]&lt;Calculation!$E$3+7)</f>
        <v>0</v>
      </c>
    </row>
    <row r="761" spans="1:10">
      <c r="A761" t="s">
        <v>760</v>
      </c>
      <c r="B761" s="2">
        <v>42018.377</v>
      </c>
      <c r="C761" s="3" t="s">
        <v>5005</v>
      </c>
      <c r="D761" t="s">
        <v>5016</v>
      </c>
      <c r="E761" t="s">
        <v>5018</v>
      </c>
      <c r="F761" t="s">
        <v>5018</v>
      </c>
      <c r="G761">
        <v>14</v>
      </c>
      <c r="H761" s="5">
        <v>8.1608072915975109E-4</v>
      </c>
      <c r="I761">
        <v>5</v>
      </c>
      <c r="J761" t="b">
        <f>AND(CCData[[#This Row],[Date]]&gt;=Calculation!$E$3,CCData[[#This Row],[Date]]&lt;Calculation!$E$3+7)</f>
        <v>0</v>
      </c>
    </row>
    <row r="762" spans="1:10">
      <c r="A762" t="s">
        <v>761</v>
      </c>
      <c r="B762" s="2">
        <v>42018.385000000002</v>
      </c>
      <c r="C762" s="3" t="s">
        <v>5008</v>
      </c>
      <c r="D762" t="s">
        <v>5013</v>
      </c>
      <c r="E762" t="s">
        <v>5018</v>
      </c>
      <c r="F762" t="s">
        <v>5018</v>
      </c>
      <c r="G762">
        <v>114</v>
      </c>
      <c r="H762" s="5">
        <v>4.3362277066068912E-4</v>
      </c>
      <c r="I762">
        <v>4</v>
      </c>
      <c r="J762" t="b">
        <f>AND(CCData[[#This Row],[Date]]&gt;=Calculation!$E$3,CCData[[#This Row],[Date]]&lt;Calculation!$E$3+7)</f>
        <v>0</v>
      </c>
    </row>
    <row r="763" spans="1:10">
      <c r="A763" t="s">
        <v>762</v>
      </c>
      <c r="B763" s="2">
        <v>42018.385000000002</v>
      </c>
      <c r="C763" s="3" t="s">
        <v>5007</v>
      </c>
      <c r="D763" t="s">
        <v>5014</v>
      </c>
      <c r="E763" t="s">
        <v>5018</v>
      </c>
      <c r="F763" t="s">
        <v>5018</v>
      </c>
      <c r="G763">
        <v>53</v>
      </c>
      <c r="H763" s="5">
        <v>3.0170538973595803E-3</v>
      </c>
      <c r="I763">
        <v>5</v>
      </c>
      <c r="J763" t="b">
        <f>AND(CCData[[#This Row],[Date]]&gt;=Calculation!$E$3,CCData[[#This Row],[Date]]&lt;Calculation!$E$3+7)</f>
        <v>0</v>
      </c>
    </row>
    <row r="764" spans="1:10">
      <c r="A764" t="s">
        <v>763</v>
      </c>
      <c r="B764" s="2">
        <v>42018.387000000002</v>
      </c>
      <c r="C764" s="3" t="s">
        <v>5007</v>
      </c>
      <c r="D764" t="s">
        <v>5013</v>
      </c>
      <c r="E764" t="s">
        <v>5019</v>
      </c>
      <c r="F764" t="s">
        <v>5019</v>
      </c>
      <c r="G764" t="s">
        <v>5022</v>
      </c>
      <c r="H764" s="5" t="s">
        <v>5022</v>
      </c>
      <c r="I764" t="s">
        <v>5022</v>
      </c>
      <c r="J764" t="b">
        <f>AND(CCData[[#This Row],[Date]]&gt;=Calculation!$E$3,CCData[[#This Row],[Date]]&lt;Calculation!$E$3+7)</f>
        <v>0</v>
      </c>
    </row>
    <row r="765" spans="1:10">
      <c r="A765" t="s">
        <v>764</v>
      </c>
      <c r="B765" s="2">
        <v>42018.387000000002</v>
      </c>
      <c r="C765" s="3" t="s">
        <v>5010</v>
      </c>
      <c r="D765" t="s">
        <v>5013</v>
      </c>
      <c r="E765" t="s">
        <v>5018</v>
      </c>
      <c r="F765" t="s">
        <v>5018</v>
      </c>
      <c r="G765">
        <v>25</v>
      </c>
      <c r="H765" s="5">
        <v>3.1621584878042661E-3</v>
      </c>
      <c r="I765">
        <v>4</v>
      </c>
      <c r="J765" t="b">
        <f>AND(CCData[[#This Row],[Date]]&gt;=Calculation!$E$3,CCData[[#This Row],[Date]]&lt;Calculation!$E$3+7)</f>
        <v>0</v>
      </c>
    </row>
    <row r="766" spans="1:10">
      <c r="A766" t="s">
        <v>765</v>
      </c>
      <c r="B766" s="2">
        <v>42018.392</v>
      </c>
      <c r="C766" s="3" t="s">
        <v>5006</v>
      </c>
      <c r="D766" t="s">
        <v>5015</v>
      </c>
      <c r="E766" t="s">
        <v>5018</v>
      </c>
      <c r="F766" t="s">
        <v>5018</v>
      </c>
      <c r="G766">
        <v>86</v>
      </c>
      <c r="H766" s="5">
        <v>2.3175690134387135E-3</v>
      </c>
      <c r="I766">
        <v>2</v>
      </c>
      <c r="J766" t="b">
        <f>AND(CCData[[#This Row],[Date]]&gt;=Calculation!$E$3,CCData[[#This Row],[Date]]&lt;Calculation!$E$3+7)</f>
        <v>0</v>
      </c>
    </row>
    <row r="767" spans="1:10">
      <c r="A767" t="s">
        <v>766</v>
      </c>
      <c r="B767" s="2">
        <v>42018.392</v>
      </c>
      <c r="C767" s="3" t="s">
        <v>5007</v>
      </c>
      <c r="D767" t="s">
        <v>5014</v>
      </c>
      <c r="E767" t="s">
        <v>5018</v>
      </c>
      <c r="F767" t="s">
        <v>5018</v>
      </c>
      <c r="G767">
        <v>51</v>
      </c>
      <c r="H767" s="5">
        <v>1.4813041360422438E-3</v>
      </c>
      <c r="I767">
        <v>4</v>
      </c>
      <c r="J767" t="b">
        <f>AND(CCData[[#This Row],[Date]]&gt;=Calculation!$E$3,CCData[[#This Row],[Date]]&lt;Calculation!$E$3+7)</f>
        <v>0</v>
      </c>
    </row>
    <row r="768" spans="1:10">
      <c r="A768" t="s">
        <v>767</v>
      </c>
      <c r="B768" s="2">
        <v>42018.417999999998</v>
      </c>
      <c r="C768" s="3" t="s">
        <v>5005</v>
      </c>
      <c r="D768" t="s">
        <v>5013</v>
      </c>
      <c r="E768" t="s">
        <v>5018</v>
      </c>
      <c r="F768" t="s">
        <v>5018</v>
      </c>
      <c r="G768">
        <v>31</v>
      </c>
      <c r="H768" s="5">
        <v>6.4816124967558724E-4</v>
      </c>
      <c r="I768">
        <v>4</v>
      </c>
      <c r="J768" t="b">
        <f>AND(CCData[[#This Row],[Date]]&gt;=Calculation!$E$3,CCData[[#This Row],[Date]]&lt;Calculation!$E$3+7)</f>
        <v>0</v>
      </c>
    </row>
    <row r="769" spans="1:10">
      <c r="A769" t="s">
        <v>768</v>
      </c>
      <c r="B769" s="2">
        <v>42018.417999999998</v>
      </c>
      <c r="C769" s="3" t="s">
        <v>5010</v>
      </c>
      <c r="D769" t="s">
        <v>5016</v>
      </c>
      <c r="E769" t="s">
        <v>5019</v>
      </c>
      <c r="F769" t="s">
        <v>5019</v>
      </c>
      <c r="G769" t="s">
        <v>5022</v>
      </c>
      <c r="H769" s="5" t="s">
        <v>5022</v>
      </c>
      <c r="I769" t="s">
        <v>5022</v>
      </c>
      <c r="J769" t="b">
        <f>AND(CCData[[#This Row],[Date]]&gt;=Calculation!$E$3,CCData[[#This Row],[Date]]&lt;Calculation!$E$3+7)</f>
        <v>0</v>
      </c>
    </row>
    <row r="770" spans="1:10">
      <c r="A770" t="s">
        <v>769</v>
      </c>
      <c r="B770" s="2">
        <v>42018.453999999998</v>
      </c>
      <c r="C770" s="3" t="s">
        <v>5009</v>
      </c>
      <c r="D770" t="s">
        <v>5014</v>
      </c>
      <c r="E770" t="s">
        <v>5018</v>
      </c>
      <c r="F770" t="s">
        <v>5018</v>
      </c>
      <c r="G770">
        <v>124</v>
      </c>
      <c r="H770" s="5">
        <v>3.5222416587895144E-3</v>
      </c>
      <c r="I770">
        <v>4</v>
      </c>
      <c r="J770" t="b">
        <f>AND(CCData[[#This Row],[Date]]&gt;=Calculation!$E$3,CCData[[#This Row],[Date]]&lt;Calculation!$E$3+7)</f>
        <v>0</v>
      </c>
    </row>
    <row r="771" spans="1:10">
      <c r="A771" t="s">
        <v>770</v>
      </c>
      <c r="B771" s="2">
        <v>42018.453999999998</v>
      </c>
      <c r="C771" s="3" t="s">
        <v>5007</v>
      </c>
      <c r="D771" t="s">
        <v>5016</v>
      </c>
      <c r="E771" t="s">
        <v>5018</v>
      </c>
      <c r="F771" t="s">
        <v>5018</v>
      </c>
      <c r="G771">
        <v>116</v>
      </c>
      <c r="H771" s="5">
        <v>4.7171154046900393E-3</v>
      </c>
      <c r="I771">
        <v>2</v>
      </c>
      <c r="J771" t="b">
        <f>AND(CCData[[#This Row],[Date]]&gt;=Calculation!$E$3,CCData[[#This Row],[Date]]&lt;Calculation!$E$3+7)</f>
        <v>0</v>
      </c>
    </row>
    <row r="772" spans="1:10">
      <c r="A772" t="s">
        <v>771</v>
      </c>
      <c r="B772" s="2">
        <v>42018.472000000002</v>
      </c>
      <c r="C772" s="3" t="s">
        <v>5004</v>
      </c>
      <c r="D772" t="s">
        <v>5012</v>
      </c>
      <c r="E772" t="s">
        <v>5018</v>
      </c>
      <c r="F772" t="s">
        <v>5018</v>
      </c>
      <c r="G772">
        <v>41</v>
      </c>
      <c r="H772" s="5">
        <v>2.8137618860554362E-3</v>
      </c>
      <c r="I772">
        <v>2</v>
      </c>
      <c r="J772" t="b">
        <f>AND(CCData[[#This Row],[Date]]&gt;=Calculation!$E$3,CCData[[#This Row],[Date]]&lt;Calculation!$E$3+7)</f>
        <v>0</v>
      </c>
    </row>
    <row r="773" spans="1:10">
      <c r="A773" t="s">
        <v>772</v>
      </c>
      <c r="B773" s="2">
        <v>42018.472000000002</v>
      </c>
      <c r="C773" s="3" t="s">
        <v>5006</v>
      </c>
      <c r="D773" t="s">
        <v>5012</v>
      </c>
      <c r="E773" t="s">
        <v>5018</v>
      </c>
      <c r="F773" t="s">
        <v>5018</v>
      </c>
      <c r="G773">
        <v>53</v>
      </c>
      <c r="H773" s="5">
        <v>3.2218070243241279E-3</v>
      </c>
      <c r="I773">
        <v>2</v>
      </c>
      <c r="J773" t="b">
        <f>AND(CCData[[#This Row],[Date]]&gt;=Calculation!$E$3,CCData[[#This Row],[Date]]&lt;Calculation!$E$3+7)</f>
        <v>0</v>
      </c>
    </row>
    <row r="774" spans="1:10">
      <c r="A774" t="s">
        <v>773</v>
      </c>
      <c r="B774" s="2">
        <v>42018.481</v>
      </c>
      <c r="C774" s="3" t="s">
        <v>5009</v>
      </c>
      <c r="D774" t="s">
        <v>5013</v>
      </c>
      <c r="E774" t="s">
        <v>5018</v>
      </c>
      <c r="F774" t="s">
        <v>5018</v>
      </c>
      <c r="G774">
        <v>85</v>
      </c>
      <c r="H774" s="5">
        <v>1.4308201976432765E-3</v>
      </c>
      <c r="I774">
        <v>4</v>
      </c>
      <c r="J774" t="b">
        <f>AND(CCData[[#This Row],[Date]]&gt;=Calculation!$E$3,CCData[[#This Row],[Date]]&lt;Calculation!$E$3+7)</f>
        <v>0</v>
      </c>
    </row>
    <row r="775" spans="1:10">
      <c r="A775" t="s">
        <v>774</v>
      </c>
      <c r="B775" s="2">
        <v>42018.481</v>
      </c>
      <c r="C775" s="3" t="s">
        <v>5008</v>
      </c>
      <c r="D775" t="s">
        <v>5016</v>
      </c>
      <c r="E775" t="s">
        <v>5018</v>
      </c>
      <c r="F775" t="s">
        <v>5018</v>
      </c>
      <c r="G775">
        <v>18</v>
      </c>
      <c r="H775" s="5">
        <v>3.2171317656356628E-3</v>
      </c>
      <c r="I775">
        <v>5</v>
      </c>
      <c r="J775" t="b">
        <f>AND(CCData[[#This Row],[Date]]&gt;=Calculation!$E$3,CCData[[#This Row],[Date]]&lt;Calculation!$E$3+7)</f>
        <v>0</v>
      </c>
    </row>
    <row r="776" spans="1:10">
      <c r="A776" t="s">
        <v>775</v>
      </c>
      <c r="B776" s="2">
        <v>42018.483</v>
      </c>
      <c r="C776" s="3" t="s">
        <v>5005</v>
      </c>
      <c r="D776" t="s">
        <v>5014</v>
      </c>
      <c r="E776" t="s">
        <v>5018</v>
      </c>
      <c r="F776" t="s">
        <v>5018</v>
      </c>
      <c r="G776">
        <v>17</v>
      </c>
      <c r="H776" s="5">
        <v>2.9297530885268462E-3</v>
      </c>
      <c r="I776">
        <v>4</v>
      </c>
      <c r="J776" t="b">
        <f>AND(CCData[[#This Row],[Date]]&gt;=Calculation!$E$3,CCData[[#This Row],[Date]]&lt;Calculation!$E$3+7)</f>
        <v>0</v>
      </c>
    </row>
    <row r="777" spans="1:10">
      <c r="A777" t="s">
        <v>776</v>
      </c>
      <c r="B777" s="2">
        <v>42018.483</v>
      </c>
      <c r="C777" s="3" t="s">
        <v>5008</v>
      </c>
      <c r="D777" t="s">
        <v>5013</v>
      </c>
      <c r="E777" t="s">
        <v>5018</v>
      </c>
      <c r="F777" t="s">
        <v>5018</v>
      </c>
      <c r="G777">
        <v>102</v>
      </c>
      <c r="H777" s="5">
        <v>2.063923979788539E-3</v>
      </c>
      <c r="I777">
        <v>4</v>
      </c>
      <c r="J777" t="b">
        <f>AND(CCData[[#This Row],[Date]]&gt;=Calculation!$E$3,CCData[[#This Row],[Date]]&lt;Calculation!$E$3+7)</f>
        <v>0</v>
      </c>
    </row>
    <row r="778" spans="1:10">
      <c r="A778" t="s">
        <v>777</v>
      </c>
      <c r="B778" s="2">
        <v>42018.500999999997</v>
      </c>
      <c r="C778" s="3" t="s">
        <v>5007</v>
      </c>
      <c r="D778" t="s">
        <v>5013</v>
      </c>
      <c r="E778" t="s">
        <v>5018</v>
      </c>
      <c r="F778" t="s">
        <v>5018</v>
      </c>
      <c r="G778">
        <v>26</v>
      </c>
      <c r="H778" s="5">
        <v>4.6403886158847491E-3</v>
      </c>
      <c r="I778">
        <v>1</v>
      </c>
      <c r="J778" t="b">
        <f>AND(CCData[[#This Row],[Date]]&gt;=Calculation!$E$3,CCData[[#This Row],[Date]]&lt;Calculation!$E$3+7)</f>
        <v>0</v>
      </c>
    </row>
    <row r="779" spans="1:10">
      <c r="A779" t="s">
        <v>778</v>
      </c>
      <c r="B779" s="2">
        <v>42018.500999999997</v>
      </c>
      <c r="C779" s="3" t="s">
        <v>5008</v>
      </c>
      <c r="D779" t="s">
        <v>5014</v>
      </c>
      <c r="E779" t="s">
        <v>5018</v>
      </c>
      <c r="F779" t="s">
        <v>5018</v>
      </c>
      <c r="G779">
        <v>107</v>
      </c>
      <c r="H779" s="5">
        <v>4.4196392522515811E-3</v>
      </c>
      <c r="I779">
        <v>3</v>
      </c>
      <c r="J779" t="b">
        <f>AND(CCData[[#This Row],[Date]]&gt;=Calculation!$E$3,CCData[[#This Row],[Date]]&lt;Calculation!$E$3+7)</f>
        <v>0</v>
      </c>
    </row>
    <row r="780" spans="1:10">
      <c r="A780" t="s">
        <v>779</v>
      </c>
      <c r="B780" s="2">
        <v>42018.504000000001</v>
      </c>
      <c r="C780" s="3" t="s">
        <v>5006</v>
      </c>
      <c r="D780" t="s">
        <v>5013</v>
      </c>
      <c r="E780" t="s">
        <v>5019</v>
      </c>
      <c r="F780" t="s">
        <v>5019</v>
      </c>
      <c r="G780" t="s">
        <v>5022</v>
      </c>
      <c r="H780" s="5" t="s">
        <v>5022</v>
      </c>
      <c r="I780" t="s">
        <v>5022</v>
      </c>
      <c r="J780" t="b">
        <f>AND(CCData[[#This Row],[Date]]&gt;=Calculation!$E$3,CCData[[#This Row],[Date]]&lt;Calculation!$E$3+7)</f>
        <v>0</v>
      </c>
    </row>
    <row r="781" spans="1:10">
      <c r="A781" t="s">
        <v>780</v>
      </c>
      <c r="B781" s="2">
        <v>42018.504000000001</v>
      </c>
      <c r="C781" s="3" t="s">
        <v>5006</v>
      </c>
      <c r="D781" t="s">
        <v>5016</v>
      </c>
      <c r="E781" t="s">
        <v>5018</v>
      </c>
      <c r="F781" t="s">
        <v>5018</v>
      </c>
      <c r="G781">
        <v>35</v>
      </c>
      <c r="H781" s="5">
        <v>3.056967777549751E-3</v>
      </c>
      <c r="I781">
        <v>5</v>
      </c>
      <c r="J781" t="b">
        <f>AND(CCData[[#This Row],[Date]]&gt;=Calculation!$E$3,CCData[[#This Row],[Date]]&lt;Calculation!$E$3+7)</f>
        <v>0</v>
      </c>
    </row>
    <row r="782" spans="1:10">
      <c r="A782" t="s">
        <v>781</v>
      </c>
      <c r="B782" s="2">
        <v>42018.508000000002</v>
      </c>
      <c r="C782" s="3" t="s">
        <v>5008</v>
      </c>
      <c r="D782" t="s">
        <v>5013</v>
      </c>
      <c r="E782" t="s">
        <v>5018</v>
      </c>
      <c r="F782" t="s">
        <v>5018</v>
      </c>
      <c r="G782">
        <v>100</v>
      </c>
      <c r="H782" s="5">
        <v>3.7504632793657006E-3</v>
      </c>
      <c r="I782">
        <v>2</v>
      </c>
      <c r="J782" t="b">
        <f>AND(CCData[[#This Row],[Date]]&gt;=Calculation!$E$3,CCData[[#This Row],[Date]]&lt;Calculation!$E$3+7)</f>
        <v>0</v>
      </c>
    </row>
    <row r="783" spans="1:10">
      <c r="A783" t="s">
        <v>782</v>
      </c>
      <c r="B783" s="2">
        <v>42018.508000000002</v>
      </c>
      <c r="C783" s="3" t="s">
        <v>5003</v>
      </c>
      <c r="D783" t="s">
        <v>5015</v>
      </c>
      <c r="E783" t="s">
        <v>5018</v>
      </c>
      <c r="F783" t="s">
        <v>5018</v>
      </c>
      <c r="G783">
        <v>12</v>
      </c>
      <c r="H783" s="5">
        <v>4.3916673636473051E-3</v>
      </c>
      <c r="I783">
        <v>4</v>
      </c>
      <c r="J783" t="b">
        <f>AND(CCData[[#This Row],[Date]]&gt;=Calculation!$E$3,CCData[[#This Row],[Date]]&lt;Calculation!$E$3+7)</f>
        <v>0</v>
      </c>
    </row>
    <row r="784" spans="1:10">
      <c r="A784" t="s">
        <v>783</v>
      </c>
      <c r="B784" s="2">
        <v>42018.523000000001</v>
      </c>
      <c r="C784" s="3" t="s">
        <v>5007</v>
      </c>
      <c r="D784" t="s">
        <v>5014</v>
      </c>
      <c r="E784" t="s">
        <v>5018</v>
      </c>
      <c r="F784" t="s">
        <v>5018</v>
      </c>
      <c r="G784">
        <v>43</v>
      </c>
      <c r="H784" s="5">
        <v>2.7088660899320344E-3</v>
      </c>
      <c r="I784">
        <v>4</v>
      </c>
      <c r="J784" t="b">
        <f>AND(CCData[[#This Row],[Date]]&gt;=Calculation!$E$3,CCData[[#This Row],[Date]]&lt;Calculation!$E$3+7)</f>
        <v>0</v>
      </c>
    </row>
    <row r="785" spans="1:10">
      <c r="A785" t="s">
        <v>784</v>
      </c>
      <c r="B785" s="2">
        <v>42018.523000000001</v>
      </c>
      <c r="C785" s="3" t="s">
        <v>5004</v>
      </c>
      <c r="D785" t="s">
        <v>5014</v>
      </c>
      <c r="E785" t="s">
        <v>5018</v>
      </c>
      <c r="F785" t="s">
        <v>5018</v>
      </c>
      <c r="G785">
        <v>68</v>
      </c>
      <c r="H785" s="5">
        <v>1.264986342259669E-3</v>
      </c>
      <c r="I785">
        <v>4</v>
      </c>
      <c r="J785" t="b">
        <f>AND(CCData[[#This Row],[Date]]&gt;=Calculation!$E$3,CCData[[#This Row],[Date]]&lt;Calculation!$E$3+7)</f>
        <v>0</v>
      </c>
    </row>
    <row r="786" spans="1:10">
      <c r="A786" t="s">
        <v>785</v>
      </c>
      <c r="B786" s="2">
        <v>42018.53</v>
      </c>
      <c r="C786" s="3" t="s">
        <v>5008</v>
      </c>
      <c r="D786" t="s">
        <v>5016</v>
      </c>
      <c r="E786" t="s">
        <v>5018</v>
      </c>
      <c r="F786" t="s">
        <v>5018</v>
      </c>
      <c r="G786">
        <v>81</v>
      </c>
      <c r="H786" s="5">
        <v>1.3271883895340064E-3</v>
      </c>
      <c r="I786">
        <v>3</v>
      </c>
      <c r="J786" t="b">
        <f>AND(CCData[[#This Row],[Date]]&gt;=Calculation!$E$3,CCData[[#This Row],[Date]]&lt;Calculation!$E$3+7)</f>
        <v>0</v>
      </c>
    </row>
    <row r="787" spans="1:10">
      <c r="A787" t="s">
        <v>786</v>
      </c>
      <c r="B787" s="2">
        <v>42018.53</v>
      </c>
      <c r="C787" s="3" t="s">
        <v>5009</v>
      </c>
      <c r="D787" t="s">
        <v>5012</v>
      </c>
      <c r="E787" t="s">
        <v>5018</v>
      </c>
      <c r="F787" t="s">
        <v>5019</v>
      </c>
      <c r="G787">
        <v>49</v>
      </c>
      <c r="H787" s="5">
        <v>4.4128118772276629E-3</v>
      </c>
      <c r="I787">
        <v>5</v>
      </c>
      <c r="J787" t="b">
        <f>AND(CCData[[#This Row],[Date]]&gt;=Calculation!$E$3,CCData[[#This Row],[Date]]&lt;Calculation!$E$3+7)</f>
        <v>0</v>
      </c>
    </row>
    <row r="788" spans="1:10">
      <c r="A788" t="s">
        <v>787</v>
      </c>
      <c r="B788" s="2">
        <v>42018.542999999998</v>
      </c>
      <c r="C788" s="3" t="s">
        <v>5010</v>
      </c>
      <c r="D788" t="s">
        <v>5013</v>
      </c>
      <c r="E788" t="s">
        <v>5018</v>
      </c>
      <c r="F788" t="s">
        <v>5018</v>
      </c>
      <c r="G788">
        <v>101</v>
      </c>
      <c r="H788" s="5">
        <v>4.2785258920862365E-3</v>
      </c>
      <c r="I788">
        <v>3</v>
      </c>
      <c r="J788" t="b">
        <f>AND(CCData[[#This Row],[Date]]&gt;=Calculation!$E$3,CCData[[#This Row],[Date]]&lt;Calculation!$E$3+7)</f>
        <v>0</v>
      </c>
    </row>
    <row r="789" spans="1:10">
      <c r="A789" t="s">
        <v>788</v>
      </c>
      <c r="B789" s="2">
        <v>42018.542999999998</v>
      </c>
      <c r="C789" s="3" t="s">
        <v>5008</v>
      </c>
      <c r="D789" t="s">
        <v>5012</v>
      </c>
      <c r="E789" t="s">
        <v>5018</v>
      </c>
      <c r="F789" t="s">
        <v>5018</v>
      </c>
      <c r="G789">
        <v>72</v>
      </c>
      <c r="H789" s="5">
        <v>4.1485169528510391E-3</v>
      </c>
      <c r="I789">
        <v>3</v>
      </c>
      <c r="J789" t="b">
        <f>AND(CCData[[#This Row],[Date]]&gt;=Calculation!$E$3,CCData[[#This Row],[Date]]&lt;Calculation!$E$3+7)</f>
        <v>0</v>
      </c>
    </row>
    <row r="790" spans="1:10">
      <c r="A790" t="s">
        <v>789</v>
      </c>
      <c r="B790" s="2">
        <v>42018.563000000002</v>
      </c>
      <c r="C790" s="3" t="s">
        <v>5009</v>
      </c>
      <c r="D790" t="s">
        <v>5013</v>
      </c>
      <c r="E790" t="s">
        <v>5018</v>
      </c>
      <c r="F790" t="s">
        <v>5018</v>
      </c>
      <c r="G790">
        <v>18</v>
      </c>
      <c r="H790" s="5">
        <v>1.2674682076904498E-3</v>
      </c>
      <c r="I790">
        <v>3</v>
      </c>
      <c r="J790" t="b">
        <f>AND(CCData[[#This Row],[Date]]&gt;=Calculation!$E$3,CCData[[#This Row],[Date]]&lt;Calculation!$E$3+7)</f>
        <v>0</v>
      </c>
    </row>
    <row r="791" spans="1:10">
      <c r="A791" t="s">
        <v>790</v>
      </c>
      <c r="B791" s="2">
        <v>42018.563000000002</v>
      </c>
      <c r="C791" s="3" t="s">
        <v>5003</v>
      </c>
      <c r="D791" t="s">
        <v>5012</v>
      </c>
      <c r="E791" t="s">
        <v>5018</v>
      </c>
      <c r="F791" t="s">
        <v>5018</v>
      </c>
      <c r="G791">
        <v>86</v>
      </c>
      <c r="H791" s="5">
        <v>3.161941093911374E-3</v>
      </c>
      <c r="I791">
        <v>5</v>
      </c>
      <c r="J791" t="b">
        <f>AND(CCData[[#This Row],[Date]]&gt;=Calculation!$E$3,CCData[[#This Row],[Date]]&lt;Calculation!$E$3+7)</f>
        <v>0</v>
      </c>
    </row>
    <row r="792" spans="1:10">
      <c r="A792" t="s">
        <v>791</v>
      </c>
      <c r="B792" s="2">
        <v>42018.565999999999</v>
      </c>
      <c r="C792" s="3" t="s">
        <v>5010</v>
      </c>
      <c r="D792" t="s">
        <v>5015</v>
      </c>
      <c r="E792" t="s">
        <v>5018</v>
      </c>
      <c r="F792" t="s">
        <v>5018</v>
      </c>
      <c r="G792">
        <v>109</v>
      </c>
      <c r="H792" s="5">
        <v>4.3643677238473642E-4</v>
      </c>
      <c r="I792">
        <v>4</v>
      </c>
      <c r="J792" t="b">
        <f>AND(CCData[[#This Row],[Date]]&gt;=Calculation!$E$3,CCData[[#This Row],[Date]]&lt;Calculation!$E$3+7)</f>
        <v>0</v>
      </c>
    </row>
    <row r="793" spans="1:10">
      <c r="A793" t="s">
        <v>792</v>
      </c>
      <c r="B793" s="2">
        <v>42018.565999999999</v>
      </c>
      <c r="C793" s="3" t="s">
        <v>5009</v>
      </c>
      <c r="D793" t="s">
        <v>5013</v>
      </c>
      <c r="E793" t="s">
        <v>5019</v>
      </c>
      <c r="F793" t="s">
        <v>5019</v>
      </c>
      <c r="G793" t="s">
        <v>5022</v>
      </c>
      <c r="H793" s="5" t="s">
        <v>5022</v>
      </c>
      <c r="I793" t="s">
        <v>5022</v>
      </c>
      <c r="J793" t="b">
        <f>AND(CCData[[#This Row],[Date]]&gt;=Calculation!$E$3,CCData[[#This Row],[Date]]&lt;Calculation!$E$3+7)</f>
        <v>0</v>
      </c>
    </row>
    <row r="794" spans="1:10">
      <c r="A794" t="s">
        <v>793</v>
      </c>
      <c r="B794" s="2">
        <v>42018.59</v>
      </c>
      <c r="C794" s="3" t="s">
        <v>5009</v>
      </c>
      <c r="D794" t="s">
        <v>5015</v>
      </c>
      <c r="E794" t="s">
        <v>5018</v>
      </c>
      <c r="F794" t="s">
        <v>5018</v>
      </c>
      <c r="G794">
        <v>32</v>
      </c>
      <c r="H794" s="5">
        <v>2.9198769863739483E-3</v>
      </c>
      <c r="I794">
        <v>2</v>
      </c>
      <c r="J794" t="b">
        <f>AND(CCData[[#This Row],[Date]]&gt;=Calculation!$E$3,CCData[[#This Row],[Date]]&lt;Calculation!$E$3+7)</f>
        <v>0</v>
      </c>
    </row>
    <row r="795" spans="1:10">
      <c r="A795" t="s">
        <v>794</v>
      </c>
      <c r="B795" s="2">
        <v>42018.59</v>
      </c>
      <c r="C795" s="3" t="s">
        <v>5010</v>
      </c>
      <c r="D795" t="s">
        <v>5012</v>
      </c>
      <c r="E795" t="s">
        <v>5018</v>
      </c>
      <c r="F795" t="s">
        <v>5018</v>
      </c>
      <c r="G795">
        <v>68</v>
      </c>
      <c r="H795" s="5">
        <v>3.6449588606399003E-3</v>
      </c>
      <c r="I795">
        <v>3</v>
      </c>
      <c r="J795" t="b">
        <f>AND(CCData[[#This Row],[Date]]&gt;=Calculation!$E$3,CCData[[#This Row],[Date]]&lt;Calculation!$E$3+7)</f>
        <v>0</v>
      </c>
    </row>
    <row r="796" spans="1:10">
      <c r="A796" t="s">
        <v>795</v>
      </c>
      <c r="B796" s="2">
        <v>42018.61</v>
      </c>
      <c r="C796" s="3" t="s">
        <v>5008</v>
      </c>
      <c r="D796" t="s">
        <v>5013</v>
      </c>
      <c r="E796" t="s">
        <v>5018</v>
      </c>
      <c r="F796" t="s">
        <v>5018</v>
      </c>
      <c r="G796">
        <v>10</v>
      </c>
      <c r="H796" s="5">
        <v>4.8271517893037786E-3</v>
      </c>
      <c r="I796">
        <v>4</v>
      </c>
      <c r="J796" t="b">
        <f>AND(CCData[[#This Row],[Date]]&gt;=Calculation!$E$3,CCData[[#This Row],[Date]]&lt;Calculation!$E$3+7)</f>
        <v>0</v>
      </c>
    </row>
    <row r="797" spans="1:10">
      <c r="A797" t="s">
        <v>796</v>
      </c>
      <c r="B797" s="2">
        <v>42018.61</v>
      </c>
      <c r="C797" s="3" t="s">
        <v>5007</v>
      </c>
      <c r="D797" t="s">
        <v>5014</v>
      </c>
      <c r="E797" t="s">
        <v>5018</v>
      </c>
      <c r="F797" t="s">
        <v>5018</v>
      </c>
      <c r="G797">
        <v>76</v>
      </c>
      <c r="H797" s="5">
        <v>3.3233376503470752E-3</v>
      </c>
      <c r="I797">
        <v>5</v>
      </c>
      <c r="J797" t="b">
        <f>AND(CCData[[#This Row],[Date]]&gt;=Calculation!$E$3,CCData[[#This Row],[Date]]&lt;Calculation!$E$3+7)</f>
        <v>0</v>
      </c>
    </row>
    <row r="798" spans="1:10">
      <c r="A798" t="s">
        <v>797</v>
      </c>
      <c r="B798" s="2">
        <v>42018.623</v>
      </c>
      <c r="C798" s="3" t="s">
        <v>5010</v>
      </c>
      <c r="D798" t="s">
        <v>5014</v>
      </c>
      <c r="E798" t="s">
        <v>5018</v>
      </c>
      <c r="F798" t="s">
        <v>5018</v>
      </c>
      <c r="G798">
        <v>124</v>
      </c>
      <c r="H798" s="5">
        <v>4.5480731746126019E-3</v>
      </c>
      <c r="I798">
        <v>3</v>
      </c>
      <c r="J798" t="b">
        <f>AND(CCData[[#This Row],[Date]]&gt;=Calculation!$E$3,CCData[[#This Row],[Date]]&lt;Calculation!$E$3+7)</f>
        <v>0</v>
      </c>
    </row>
    <row r="799" spans="1:10">
      <c r="A799" t="s">
        <v>798</v>
      </c>
      <c r="B799" s="2">
        <v>42018.623</v>
      </c>
      <c r="C799" s="3" t="s">
        <v>5004</v>
      </c>
      <c r="D799" t="s">
        <v>5013</v>
      </c>
      <c r="E799" t="s">
        <v>5018</v>
      </c>
      <c r="F799" t="s">
        <v>5018</v>
      </c>
      <c r="G799">
        <v>28</v>
      </c>
      <c r="H799" s="5">
        <v>2.9129297372858655E-3</v>
      </c>
      <c r="I799">
        <v>3</v>
      </c>
      <c r="J799" t="b">
        <f>AND(CCData[[#This Row],[Date]]&gt;=Calculation!$E$3,CCData[[#This Row],[Date]]&lt;Calculation!$E$3+7)</f>
        <v>0</v>
      </c>
    </row>
    <row r="800" spans="1:10">
      <c r="A800" t="s">
        <v>799</v>
      </c>
      <c r="B800" s="2">
        <v>42018.639000000003</v>
      </c>
      <c r="C800" s="3" t="s">
        <v>5004</v>
      </c>
      <c r="D800" t="s">
        <v>5016</v>
      </c>
      <c r="E800" t="s">
        <v>5018</v>
      </c>
      <c r="F800" t="s">
        <v>5018</v>
      </c>
      <c r="G800">
        <v>107</v>
      </c>
      <c r="H800" s="5">
        <v>1.1493896947782313E-3</v>
      </c>
      <c r="I800">
        <v>4</v>
      </c>
      <c r="J800" t="b">
        <f>AND(CCData[[#This Row],[Date]]&gt;=Calculation!$E$3,CCData[[#This Row],[Date]]&lt;Calculation!$E$3+7)</f>
        <v>0</v>
      </c>
    </row>
    <row r="801" spans="1:10">
      <c r="A801" t="s">
        <v>800</v>
      </c>
      <c r="B801" s="2">
        <v>42018.639000000003</v>
      </c>
      <c r="C801" s="3" t="s">
        <v>5009</v>
      </c>
      <c r="D801" t="s">
        <v>5015</v>
      </c>
      <c r="E801" t="s">
        <v>5019</v>
      </c>
      <c r="F801" t="s">
        <v>5019</v>
      </c>
      <c r="G801" t="s">
        <v>5022</v>
      </c>
      <c r="H801" s="5" t="s">
        <v>5022</v>
      </c>
      <c r="I801" t="s">
        <v>5022</v>
      </c>
      <c r="J801" t="b">
        <f>AND(CCData[[#This Row],[Date]]&gt;=Calculation!$E$3,CCData[[#This Row],[Date]]&lt;Calculation!$E$3+7)</f>
        <v>0</v>
      </c>
    </row>
    <row r="802" spans="1:10">
      <c r="A802" t="s">
        <v>801</v>
      </c>
      <c r="B802" s="2">
        <v>42018.661</v>
      </c>
      <c r="C802" s="3" t="s">
        <v>5003</v>
      </c>
      <c r="D802" t="s">
        <v>5016</v>
      </c>
      <c r="E802" t="s">
        <v>5019</v>
      </c>
      <c r="F802" t="s">
        <v>5019</v>
      </c>
      <c r="G802" t="s">
        <v>5022</v>
      </c>
      <c r="H802" s="5" t="s">
        <v>5022</v>
      </c>
      <c r="I802" t="s">
        <v>5022</v>
      </c>
      <c r="J802" t="b">
        <f>AND(CCData[[#This Row],[Date]]&gt;=Calculation!$E$3,CCData[[#This Row],[Date]]&lt;Calculation!$E$3+7)</f>
        <v>0</v>
      </c>
    </row>
    <row r="803" spans="1:10">
      <c r="A803" t="s">
        <v>802</v>
      </c>
      <c r="B803" s="2">
        <v>42018.661</v>
      </c>
      <c r="C803" s="3" t="s">
        <v>5009</v>
      </c>
      <c r="D803" t="s">
        <v>5015</v>
      </c>
      <c r="E803" t="s">
        <v>5019</v>
      </c>
      <c r="F803" t="s">
        <v>5019</v>
      </c>
      <c r="G803" t="s">
        <v>5022</v>
      </c>
      <c r="H803" s="5" t="s">
        <v>5022</v>
      </c>
      <c r="I803" t="s">
        <v>5022</v>
      </c>
      <c r="J803" t="b">
        <f>AND(CCData[[#This Row],[Date]]&gt;=Calculation!$E$3,CCData[[#This Row],[Date]]&lt;Calculation!$E$3+7)</f>
        <v>0</v>
      </c>
    </row>
    <row r="804" spans="1:10">
      <c r="A804" t="s">
        <v>803</v>
      </c>
      <c r="B804" s="2">
        <v>42018.663</v>
      </c>
      <c r="C804" s="3" t="s">
        <v>5005</v>
      </c>
      <c r="D804" t="s">
        <v>5016</v>
      </c>
      <c r="E804" t="s">
        <v>5019</v>
      </c>
      <c r="F804" t="s">
        <v>5019</v>
      </c>
      <c r="G804" t="s">
        <v>5022</v>
      </c>
      <c r="H804" s="5" t="s">
        <v>5022</v>
      </c>
      <c r="I804" t="s">
        <v>5022</v>
      </c>
      <c r="J804" t="b">
        <f>AND(CCData[[#This Row],[Date]]&gt;=Calculation!$E$3,CCData[[#This Row],[Date]]&lt;Calculation!$E$3+7)</f>
        <v>0</v>
      </c>
    </row>
    <row r="805" spans="1:10">
      <c r="A805" t="s">
        <v>804</v>
      </c>
      <c r="B805" s="2">
        <v>42018.663</v>
      </c>
      <c r="C805" s="3" t="s">
        <v>5008</v>
      </c>
      <c r="D805" t="s">
        <v>5013</v>
      </c>
      <c r="E805" t="s">
        <v>5019</v>
      </c>
      <c r="F805" t="s">
        <v>5019</v>
      </c>
      <c r="G805" t="s">
        <v>5022</v>
      </c>
      <c r="H805" s="5" t="s">
        <v>5022</v>
      </c>
      <c r="I805" t="s">
        <v>5022</v>
      </c>
      <c r="J805" t="b">
        <f>AND(CCData[[#This Row],[Date]]&gt;=Calculation!$E$3,CCData[[#This Row],[Date]]&lt;Calculation!$E$3+7)</f>
        <v>0</v>
      </c>
    </row>
    <row r="806" spans="1:10">
      <c r="A806" t="s">
        <v>805</v>
      </c>
      <c r="B806" s="2">
        <v>42018.686000000002</v>
      </c>
      <c r="C806" s="3" t="s">
        <v>5003</v>
      </c>
      <c r="D806" t="s">
        <v>5012</v>
      </c>
      <c r="E806" t="s">
        <v>5018</v>
      </c>
      <c r="F806" t="s">
        <v>5018</v>
      </c>
      <c r="G806">
        <v>21</v>
      </c>
      <c r="H806" s="5">
        <v>1.1629074216598138E-3</v>
      </c>
      <c r="I806">
        <v>4</v>
      </c>
      <c r="J806" t="b">
        <f>AND(CCData[[#This Row],[Date]]&gt;=Calculation!$E$3,CCData[[#This Row],[Date]]&lt;Calculation!$E$3+7)</f>
        <v>0</v>
      </c>
    </row>
    <row r="807" spans="1:10">
      <c r="A807" t="s">
        <v>806</v>
      </c>
      <c r="B807" s="2">
        <v>42018.686000000002</v>
      </c>
      <c r="C807" s="3" t="s">
        <v>5010</v>
      </c>
      <c r="D807" t="s">
        <v>5016</v>
      </c>
      <c r="E807" t="s">
        <v>5018</v>
      </c>
      <c r="F807" t="s">
        <v>5018</v>
      </c>
      <c r="G807">
        <v>66</v>
      </c>
      <c r="H807" s="5">
        <v>3.9753712821386728E-3</v>
      </c>
      <c r="I807">
        <v>2</v>
      </c>
      <c r="J807" t="b">
        <f>AND(CCData[[#This Row],[Date]]&gt;=Calculation!$E$3,CCData[[#This Row],[Date]]&lt;Calculation!$E$3+7)</f>
        <v>0</v>
      </c>
    </row>
    <row r="808" spans="1:10">
      <c r="A808" t="s">
        <v>807</v>
      </c>
      <c r="B808" s="2">
        <v>42018.694000000003</v>
      </c>
      <c r="C808" s="3" t="s">
        <v>5004</v>
      </c>
      <c r="D808" t="s">
        <v>5013</v>
      </c>
      <c r="E808" t="s">
        <v>5019</v>
      </c>
      <c r="F808" t="s">
        <v>5019</v>
      </c>
      <c r="G808" t="s">
        <v>5022</v>
      </c>
      <c r="H808" s="5" t="s">
        <v>5022</v>
      </c>
      <c r="I808" t="s">
        <v>5022</v>
      </c>
      <c r="J808" t="b">
        <f>AND(CCData[[#This Row],[Date]]&gt;=Calculation!$E$3,CCData[[#This Row],[Date]]&lt;Calculation!$E$3+7)</f>
        <v>0</v>
      </c>
    </row>
    <row r="809" spans="1:10">
      <c r="A809" t="s">
        <v>808</v>
      </c>
      <c r="B809" s="2">
        <v>42018.694000000003</v>
      </c>
      <c r="C809" s="3" t="s">
        <v>5006</v>
      </c>
      <c r="D809" t="s">
        <v>5016</v>
      </c>
      <c r="E809" t="s">
        <v>5018</v>
      </c>
      <c r="F809" t="s">
        <v>5018</v>
      </c>
      <c r="G809">
        <v>19</v>
      </c>
      <c r="H809" s="5">
        <v>4.5321632023205992E-3</v>
      </c>
      <c r="I809">
        <v>3</v>
      </c>
      <c r="J809" t="b">
        <f>AND(CCData[[#This Row],[Date]]&gt;=Calculation!$E$3,CCData[[#This Row],[Date]]&lt;Calculation!$E$3+7)</f>
        <v>0</v>
      </c>
    </row>
    <row r="810" spans="1:10">
      <c r="A810" t="s">
        <v>809</v>
      </c>
      <c r="B810" s="2">
        <v>42018.722000000002</v>
      </c>
      <c r="C810" s="3" t="s">
        <v>5006</v>
      </c>
      <c r="D810" t="s">
        <v>5012</v>
      </c>
      <c r="E810" t="s">
        <v>5018</v>
      </c>
      <c r="F810" t="s">
        <v>5018</v>
      </c>
      <c r="G810">
        <v>100</v>
      </c>
      <c r="H810" s="5">
        <v>4.1543282724181702E-3</v>
      </c>
      <c r="I810">
        <v>4</v>
      </c>
      <c r="J810" t="b">
        <f>AND(CCData[[#This Row],[Date]]&gt;=Calculation!$E$3,CCData[[#This Row],[Date]]&lt;Calculation!$E$3+7)</f>
        <v>0</v>
      </c>
    </row>
    <row r="811" spans="1:10">
      <c r="A811" t="s">
        <v>810</v>
      </c>
      <c r="B811" s="2">
        <v>42018.722000000002</v>
      </c>
      <c r="C811" s="3" t="s">
        <v>5007</v>
      </c>
      <c r="D811" t="s">
        <v>5013</v>
      </c>
      <c r="E811" t="s">
        <v>5018</v>
      </c>
      <c r="F811" t="s">
        <v>5018</v>
      </c>
      <c r="G811">
        <v>108</v>
      </c>
      <c r="H811" s="5">
        <v>4.449454335559256E-3</v>
      </c>
      <c r="I811">
        <v>4</v>
      </c>
      <c r="J811" t="b">
        <f>AND(CCData[[#This Row],[Date]]&gt;=Calculation!$E$3,CCData[[#This Row],[Date]]&lt;Calculation!$E$3+7)</f>
        <v>0</v>
      </c>
    </row>
    <row r="812" spans="1:10">
      <c r="A812" t="s">
        <v>811</v>
      </c>
      <c r="B812" s="2">
        <v>42018.724000000002</v>
      </c>
      <c r="C812" s="3" t="s">
        <v>5005</v>
      </c>
      <c r="D812" t="s">
        <v>5013</v>
      </c>
      <c r="E812" t="s">
        <v>5018</v>
      </c>
      <c r="F812" t="s">
        <v>5018</v>
      </c>
      <c r="G812">
        <v>123</v>
      </c>
      <c r="H812" s="5">
        <v>3.179484018527844E-3</v>
      </c>
      <c r="I812">
        <v>1</v>
      </c>
      <c r="J812" t="b">
        <f>AND(CCData[[#This Row],[Date]]&gt;=Calculation!$E$3,CCData[[#This Row],[Date]]&lt;Calculation!$E$3+7)</f>
        <v>0</v>
      </c>
    </row>
    <row r="813" spans="1:10">
      <c r="A813" t="s">
        <v>812</v>
      </c>
      <c r="B813" s="2">
        <v>42018.724000000002</v>
      </c>
      <c r="C813" s="3" t="s">
        <v>5006</v>
      </c>
      <c r="D813" t="s">
        <v>5012</v>
      </c>
      <c r="E813" t="s">
        <v>5019</v>
      </c>
      <c r="F813" t="s">
        <v>5019</v>
      </c>
      <c r="G813" t="s">
        <v>5022</v>
      </c>
      <c r="H813" s="5" t="s">
        <v>5022</v>
      </c>
      <c r="I813" t="s">
        <v>5022</v>
      </c>
      <c r="J813" t="b">
        <f>AND(CCData[[#This Row],[Date]]&gt;=Calculation!$E$3,CCData[[#This Row],[Date]]&lt;Calculation!$E$3+7)</f>
        <v>0</v>
      </c>
    </row>
    <row r="814" spans="1:10">
      <c r="A814" t="s">
        <v>813</v>
      </c>
      <c r="B814" s="2">
        <v>42018.731</v>
      </c>
      <c r="C814" s="3" t="s">
        <v>5010</v>
      </c>
      <c r="D814" t="s">
        <v>5012</v>
      </c>
      <c r="E814" t="s">
        <v>5018</v>
      </c>
      <c r="F814" t="s">
        <v>5018</v>
      </c>
      <c r="G814">
        <v>76</v>
      </c>
      <c r="H814" s="5">
        <v>1.470312295605778E-3</v>
      </c>
      <c r="I814">
        <v>2</v>
      </c>
      <c r="J814" t="b">
        <f>AND(CCData[[#This Row],[Date]]&gt;=Calculation!$E$3,CCData[[#This Row],[Date]]&lt;Calculation!$E$3+7)</f>
        <v>0</v>
      </c>
    </row>
    <row r="815" spans="1:10">
      <c r="A815" t="s">
        <v>814</v>
      </c>
      <c r="B815" s="2">
        <v>42018.731</v>
      </c>
      <c r="C815" s="3" t="s">
        <v>5008</v>
      </c>
      <c r="D815" t="s">
        <v>5012</v>
      </c>
      <c r="E815" t="s">
        <v>5018</v>
      </c>
      <c r="F815" t="s">
        <v>5018</v>
      </c>
      <c r="G815">
        <v>78</v>
      </c>
      <c r="H815" s="5">
        <v>1.0719161050616228E-3</v>
      </c>
      <c r="I815">
        <v>2</v>
      </c>
      <c r="J815" t="b">
        <f>AND(CCData[[#This Row],[Date]]&gt;=Calculation!$E$3,CCData[[#This Row],[Date]]&lt;Calculation!$E$3+7)</f>
        <v>0</v>
      </c>
    </row>
    <row r="816" spans="1:10">
      <c r="A816" t="s">
        <v>815</v>
      </c>
      <c r="B816" s="2">
        <v>42018.731</v>
      </c>
      <c r="C816" s="3" t="s">
        <v>5004</v>
      </c>
      <c r="D816" t="s">
        <v>5016</v>
      </c>
      <c r="E816" t="s">
        <v>5018</v>
      </c>
      <c r="F816" t="s">
        <v>5018</v>
      </c>
      <c r="G816">
        <v>17</v>
      </c>
      <c r="H816" s="5">
        <v>1.7762722132360813E-3</v>
      </c>
      <c r="I816">
        <v>1</v>
      </c>
      <c r="J816" t="b">
        <f>AND(CCData[[#This Row],[Date]]&gt;=Calculation!$E$3,CCData[[#This Row],[Date]]&lt;Calculation!$E$3+7)</f>
        <v>0</v>
      </c>
    </row>
    <row r="817" spans="1:10">
      <c r="A817" t="s">
        <v>816</v>
      </c>
      <c r="B817" s="2">
        <v>42018.731</v>
      </c>
      <c r="C817" s="3" t="s">
        <v>5003</v>
      </c>
      <c r="D817" t="s">
        <v>5016</v>
      </c>
      <c r="E817" t="s">
        <v>5018</v>
      </c>
      <c r="F817" t="s">
        <v>5018</v>
      </c>
      <c r="G817">
        <v>60</v>
      </c>
      <c r="H817" s="5">
        <v>2.9300745041443738E-3</v>
      </c>
      <c r="I817">
        <v>4</v>
      </c>
      <c r="J817" t="b">
        <f>AND(CCData[[#This Row],[Date]]&gt;=Calculation!$E$3,CCData[[#This Row],[Date]]&lt;Calculation!$E$3+7)</f>
        <v>0</v>
      </c>
    </row>
    <row r="818" spans="1:10">
      <c r="A818" t="s">
        <v>817</v>
      </c>
      <c r="B818" s="2">
        <v>42019.402999999998</v>
      </c>
      <c r="C818" s="3" t="s">
        <v>5007</v>
      </c>
      <c r="D818" t="s">
        <v>5012</v>
      </c>
      <c r="E818" t="s">
        <v>5018</v>
      </c>
      <c r="F818" t="s">
        <v>5018</v>
      </c>
      <c r="G818">
        <v>76</v>
      </c>
      <c r="H818" s="5">
        <v>1.2398360727645418E-3</v>
      </c>
      <c r="I818">
        <v>3</v>
      </c>
      <c r="J818" t="b">
        <f>AND(CCData[[#This Row],[Date]]&gt;=Calculation!$E$3,CCData[[#This Row],[Date]]&lt;Calculation!$E$3+7)</f>
        <v>0</v>
      </c>
    </row>
    <row r="819" spans="1:10">
      <c r="A819" t="s">
        <v>818</v>
      </c>
      <c r="B819" s="2">
        <v>42019.402999999998</v>
      </c>
      <c r="C819" s="3" t="s">
        <v>5006</v>
      </c>
      <c r="D819" t="s">
        <v>5012</v>
      </c>
      <c r="E819" t="s">
        <v>5018</v>
      </c>
      <c r="F819" t="s">
        <v>5018</v>
      </c>
      <c r="G819">
        <v>80</v>
      </c>
      <c r="H819" s="5">
        <v>2.7959322357122328E-3</v>
      </c>
      <c r="I819">
        <v>4</v>
      </c>
      <c r="J819" t="b">
        <f>AND(CCData[[#This Row],[Date]]&gt;=Calculation!$E$3,CCData[[#This Row],[Date]]&lt;Calculation!$E$3+7)</f>
        <v>0</v>
      </c>
    </row>
    <row r="820" spans="1:10">
      <c r="A820" t="s">
        <v>819</v>
      </c>
      <c r="B820" s="2">
        <v>42019.402999999998</v>
      </c>
      <c r="C820" s="3" t="s">
        <v>5006</v>
      </c>
      <c r="D820" t="s">
        <v>5015</v>
      </c>
      <c r="E820" t="s">
        <v>5018</v>
      </c>
      <c r="F820" t="s">
        <v>5019</v>
      </c>
      <c r="G820">
        <v>20</v>
      </c>
      <c r="H820" s="5">
        <v>3.896279089420274E-3</v>
      </c>
      <c r="I820">
        <v>4</v>
      </c>
      <c r="J820" t="b">
        <f>AND(CCData[[#This Row],[Date]]&gt;=Calculation!$E$3,CCData[[#This Row],[Date]]&lt;Calculation!$E$3+7)</f>
        <v>0</v>
      </c>
    </row>
    <row r="821" spans="1:10">
      <c r="A821" t="s">
        <v>820</v>
      </c>
      <c r="B821" s="2">
        <v>42019.402999999998</v>
      </c>
      <c r="C821" s="3" t="s">
        <v>5004</v>
      </c>
      <c r="D821" t="s">
        <v>5015</v>
      </c>
      <c r="E821" t="s">
        <v>5018</v>
      </c>
      <c r="F821" t="s">
        <v>5018</v>
      </c>
      <c r="G821">
        <v>82</v>
      </c>
      <c r="H821" s="5">
        <v>4.416025793201315E-3</v>
      </c>
      <c r="I821">
        <v>3</v>
      </c>
      <c r="J821" t="b">
        <f>AND(CCData[[#This Row],[Date]]&gt;=Calculation!$E$3,CCData[[#This Row],[Date]]&lt;Calculation!$E$3+7)</f>
        <v>0</v>
      </c>
    </row>
    <row r="822" spans="1:10">
      <c r="A822" t="s">
        <v>821</v>
      </c>
      <c r="B822" s="2">
        <v>42019.41</v>
      </c>
      <c r="C822" s="3" t="s">
        <v>5005</v>
      </c>
      <c r="D822" t="s">
        <v>5013</v>
      </c>
      <c r="E822" t="s">
        <v>5018</v>
      </c>
      <c r="F822" t="s">
        <v>5018</v>
      </c>
      <c r="G822">
        <v>33</v>
      </c>
      <c r="H822" s="5">
        <v>4.069807905549532E-3</v>
      </c>
      <c r="I822">
        <v>3</v>
      </c>
      <c r="J822" t="b">
        <f>AND(CCData[[#This Row],[Date]]&gt;=Calculation!$E$3,CCData[[#This Row],[Date]]&lt;Calculation!$E$3+7)</f>
        <v>0</v>
      </c>
    </row>
    <row r="823" spans="1:10">
      <c r="A823" t="s">
        <v>822</v>
      </c>
      <c r="B823" s="2">
        <v>42019.41</v>
      </c>
      <c r="C823" s="3" t="s">
        <v>5005</v>
      </c>
      <c r="D823" t="s">
        <v>5015</v>
      </c>
      <c r="E823" t="s">
        <v>5018</v>
      </c>
      <c r="F823" t="s">
        <v>5018</v>
      </c>
      <c r="G823">
        <v>93</v>
      </c>
      <c r="H823" s="5">
        <v>1.3472853370020332E-3</v>
      </c>
      <c r="I823">
        <v>3</v>
      </c>
      <c r="J823" t="b">
        <f>AND(CCData[[#This Row],[Date]]&gt;=Calculation!$E$3,CCData[[#This Row],[Date]]&lt;Calculation!$E$3+7)</f>
        <v>0</v>
      </c>
    </row>
    <row r="824" spans="1:10">
      <c r="A824" t="s">
        <v>823</v>
      </c>
      <c r="B824" s="2">
        <v>42019.455999999998</v>
      </c>
      <c r="C824" s="3" t="s">
        <v>5003</v>
      </c>
      <c r="D824" t="s">
        <v>5016</v>
      </c>
      <c r="E824" t="s">
        <v>5018</v>
      </c>
      <c r="F824" t="s">
        <v>5018</v>
      </c>
      <c r="G824">
        <v>29</v>
      </c>
      <c r="H824" s="5">
        <v>2.0847555893444328E-3</v>
      </c>
      <c r="I824">
        <v>4</v>
      </c>
      <c r="J824" t="b">
        <f>AND(CCData[[#This Row],[Date]]&gt;=Calculation!$E$3,CCData[[#This Row],[Date]]&lt;Calculation!$E$3+7)</f>
        <v>0</v>
      </c>
    </row>
    <row r="825" spans="1:10">
      <c r="A825" t="s">
        <v>824</v>
      </c>
      <c r="B825" s="2">
        <v>42019.455999999998</v>
      </c>
      <c r="C825" s="3" t="s">
        <v>5009</v>
      </c>
      <c r="D825" t="s">
        <v>5015</v>
      </c>
      <c r="E825" t="s">
        <v>5018</v>
      </c>
      <c r="F825" t="s">
        <v>5018</v>
      </c>
      <c r="G825">
        <v>83</v>
      </c>
      <c r="H825" s="5">
        <v>4.7786741192118306E-3</v>
      </c>
      <c r="I825">
        <v>4</v>
      </c>
      <c r="J825" t="b">
        <f>AND(CCData[[#This Row],[Date]]&gt;=Calculation!$E$3,CCData[[#This Row],[Date]]&lt;Calculation!$E$3+7)</f>
        <v>0</v>
      </c>
    </row>
    <row r="826" spans="1:10">
      <c r="A826" t="s">
        <v>825</v>
      </c>
      <c r="B826" s="2">
        <v>42019.48</v>
      </c>
      <c r="C826" s="3" t="s">
        <v>5005</v>
      </c>
      <c r="D826" t="s">
        <v>5014</v>
      </c>
      <c r="E826" t="s">
        <v>5018</v>
      </c>
      <c r="F826" t="s">
        <v>5018</v>
      </c>
      <c r="G826">
        <v>113</v>
      </c>
      <c r="H826" s="5">
        <v>1.4029530214671518E-3</v>
      </c>
      <c r="I826">
        <v>4</v>
      </c>
      <c r="J826" t="b">
        <f>AND(CCData[[#This Row],[Date]]&gt;=Calculation!$E$3,CCData[[#This Row],[Date]]&lt;Calculation!$E$3+7)</f>
        <v>0</v>
      </c>
    </row>
    <row r="827" spans="1:10">
      <c r="A827" t="s">
        <v>826</v>
      </c>
      <c r="B827" s="2">
        <v>42019.48</v>
      </c>
      <c r="C827" s="3" t="s">
        <v>5005</v>
      </c>
      <c r="D827" t="s">
        <v>5015</v>
      </c>
      <c r="E827" t="s">
        <v>5018</v>
      </c>
      <c r="F827" t="s">
        <v>5018</v>
      </c>
      <c r="G827">
        <v>21</v>
      </c>
      <c r="H827" s="5">
        <v>2.3881380576389554E-3</v>
      </c>
      <c r="I827">
        <v>4</v>
      </c>
      <c r="J827" t="b">
        <f>AND(CCData[[#This Row],[Date]]&gt;=Calculation!$E$3,CCData[[#This Row],[Date]]&lt;Calculation!$E$3+7)</f>
        <v>0</v>
      </c>
    </row>
    <row r="828" spans="1:10">
      <c r="A828" t="s">
        <v>827</v>
      </c>
      <c r="B828" s="2">
        <v>42019.485000000001</v>
      </c>
      <c r="C828" s="3" t="s">
        <v>5004</v>
      </c>
      <c r="D828" t="s">
        <v>5015</v>
      </c>
      <c r="E828" t="s">
        <v>5018</v>
      </c>
      <c r="F828" t="s">
        <v>5019</v>
      </c>
      <c r="G828">
        <v>82</v>
      </c>
      <c r="H828" s="5">
        <v>1.8533247917809376E-3</v>
      </c>
      <c r="I828">
        <v>4</v>
      </c>
      <c r="J828" t="b">
        <f>AND(CCData[[#This Row],[Date]]&gt;=Calculation!$E$3,CCData[[#This Row],[Date]]&lt;Calculation!$E$3+7)</f>
        <v>0</v>
      </c>
    </row>
    <row r="829" spans="1:10">
      <c r="A829" t="s">
        <v>828</v>
      </c>
      <c r="B829" s="2">
        <v>42019.485000000001</v>
      </c>
      <c r="C829" s="3" t="s">
        <v>5003</v>
      </c>
      <c r="D829" t="s">
        <v>5016</v>
      </c>
      <c r="E829" t="s">
        <v>5018</v>
      </c>
      <c r="F829" t="s">
        <v>5018</v>
      </c>
      <c r="G829">
        <v>91</v>
      </c>
      <c r="H829" s="5">
        <v>2.6324264647324147E-3</v>
      </c>
      <c r="I829">
        <v>3</v>
      </c>
      <c r="J829" t="b">
        <f>AND(CCData[[#This Row],[Date]]&gt;=Calculation!$E$3,CCData[[#This Row],[Date]]&lt;Calculation!$E$3+7)</f>
        <v>0</v>
      </c>
    </row>
    <row r="830" spans="1:10">
      <c r="A830" t="s">
        <v>829</v>
      </c>
      <c r="B830" s="2">
        <v>42019.49</v>
      </c>
      <c r="C830" s="3" t="s">
        <v>5010</v>
      </c>
      <c r="D830" t="s">
        <v>5013</v>
      </c>
      <c r="E830" t="s">
        <v>5018</v>
      </c>
      <c r="F830" t="s">
        <v>5018</v>
      </c>
      <c r="G830">
        <v>111</v>
      </c>
      <c r="H830" s="5">
        <v>4.6399983756387528E-4</v>
      </c>
      <c r="I830">
        <v>4</v>
      </c>
      <c r="J830" t="b">
        <f>AND(CCData[[#This Row],[Date]]&gt;=Calculation!$E$3,CCData[[#This Row],[Date]]&lt;Calculation!$E$3+7)</f>
        <v>0</v>
      </c>
    </row>
    <row r="831" spans="1:10">
      <c r="A831" t="s">
        <v>830</v>
      </c>
      <c r="B831" s="2">
        <v>42019.49</v>
      </c>
      <c r="C831" s="3" t="s">
        <v>5009</v>
      </c>
      <c r="D831" t="s">
        <v>5015</v>
      </c>
      <c r="E831" t="s">
        <v>5018</v>
      </c>
      <c r="F831" t="s">
        <v>5018</v>
      </c>
      <c r="G831">
        <v>70</v>
      </c>
      <c r="H831" s="5">
        <v>3.6269103971968415E-3</v>
      </c>
      <c r="I831">
        <v>4</v>
      </c>
      <c r="J831" t="b">
        <f>AND(CCData[[#This Row],[Date]]&gt;=Calculation!$E$3,CCData[[#This Row],[Date]]&lt;Calculation!$E$3+7)</f>
        <v>0</v>
      </c>
    </row>
    <row r="832" spans="1:10">
      <c r="A832" t="s">
        <v>831</v>
      </c>
      <c r="B832" s="2">
        <v>42019.574000000001</v>
      </c>
      <c r="C832" s="3" t="s">
        <v>5010</v>
      </c>
      <c r="D832" t="s">
        <v>5013</v>
      </c>
      <c r="E832" t="s">
        <v>5019</v>
      </c>
      <c r="F832" t="s">
        <v>5019</v>
      </c>
      <c r="G832" t="s">
        <v>5022</v>
      </c>
      <c r="H832" s="5" t="s">
        <v>5022</v>
      </c>
      <c r="I832" t="s">
        <v>5022</v>
      </c>
      <c r="J832" t="b">
        <f>AND(CCData[[#This Row],[Date]]&gt;=Calculation!$E$3,CCData[[#This Row],[Date]]&lt;Calculation!$E$3+7)</f>
        <v>0</v>
      </c>
    </row>
    <row r="833" spans="1:10">
      <c r="A833" t="s">
        <v>832</v>
      </c>
      <c r="B833" s="2">
        <v>42019.574000000001</v>
      </c>
      <c r="C833" s="3" t="s">
        <v>5008</v>
      </c>
      <c r="D833" t="s">
        <v>5016</v>
      </c>
      <c r="E833" t="s">
        <v>5018</v>
      </c>
      <c r="F833" t="s">
        <v>5018</v>
      </c>
      <c r="G833">
        <v>58</v>
      </c>
      <c r="H833" s="5">
        <v>2.9970996332862529E-3</v>
      </c>
      <c r="I833">
        <v>4</v>
      </c>
      <c r="J833" t="b">
        <f>AND(CCData[[#This Row],[Date]]&gt;=Calculation!$E$3,CCData[[#This Row],[Date]]&lt;Calculation!$E$3+7)</f>
        <v>0</v>
      </c>
    </row>
    <row r="834" spans="1:10">
      <c r="A834" t="s">
        <v>833</v>
      </c>
      <c r="B834" s="2">
        <v>42019.578999999998</v>
      </c>
      <c r="C834" s="3" t="s">
        <v>5007</v>
      </c>
      <c r="D834" t="s">
        <v>5016</v>
      </c>
      <c r="E834" t="s">
        <v>5018</v>
      </c>
      <c r="F834" t="s">
        <v>5018</v>
      </c>
      <c r="G834">
        <v>10</v>
      </c>
      <c r="H834" s="5">
        <v>3.78524483718886E-3</v>
      </c>
      <c r="I834">
        <v>4</v>
      </c>
      <c r="J834" t="b">
        <f>AND(CCData[[#This Row],[Date]]&gt;=Calculation!$E$3,CCData[[#This Row],[Date]]&lt;Calculation!$E$3+7)</f>
        <v>0</v>
      </c>
    </row>
    <row r="835" spans="1:10">
      <c r="A835" t="s">
        <v>834</v>
      </c>
      <c r="B835" s="2">
        <v>42019.578999999998</v>
      </c>
      <c r="C835" s="3" t="s">
        <v>5004</v>
      </c>
      <c r="D835" t="s">
        <v>5014</v>
      </c>
      <c r="E835" t="s">
        <v>5018</v>
      </c>
      <c r="F835" t="s">
        <v>5018</v>
      </c>
      <c r="G835">
        <v>77</v>
      </c>
      <c r="H835" s="5">
        <v>2.0888465029792985E-3</v>
      </c>
      <c r="I835">
        <v>1</v>
      </c>
      <c r="J835" t="b">
        <f>AND(CCData[[#This Row],[Date]]&gt;=Calculation!$E$3,CCData[[#This Row],[Date]]&lt;Calculation!$E$3+7)</f>
        <v>0</v>
      </c>
    </row>
    <row r="836" spans="1:10">
      <c r="A836" t="s">
        <v>835</v>
      </c>
      <c r="B836" s="2">
        <v>42019.589</v>
      </c>
      <c r="C836" s="3" t="s">
        <v>5003</v>
      </c>
      <c r="D836" t="s">
        <v>5016</v>
      </c>
      <c r="E836" t="s">
        <v>5018</v>
      </c>
      <c r="F836" t="s">
        <v>5018</v>
      </c>
      <c r="G836">
        <v>92</v>
      </c>
      <c r="H836" s="5">
        <v>2.762509939614436E-3</v>
      </c>
      <c r="I836">
        <v>4</v>
      </c>
      <c r="J836" t="b">
        <f>AND(CCData[[#This Row],[Date]]&gt;=Calculation!$E$3,CCData[[#This Row],[Date]]&lt;Calculation!$E$3+7)</f>
        <v>0</v>
      </c>
    </row>
    <row r="837" spans="1:10">
      <c r="A837" t="s">
        <v>836</v>
      </c>
      <c r="B837" s="2">
        <v>42019.589</v>
      </c>
      <c r="C837" s="3" t="s">
        <v>5007</v>
      </c>
      <c r="D837" t="s">
        <v>5015</v>
      </c>
      <c r="E837" t="s">
        <v>5018</v>
      </c>
      <c r="F837" t="s">
        <v>5018</v>
      </c>
      <c r="G837">
        <v>59</v>
      </c>
      <c r="H837" s="5">
        <v>1.4899780102961805E-3</v>
      </c>
      <c r="I837">
        <v>1</v>
      </c>
      <c r="J837" t="b">
        <f>AND(CCData[[#This Row],[Date]]&gt;=Calculation!$E$3,CCData[[#This Row],[Date]]&lt;Calculation!$E$3+7)</f>
        <v>0</v>
      </c>
    </row>
    <row r="838" spans="1:10">
      <c r="A838" t="s">
        <v>837</v>
      </c>
      <c r="B838" s="2">
        <v>42019.593000000001</v>
      </c>
      <c r="C838" s="3" t="s">
        <v>5003</v>
      </c>
      <c r="D838" t="s">
        <v>5015</v>
      </c>
      <c r="E838" t="s">
        <v>5018</v>
      </c>
      <c r="F838" t="s">
        <v>5018</v>
      </c>
      <c r="G838">
        <v>42</v>
      </c>
      <c r="H838" s="5">
        <v>2.9957121641706577E-3</v>
      </c>
      <c r="I838">
        <v>2</v>
      </c>
      <c r="J838" t="b">
        <f>AND(CCData[[#This Row],[Date]]&gt;=Calculation!$E$3,CCData[[#This Row],[Date]]&lt;Calculation!$E$3+7)</f>
        <v>0</v>
      </c>
    </row>
    <row r="839" spans="1:10">
      <c r="A839" t="s">
        <v>838</v>
      </c>
      <c r="B839" s="2">
        <v>42019.593000000001</v>
      </c>
      <c r="C839" s="3" t="s">
        <v>5006</v>
      </c>
      <c r="D839" t="s">
        <v>5014</v>
      </c>
      <c r="E839" t="s">
        <v>5018</v>
      </c>
      <c r="F839" t="s">
        <v>5018</v>
      </c>
      <c r="G839">
        <v>110</v>
      </c>
      <c r="H839" s="5">
        <v>3.1453596968133509E-3</v>
      </c>
      <c r="I839">
        <v>3</v>
      </c>
      <c r="J839" t="b">
        <f>AND(CCData[[#This Row],[Date]]&gt;=Calculation!$E$3,CCData[[#This Row],[Date]]&lt;Calculation!$E$3+7)</f>
        <v>0</v>
      </c>
    </row>
    <row r="840" spans="1:10">
      <c r="A840" t="s">
        <v>839</v>
      </c>
      <c r="B840" s="2">
        <v>42019.625999999997</v>
      </c>
      <c r="C840" s="3" t="s">
        <v>5007</v>
      </c>
      <c r="D840" t="s">
        <v>5012</v>
      </c>
      <c r="E840" t="s">
        <v>5018</v>
      </c>
      <c r="F840" t="s">
        <v>5018</v>
      </c>
      <c r="G840">
        <v>21</v>
      </c>
      <c r="H840" s="5">
        <v>1.066894991238552E-3</v>
      </c>
      <c r="I840">
        <v>5</v>
      </c>
      <c r="J840" t="b">
        <f>AND(CCData[[#This Row],[Date]]&gt;=Calculation!$E$3,CCData[[#This Row],[Date]]&lt;Calculation!$E$3+7)</f>
        <v>0</v>
      </c>
    </row>
    <row r="841" spans="1:10">
      <c r="A841" t="s">
        <v>840</v>
      </c>
      <c r="B841" s="2">
        <v>42019.625999999997</v>
      </c>
      <c r="C841" s="3" t="s">
        <v>5003</v>
      </c>
      <c r="D841" t="s">
        <v>5014</v>
      </c>
      <c r="E841" t="s">
        <v>5019</v>
      </c>
      <c r="F841" t="s">
        <v>5019</v>
      </c>
      <c r="G841" t="s">
        <v>5022</v>
      </c>
      <c r="H841" s="5" t="s">
        <v>5022</v>
      </c>
      <c r="I841" t="s">
        <v>5022</v>
      </c>
      <c r="J841" t="b">
        <f>AND(CCData[[#This Row],[Date]]&gt;=Calculation!$E$3,CCData[[#This Row],[Date]]&lt;Calculation!$E$3+7)</f>
        <v>0</v>
      </c>
    </row>
    <row r="842" spans="1:10">
      <c r="A842" t="s">
        <v>841</v>
      </c>
      <c r="B842" s="2">
        <v>42019.64</v>
      </c>
      <c r="C842" s="3" t="s">
        <v>5003</v>
      </c>
      <c r="D842" t="s">
        <v>5013</v>
      </c>
      <c r="E842" t="s">
        <v>5018</v>
      </c>
      <c r="F842" t="s">
        <v>5019</v>
      </c>
      <c r="G842">
        <v>60</v>
      </c>
      <c r="H842" s="5">
        <v>2.4059455907880587E-3</v>
      </c>
      <c r="I842">
        <v>4</v>
      </c>
      <c r="J842" t="b">
        <f>AND(CCData[[#This Row],[Date]]&gt;=Calculation!$E$3,CCData[[#This Row],[Date]]&lt;Calculation!$E$3+7)</f>
        <v>0</v>
      </c>
    </row>
    <row r="843" spans="1:10">
      <c r="A843" t="s">
        <v>842</v>
      </c>
      <c r="B843" s="2">
        <v>42019.64</v>
      </c>
      <c r="C843" s="3" t="s">
        <v>5006</v>
      </c>
      <c r="D843" t="s">
        <v>5014</v>
      </c>
      <c r="E843" t="s">
        <v>5018</v>
      </c>
      <c r="F843" t="s">
        <v>5018</v>
      </c>
      <c r="G843">
        <v>93</v>
      </c>
      <c r="H843" s="5">
        <v>1.6836037129917497E-3</v>
      </c>
      <c r="I843">
        <v>2</v>
      </c>
      <c r="J843" t="b">
        <f>AND(CCData[[#This Row],[Date]]&gt;=Calculation!$E$3,CCData[[#This Row],[Date]]&lt;Calculation!$E$3+7)</f>
        <v>0</v>
      </c>
    </row>
    <row r="844" spans="1:10">
      <c r="A844" t="s">
        <v>843</v>
      </c>
      <c r="B844" s="2">
        <v>42019.646000000001</v>
      </c>
      <c r="C844" s="3" t="s">
        <v>5006</v>
      </c>
      <c r="D844" t="s">
        <v>5012</v>
      </c>
      <c r="E844" t="s">
        <v>5019</v>
      </c>
      <c r="F844" t="s">
        <v>5019</v>
      </c>
      <c r="G844" t="s">
        <v>5022</v>
      </c>
      <c r="H844" s="5" t="s">
        <v>5022</v>
      </c>
      <c r="I844" t="s">
        <v>5022</v>
      </c>
      <c r="J844" t="b">
        <f>AND(CCData[[#This Row],[Date]]&gt;=Calculation!$E$3,CCData[[#This Row],[Date]]&lt;Calculation!$E$3+7)</f>
        <v>0</v>
      </c>
    </row>
    <row r="845" spans="1:10">
      <c r="A845" t="s">
        <v>844</v>
      </c>
      <c r="B845" s="2">
        <v>42019.646000000001</v>
      </c>
      <c r="C845" s="3" t="s">
        <v>5003</v>
      </c>
      <c r="D845" t="s">
        <v>5016</v>
      </c>
      <c r="E845" t="s">
        <v>5018</v>
      </c>
      <c r="F845" t="s">
        <v>5018</v>
      </c>
      <c r="G845">
        <v>79</v>
      </c>
      <c r="H845" s="5">
        <v>4.301203178340699E-3</v>
      </c>
      <c r="I845">
        <v>3</v>
      </c>
      <c r="J845" t="b">
        <f>AND(CCData[[#This Row],[Date]]&gt;=Calculation!$E$3,CCData[[#This Row],[Date]]&lt;Calculation!$E$3+7)</f>
        <v>0</v>
      </c>
    </row>
    <row r="846" spans="1:10">
      <c r="A846" t="s">
        <v>845</v>
      </c>
      <c r="B846" s="2">
        <v>42019.656999999999</v>
      </c>
      <c r="C846" s="3" t="s">
        <v>5003</v>
      </c>
      <c r="D846" t="s">
        <v>5013</v>
      </c>
      <c r="E846" t="s">
        <v>5018</v>
      </c>
      <c r="F846" t="s">
        <v>5018</v>
      </c>
      <c r="G846">
        <v>21</v>
      </c>
      <c r="H846" s="5">
        <v>4.1279178815976786E-3</v>
      </c>
      <c r="I846">
        <v>5</v>
      </c>
      <c r="J846" t="b">
        <f>AND(CCData[[#This Row],[Date]]&gt;=Calculation!$E$3,CCData[[#This Row],[Date]]&lt;Calculation!$E$3+7)</f>
        <v>0</v>
      </c>
    </row>
    <row r="847" spans="1:10">
      <c r="A847" t="s">
        <v>846</v>
      </c>
      <c r="B847" s="2">
        <v>42019.656999999999</v>
      </c>
      <c r="C847" s="3" t="s">
        <v>5005</v>
      </c>
      <c r="D847" t="s">
        <v>5012</v>
      </c>
      <c r="E847" t="s">
        <v>5018</v>
      </c>
      <c r="F847" t="s">
        <v>5018</v>
      </c>
      <c r="G847">
        <v>102</v>
      </c>
      <c r="H847" s="5">
        <v>1.9184454279172973E-3</v>
      </c>
      <c r="I847">
        <v>5</v>
      </c>
      <c r="J847" t="b">
        <f>AND(CCData[[#This Row],[Date]]&gt;=Calculation!$E$3,CCData[[#This Row],[Date]]&lt;Calculation!$E$3+7)</f>
        <v>0</v>
      </c>
    </row>
    <row r="848" spans="1:10">
      <c r="A848" t="s">
        <v>847</v>
      </c>
      <c r="B848" s="2">
        <v>42019.671000000002</v>
      </c>
      <c r="C848" s="3" t="s">
        <v>5008</v>
      </c>
      <c r="D848" t="s">
        <v>5014</v>
      </c>
      <c r="E848" t="s">
        <v>5018</v>
      </c>
      <c r="F848" t="s">
        <v>5019</v>
      </c>
      <c r="G848">
        <v>10</v>
      </c>
      <c r="H848" s="5">
        <v>9.0824464430398755E-4</v>
      </c>
      <c r="I848">
        <v>5</v>
      </c>
      <c r="J848" t="b">
        <f>AND(CCData[[#This Row],[Date]]&gt;=Calculation!$E$3,CCData[[#This Row],[Date]]&lt;Calculation!$E$3+7)</f>
        <v>0</v>
      </c>
    </row>
    <row r="849" spans="1:10">
      <c r="A849" t="s">
        <v>848</v>
      </c>
      <c r="B849" s="2">
        <v>42019.671000000002</v>
      </c>
      <c r="C849" s="3" t="s">
        <v>5005</v>
      </c>
      <c r="D849" t="s">
        <v>5013</v>
      </c>
      <c r="E849" t="s">
        <v>5018</v>
      </c>
      <c r="F849" t="s">
        <v>5018</v>
      </c>
      <c r="G849">
        <v>117</v>
      </c>
      <c r="H849" s="5">
        <v>4.6900839722564954E-4</v>
      </c>
      <c r="I849">
        <v>4</v>
      </c>
      <c r="J849" t="b">
        <f>AND(CCData[[#This Row],[Date]]&gt;=Calculation!$E$3,CCData[[#This Row],[Date]]&lt;Calculation!$E$3+7)</f>
        <v>0</v>
      </c>
    </row>
    <row r="850" spans="1:10">
      <c r="A850" t="s">
        <v>849</v>
      </c>
      <c r="B850" s="2">
        <v>42019.692999999999</v>
      </c>
      <c r="C850" s="3" t="s">
        <v>5004</v>
      </c>
      <c r="D850" t="s">
        <v>5012</v>
      </c>
      <c r="E850" t="s">
        <v>5018</v>
      </c>
      <c r="F850" t="s">
        <v>5018</v>
      </c>
      <c r="G850">
        <v>45</v>
      </c>
      <c r="H850" s="5">
        <v>4.7816869097899884E-3</v>
      </c>
      <c r="I850">
        <v>3</v>
      </c>
      <c r="J850" t="b">
        <f>AND(CCData[[#This Row],[Date]]&gt;=Calculation!$E$3,CCData[[#This Row],[Date]]&lt;Calculation!$E$3+7)</f>
        <v>0</v>
      </c>
    </row>
    <row r="851" spans="1:10">
      <c r="A851" t="s">
        <v>850</v>
      </c>
      <c r="B851" s="2">
        <v>42019.692999999999</v>
      </c>
      <c r="C851" s="3" t="s">
        <v>5006</v>
      </c>
      <c r="D851" t="s">
        <v>5015</v>
      </c>
      <c r="E851" t="s">
        <v>5018</v>
      </c>
      <c r="F851" t="s">
        <v>5019</v>
      </c>
      <c r="G851">
        <v>50</v>
      </c>
      <c r="H851" s="5">
        <v>7.0084716623167469E-4</v>
      </c>
      <c r="I851">
        <v>3</v>
      </c>
      <c r="J851" t="b">
        <f>AND(CCData[[#This Row],[Date]]&gt;=Calculation!$E$3,CCData[[#This Row],[Date]]&lt;Calculation!$E$3+7)</f>
        <v>0</v>
      </c>
    </row>
    <row r="852" spans="1:10">
      <c r="A852" t="s">
        <v>851</v>
      </c>
      <c r="B852" s="2">
        <v>42019.695</v>
      </c>
      <c r="C852" s="3" t="s">
        <v>5004</v>
      </c>
      <c r="D852" t="s">
        <v>5015</v>
      </c>
      <c r="E852" t="s">
        <v>5018</v>
      </c>
      <c r="F852" t="s">
        <v>5018</v>
      </c>
      <c r="G852">
        <v>42</v>
      </c>
      <c r="H852" s="5">
        <v>1.9492884361551361E-3</v>
      </c>
      <c r="I852">
        <v>3</v>
      </c>
      <c r="J852" t="b">
        <f>AND(CCData[[#This Row],[Date]]&gt;=Calculation!$E$3,CCData[[#This Row],[Date]]&lt;Calculation!$E$3+7)</f>
        <v>0</v>
      </c>
    </row>
    <row r="853" spans="1:10">
      <c r="A853" t="s">
        <v>852</v>
      </c>
      <c r="B853" s="2">
        <v>42019.695</v>
      </c>
      <c r="C853" s="3" t="s">
        <v>5007</v>
      </c>
      <c r="D853" t="s">
        <v>5012</v>
      </c>
      <c r="E853" t="s">
        <v>5018</v>
      </c>
      <c r="F853" t="s">
        <v>5018</v>
      </c>
      <c r="G853">
        <v>86</v>
      </c>
      <c r="H853" s="5">
        <v>4.1979928908341888E-3</v>
      </c>
      <c r="I853">
        <v>3</v>
      </c>
      <c r="J853" t="b">
        <f>AND(CCData[[#This Row],[Date]]&gt;=Calculation!$E$3,CCData[[#This Row],[Date]]&lt;Calculation!$E$3+7)</f>
        <v>0</v>
      </c>
    </row>
    <row r="854" spans="1:10">
      <c r="A854" t="s">
        <v>853</v>
      </c>
      <c r="B854" s="2">
        <v>42019.697</v>
      </c>
      <c r="C854" s="3" t="s">
        <v>5007</v>
      </c>
      <c r="D854" t="s">
        <v>5012</v>
      </c>
      <c r="E854" t="s">
        <v>5018</v>
      </c>
      <c r="F854" t="s">
        <v>5018</v>
      </c>
      <c r="G854">
        <v>92</v>
      </c>
      <c r="H854" s="5">
        <v>3.276475168858423E-3</v>
      </c>
      <c r="I854">
        <v>5</v>
      </c>
      <c r="J854" t="b">
        <f>AND(CCData[[#This Row],[Date]]&gt;=Calculation!$E$3,CCData[[#This Row],[Date]]&lt;Calculation!$E$3+7)</f>
        <v>0</v>
      </c>
    </row>
    <row r="855" spans="1:10">
      <c r="A855" t="s">
        <v>854</v>
      </c>
      <c r="B855" s="2">
        <v>42019.697</v>
      </c>
      <c r="C855" s="3" t="s">
        <v>5003</v>
      </c>
      <c r="D855" t="s">
        <v>5016</v>
      </c>
      <c r="E855" t="s">
        <v>5018</v>
      </c>
      <c r="F855" t="s">
        <v>5018</v>
      </c>
      <c r="G855">
        <v>54</v>
      </c>
      <c r="H855" s="5">
        <v>3.9235361425788073E-3</v>
      </c>
      <c r="I855">
        <v>5</v>
      </c>
      <c r="J855" t="b">
        <f>AND(CCData[[#This Row],[Date]]&gt;=Calculation!$E$3,CCData[[#This Row],[Date]]&lt;Calculation!$E$3+7)</f>
        <v>0</v>
      </c>
    </row>
    <row r="856" spans="1:10">
      <c r="A856" t="s">
        <v>855</v>
      </c>
      <c r="B856" s="2">
        <v>42019.722999999998</v>
      </c>
      <c r="C856" s="3" t="s">
        <v>5010</v>
      </c>
      <c r="D856" t="s">
        <v>5016</v>
      </c>
      <c r="E856" t="s">
        <v>5018</v>
      </c>
      <c r="F856" t="s">
        <v>5018</v>
      </c>
      <c r="G856">
        <v>76</v>
      </c>
      <c r="H856" s="5">
        <v>4.5671325259377671E-3</v>
      </c>
      <c r="I856">
        <v>3</v>
      </c>
      <c r="J856" t="b">
        <f>AND(CCData[[#This Row],[Date]]&gt;=Calculation!$E$3,CCData[[#This Row],[Date]]&lt;Calculation!$E$3+7)</f>
        <v>0</v>
      </c>
    </row>
    <row r="857" spans="1:10">
      <c r="A857" t="s">
        <v>856</v>
      </c>
      <c r="B857" s="2">
        <v>42019.722999999998</v>
      </c>
      <c r="C857" s="3" t="s">
        <v>5006</v>
      </c>
      <c r="D857" t="s">
        <v>5015</v>
      </c>
      <c r="E857" t="s">
        <v>5018</v>
      </c>
      <c r="F857" t="s">
        <v>5018</v>
      </c>
      <c r="G857">
        <v>49</v>
      </c>
      <c r="H857" s="5">
        <v>1.3746892193042682E-3</v>
      </c>
      <c r="I857">
        <v>5</v>
      </c>
      <c r="J857" t="b">
        <f>AND(CCData[[#This Row],[Date]]&gt;=Calculation!$E$3,CCData[[#This Row],[Date]]&lt;Calculation!$E$3+7)</f>
        <v>0</v>
      </c>
    </row>
    <row r="858" spans="1:10">
      <c r="A858" t="s">
        <v>857</v>
      </c>
      <c r="B858" s="2">
        <v>42019.735000000001</v>
      </c>
      <c r="C858" s="3" t="s">
        <v>5008</v>
      </c>
      <c r="D858" t="s">
        <v>5012</v>
      </c>
      <c r="E858" t="s">
        <v>5018</v>
      </c>
      <c r="F858" t="s">
        <v>5018</v>
      </c>
      <c r="G858">
        <v>13</v>
      </c>
      <c r="H858" s="5">
        <v>3.3583198956441589E-3</v>
      </c>
      <c r="I858">
        <v>3</v>
      </c>
      <c r="J858" t="b">
        <f>AND(CCData[[#This Row],[Date]]&gt;=Calculation!$E$3,CCData[[#This Row],[Date]]&lt;Calculation!$E$3+7)</f>
        <v>0</v>
      </c>
    </row>
    <row r="859" spans="1:10">
      <c r="A859" t="s">
        <v>858</v>
      </c>
      <c r="B859" s="2">
        <v>42019.735000000001</v>
      </c>
      <c r="C859" s="3" t="s">
        <v>5004</v>
      </c>
      <c r="D859" t="s">
        <v>5014</v>
      </c>
      <c r="E859" t="s">
        <v>5019</v>
      </c>
      <c r="F859" t="s">
        <v>5019</v>
      </c>
      <c r="G859" t="s">
        <v>5022</v>
      </c>
      <c r="H859" s="5" t="s">
        <v>5022</v>
      </c>
      <c r="I859" t="s">
        <v>5022</v>
      </c>
      <c r="J859" t="b">
        <f>AND(CCData[[#This Row],[Date]]&gt;=Calculation!$E$3,CCData[[#This Row],[Date]]&lt;Calculation!$E$3+7)</f>
        <v>0</v>
      </c>
    </row>
    <row r="860" spans="1:10">
      <c r="A860" t="s">
        <v>859</v>
      </c>
      <c r="B860" s="2">
        <v>42019.737000000001</v>
      </c>
      <c r="C860" s="3" t="s">
        <v>5004</v>
      </c>
      <c r="D860" t="s">
        <v>5016</v>
      </c>
      <c r="E860" t="s">
        <v>5018</v>
      </c>
      <c r="F860" t="s">
        <v>5018</v>
      </c>
      <c r="G860">
        <v>24</v>
      </c>
      <c r="H860" s="5">
        <v>3.8143784331408129E-3</v>
      </c>
      <c r="I860">
        <v>5</v>
      </c>
      <c r="J860" t="b">
        <f>AND(CCData[[#This Row],[Date]]&gt;=Calculation!$E$3,CCData[[#This Row],[Date]]&lt;Calculation!$E$3+7)</f>
        <v>0</v>
      </c>
    </row>
    <row r="861" spans="1:10">
      <c r="A861" t="s">
        <v>860</v>
      </c>
      <c r="B861" s="2">
        <v>42019.737000000001</v>
      </c>
      <c r="C861" s="3" t="s">
        <v>5004</v>
      </c>
      <c r="D861" t="s">
        <v>5016</v>
      </c>
      <c r="E861" t="s">
        <v>5018</v>
      </c>
      <c r="F861" t="s">
        <v>5018</v>
      </c>
      <c r="G861">
        <v>71</v>
      </c>
      <c r="H861" s="5">
        <v>1.8451781106321114E-3</v>
      </c>
      <c r="I861">
        <v>3</v>
      </c>
      <c r="J861" t="b">
        <f>AND(CCData[[#This Row],[Date]]&gt;=Calculation!$E$3,CCData[[#This Row],[Date]]&lt;Calculation!$E$3+7)</f>
        <v>0</v>
      </c>
    </row>
    <row r="862" spans="1:10">
      <c r="A862" t="s">
        <v>861</v>
      </c>
      <c r="B862" s="2">
        <v>42019.75</v>
      </c>
      <c r="C862" s="3" t="s">
        <v>5005</v>
      </c>
      <c r="D862" t="s">
        <v>5015</v>
      </c>
      <c r="E862" t="s">
        <v>5018</v>
      </c>
      <c r="F862" t="s">
        <v>5018</v>
      </c>
      <c r="G862">
        <v>42</v>
      </c>
      <c r="H862" s="5">
        <v>4.3220948637489251E-3</v>
      </c>
      <c r="I862">
        <v>3</v>
      </c>
      <c r="J862" t="b">
        <f>AND(CCData[[#This Row],[Date]]&gt;=Calculation!$E$3,CCData[[#This Row],[Date]]&lt;Calculation!$E$3+7)</f>
        <v>0</v>
      </c>
    </row>
    <row r="863" spans="1:10">
      <c r="A863" t="s">
        <v>862</v>
      </c>
      <c r="B863" s="2">
        <v>42019.75</v>
      </c>
      <c r="C863" s="3" t="s">
        <v>5004</v>
      </c>
      <c r="D863" t="s">
        <v>5016</v>
      </c>
      <c r="E863" t="s">
        <v>5018</v>
      </c>
      <c r="F863" t="s">
        <v>5018</v>
      </c>
      <c r="G863">
        <v>63</v>
      </c>
      <c r="H863" s="5">
        <v>3.7621175970777381E-3</v>
      </c>
      <c r="I863">
        <v>1</v>
      </c>
      <c r="J863" t="b">
        <f>AND(CCData[[#This Row],[Date]]&gt;=Calculation!$E$3,CCData[[#This Row],[Date]]&lt;Calculation!$E$3+7)</f>
        <v>0</v>
      </c>
    </row>
    <row r="864" spans="1:10">
      <c r="A864" t="s">
        <v>863</v>
      </c>
      <c r="B864" s="2">
        <v>42020.375</v>
      </c>
      <c r="C864" s="3" t="s">
        <v>5004</v>
      </c>
      <c r="D864" t="s">
        <v>5013</v>
      </c>
      <c r="E864" t="s">
        <v>5018</v>
      </c>
      <c r="F864" t="s">
        <v>5019</v>
      </c>
      <c r="G864">
        <v>19</v>
      </c>
      <c r="H864" s="5">
        <v>4.1451743693881818E-4</v>
      </c>
      <c r="I864">
        <v>5</v>
      </c>
      <c r="J864" t="b">
        <f>AND(CCData[[#This Row],[Date]]&gt;=Calculation!$E$3,CCData[[#This Row],[Date]]&lt;Calculation!$E$3+7)</f>
        <v>0</v>
      </c>
    </row>
    <row r="865" spans="1:10">
      <c r="A865" t="s">
        <v>864</v>
      </c>
      <c r="B865" s="2">
        <v>42020.375</v>
      </c>
      <c r="C865" s="3" t="s">
        <v>5010</v>
      </c>
      <c r="D865" t="s">
        <v>5016</v>
      </c>
      <c r="E865" t="s">
        <v>5018</v>
      </c>
      <c r="F865" t="s">
        <v>5018</v>
      </c>
      <c r="G865">
        <v>107</v>
      </c>
      <c r="H865" s="5">
        <v>3.5944031753514312E-3</v>
      </c>
      <c r="I865">
        <v>1</v>
      </c>
      <c r="J865" t="b">
        <f>AND(CCData[[#This Row],[Date]]&gt;=Calculation!$E$3,CCData[[#This Row],[Date]]&lt;Calculation!$E$3+7)</f>
        <v>0</v>
      </c>
    </row>
    <row r="866" spans="1:10">
      <c r="A866" t="s">
        <v>865</v>
      </c>
      <c r="B866" s="2">
        <v>42020.430999999997</v>
      </c>
      <c r="C866" s="3" t="s">
        <v>5010</v>
      </c>
      <c r="D866" t="s">
        <v>5013</v>
      </c>
      <c r="E866" t="s">
        <v>5019</v>
      </c>
      <c r="F866" t="s">
        <v>5019</v>
      </c>
      <c r="G866" t="s">
        <v>5022</v>
      </c>
      <c r="H866" s="5" t="s">
        <v>5022</v>
      </c>
      <c r="I866" t="s">
        <v>5022</v>
      </c>
      <c r="J866" t="b">
        <f>AND(CCData[[#This Row],[Date]]&gt;=Calculation!$E$3,CCData[[#This Row],[Date]]&lt;Calculation!$E$3+7)</f>
        <v>0</v>
      </c>
    </row>
    <row r="867" spans="1:10">
      <c r="A867" t="s">
        <v>866</v>
      </c>
      <c r="B867" s="2">
        <v>42020.430999999997</v>
      </c>
      <c r="C867" s="3" t="s">
        <v>5009</v>
      </c>
      <c r="D867" t="s">
        <v>5015</v>
      </c>
      <c r="E867" t="s">
        <v>5018</v>
      </c>
      <c r="F867" t="s">
        <v>5018</v>
      </c>
      <c r="G867">
        <v>85</v>
      </c>
      <c r="H867" s="5">
        <v>3.7116558589461797E-3</v>
      </c>
      <c r="I867">
        <v>4</v>
      </c>
      <c r="J867" t="b">
        <f>AND(CCData[[#This Row],[Date]]&gt;=Calculation!$E$3,CCData[[#This Row],[Date]]&lt;Calculation!$E$3+7)</f>
        <v>0</v>
      </c>
    </row>
    <row r="868" spans="1:10">
      <c r="A868" t="s">
        <v>867</v>
      </c>
      <c r="B868" s="2">
        <v>42020.438000000002</v>
      </c>
      <c r="C868" s="3" t="s">
        <v>5003</v>
      </c>
      <c r="D868" t="s">
        <v>5013</v>
      </c>
      <c r="E868" t="s">
        <v>5018</v>
      </c>
      <c r="F868" t="s">
        <v>5018</v>
      </c>
      <c r="G868">
        <v>15</v>
      </c>
      <c r="H868" s="5">
        <v>8.0372583887785773E-4</v>
      </c>
      <c r="I868">
        <v>2</v>
      </c>
      <c r="J868" t="b">
        <f>AND(CCData[[#This Row],[Date]]&gt;=Calculation!$E$3,CCData[[#This Row],[Date]]&lt;Calculation!$E$3+7)</f>
        <v>0</v>
      </c>
    </row>
    <row r="869" spans="1:10">
      <c r="A869" t="s">
        <v>868</v>
      </c>
      <c r="B869" s="2">
        <v>42020.438000000002</v>
      </c>
      <c r="C869" s="3" t="s">
        <v>5004</v>
      </c>
      <c r="D869" t="s">
        <v>5013</v>
      </c>
      <c r="E869" t="s">
        <v>5018</v>
      </c>
      <c r="F869" t="s">
        <v>5018</v>
      </c>
      <c r="G869">
        <v>111</v>
      </c>
      <c r="H869" s="5">
        <v>4.6862824947309731E-3</v>
      </c>
      <c r="I869">
        <v>5</v>
      </c>
      <c r="J869" t="b">
        <f>AND(CCData[[#This Row],[Date]]&gt;=Calculation!$E$3,CCData[[#This Row],[Date]]&lt;Calculation!$E$3+7)</f>
        <v>0</v>
      </c>
    </row>
    <row r="870" spans="1:10">
      <c r="A870" t="s">
        <v>869</v>
      </c>
      <c r="B870" s="2">
        <v>42020.453000000001</v>
      </c>
      <c r="C870" s="3" t="s">
        <v>5003</v>
      </c>
      <c r="D870" t="s">
        <v>5012</v>
      </c>
      <c r="E870" t="s">
        <v>5018</v>
      </c>
      <c r="F870" t="s">
        <v>5018</v>
      </c>
      <c r="G870">
        <v>23</v>
      </c>
      <c r="H870" s="5">
        <v>7.0081754542490962E-4</v>
      </c>
      <c r="I870">
        <v>4</v>
      </c>
      <c r="J870" t="b">
        <f>AND(CCData[[#This Row],[Date]]&gt;=Calculation!$E$3,CCData[[#This Row],[Date]]&lt;Calculation!$E$3+7)</f>
        <v>0</v>
      </c>
    </row>
    <row r="871" spans="1:10">
      <c r="A871" t="s">
        <v>870</v>
      </c>
      <c r="B871" s="2">
        <v>42020.453000000001</v>
      </c>
      <c r="C871" s="3" t="s">
        <v>5010</v>
      </c>
      <c r="D871" t="s">
        <v>5014</v>
      </c>
      <c r="E871" t="s">
        <v>5018</v>
      </c>
      <c r="F871" t="s">
        <v>5018</v>
      </c>
      <c r="G871">
        <v>115</v>
      </c>
      <c r="H871" s="5">
        <v>4.1671525733900569E-4</v>
      </c>
      <c r="I871">
        <v>3</v>
      </c>
      <c r="J871" t="b">
        <f>AND(CCData[[#This Row],[Date]]&gt;=Calculation!$E$3,CCData[[#This Row],[Date]]&lt;Calculation!$E$3+7)</f>
        <v>0</v>
      </c>
    </row>
    <row r="872" spans="1:10">
      <c r="A872" t="s">
        <v>871</v>
      </c>
      <c r="B872" s="2">
        <v>42020.464</v>
      </c>
      <c r="C872" s="3" t="s">
        <v>5007</v>
      </c>
      <c r="D872" t="s">
        <v>5013</v>
      </c>
      <c r="E872" t="s">
        <v>5018</v>
      </c>
      <c r="F872" t="s">
        <v>5018</v>
      </c>
      <c r="G872">
        <v>83</v>
      </c>
      <c r="H872" s="5">
        <v>6.0069793217733291E-4</v>
      </c>
      <c r="I872">
        <v>3</v>
      </c>
      <c r="J872" t="b">
        <f>AND(CCData[[#This Row],[Date]]&gt;=Calculation!$E$3,CCData[[#This Row],[Date]]&lt;Calculation!$E$3+7)</f>
        <v>0</v>
      </c>
    </row>
    <row r="873" spans="1:10">
      <c r="A873" t="s">
        <v>872</v>
      </c>
      <c r="B873" s="2">
        <v>42020.464</v>
      </c>
      <c r="C873" s="3" t="s">
        <v>5006</v>
      </c>
      <c r="D873" t="s">
        <v>5015</v>
      </c>
      <c r="E873" t="s">
        <v>5019</v>
      </c>
      <c r="F873" t="s">
        <v>5019</v>
      </c>
      <c r="G873" t="s">
        <v>5022</v>
      </c>
      <c r="H873" s="5" t="s">
        <v>5022</v>
      </c>
      <c r="I873" t="s">
        <v>5022</v>
      </c>
      <c r="J873" t="b">
        <f>AND(CCData[[#This Row],[Date]]&gt;=Calculation!$E$3,CCData[[#This Row],[Date]]&lt;Calculation!$E$3+7)</f>
        <v>0</v>
      </c>
    </row>
    <row r="874" spans="1:10">
      <c r="A874" t="s">
        <v>873</v>
      </c>
      <c r="B874" s="2">
        <v>42020.51</v>
      </c>
      <c r="C874" s="3" t="s">
        <v>5004</v>
      </c>
      <c r="D874" t="s">
        <v>5016</v>
      </c>
      <c r="E874" t="s">
        <v>5019</v>
      </c>
      <c r="F874" t="s">
        <v>5019</v>
      </c>
      <c r="G874" t="s">
        <v>5022</v>
      </c>
      <c r="H874" s="5" t="s">
        <v>5022</v>
      </c>
      <c r="I874" t="s">
        <v>5022</v>
      </c>
      <c r="J874" t="b">
        <f>AND(CCData[[#This Row],[Date]]&gt;=Calculation!$E$3,CCData[[#This Row],[Date]]&lt;Calculation!$E$3+7)</f>
        <v>0</v>
      </c>
    </row>
    <row r="875" spans="1:10">
      <c r="A875" t="s">
        <v>874</v>
      </c>
      <c r="B875" s="2">
        <v>42020.51</v>
      </c>
      <c r="C875" s="3" t="s">
        <v>5006</v>
      </c>
      <c r="D875" t="s">
        <v>5013</v>
      </c>
      <c r="E875" t="s">
        <v>5018</v>
      </c>
      <c r="F875" t="s">
        <v>5018</v>
      </c>
      <c r="G875">
        <v>50</v>
      </c>
      <c r="H875" s="5">
        <v>4.50594587859401E-3</v>
      </c>
      <c r="I875">
        <v>3</v>
      </c>
      <c r="J875" t="b">
        <f>AND(CCData[[#This Row],[Date]]&gt;=Calculation!$E$3,CCData[[#This Row],[Date]]&lt;Calculation!$E$3+7)</f>
        <v>0</v>
      </c>
    </row>
    <row r="876" spans="1:10">
      <c r="A876" t="s">
        <v>875</v>
      </c>
      <c r="B876" s="2">
        <v>42020.52</v>
      </c>
      <c r="C876" s="3" t="s">
        <v>5004</v>
      </c>
      <c r="D876" t="s">
        <v>5014</v>
      </c>
      <c r="E876" t="s">
        <v>5018</v>
      </c>
      <c r="F876" t="s">
        <v>5018</v>
      </c>
      <c r="G876">
        <v>19</v>
      </c>
      <c r="H876" s="5">
        <v>9.5825466550231121E-4</v>
      </c>
      <c r="I876">
        <v>3</v>
      </c>
      <c r="J876" t="b">
        <f>AND(CCData[[#This Row],[Date]]&gt;=Calculation!$E$3,CCData[[#This Row],[Date]]&lt;Calculation!$E$3+7)</f>
        <v>0</v>
      </c>
    </row>
    <row r="877" spans="1:10">
      <c r="A877" t="s">
        <v>876</v>
      </c>
      <c r="B877" s="2">
        <v>42020.52</v>
      </c>
      <c r="C877" s="3" t="s">
        <v>5003</v>
      </c>
      <c r="D877" t="s">
        <v>5012</v>
      </c>
      <c r="E877" t="s">
        <v>5018</v>
      </c>
      <c r="F877" t="s">
        <v>5019</v>
      </c>
      <c r="G877">
        <v>107</v>
      </c>
      <c r="H877" s="5">
        <v>2.5042646753395221E-3</v>
      </c>
      <c r="I877">
        <v>4</v>
      </c>
      <c r="J877" t="b">
        <f>AND(CCData[[#This Row],[Date]]&gt;=Calculation!$E$3,CCData[[#This Row],[Date]]&lt;Calculation!$E$3+7)</f>
        <v>0</v>
      </c>
    </row>
    <row r="878" spans="1:10">
      <c r="A878" t="s">
        <v>877</v>
      </c>
      <c r="B878" s="2">
        <v>42020.531000000003</v>
      </c>
      <c r="C878" s="3" t="s">
        <v>5008</v>
      </c>
      <c r="D878" t="s">
        <v>5015</v>
      </c>
      <c r="E878" t="s">
        <v>5018</v>
      </c>
      <c r="F878" t="s">
        <v>5019</v>
      </c>
      <c r="G878">
        <v>121</v>
      </c>
      <c r="H878" s="5">
        <v>2.6541773173693402E-3</v>
      </c>
      <c r="I878">
        <v>3</v>
      </c>
      <c r="J878" t="b">
        <f>AND(CCData[[#This Row],[Date]]&gt;=Calculation!$E$3,CCData[[#This Row],[Date]]&lt;Calculation!$E$3+7)</f>
        <v>0</v>
      </c>
    </row>
    <row r="879" spans="1:10">
      <c r="A879" t="s">
        <v>878</v>
      </c>
      <c r="B879" s="2">
        <v>42020.531000000003</v>
      </c>
      <c r="C879" s="3" t="s">
        <v>5010</v>
      </c>
      <c r="D879" t="s">
        <v>5014</v>
      </c>
      <c r="E879" t="s">
        <v>5018</v>
      </c>
      <c r="F879" t="s">
        <v>5018</v>
      </c>
      <c r="G879">
        <v>55</v>
      </c>
      <c r="H879" s="5">
        <v>3.5503047533093504E-3</v>
      </c>
      <c r="I879">
        <v>3</v>
      </c>
      <c r="J879" t="b">
        <f>AND(CCData[[#This Row],[Date]]&gt;=Calculation!$E$3,CCData[[#This Row],[Date]]&lt;Calculation!$E$3+7)</f>
        <v>0</v>
      </c>
    </row>
    <row r="880" spans="1:10">
      <c r="A880" t="s">
        <v>879</v>
      </c>
      <c r="B880" s="2">
        <v>42020.538999999997</v>
      </c>
      <c r="C880" s="3" t="s">
        <v>5004</v>
      </c>
      <c r="D880" t="s">
        <v>5016</v>
      </c>
      <c r="E880" t="s">
        <v>5018</v>
      </c>
      <c r="F880" t="s">
        <v>5018</v>
      </c>
      <c r="G880">
        <v>92</v>
      </c>
      <c r="H880" s="5">
        <v>9.194746820474722E-4</v>
      </c>
      <c r="I880">
        <v>2</v>
      </c>
      <c r="J880" t="b">
        <f>AND(CCData[[#This Row],[Date]]&gt;=Calculation!$E$3,CCData[[#This Row],[Date]]&lt;Calculation!$E$3+7)</f>
        <v>0</v>
      </c>
    </row>
    <row r="881" spans="1:10">
      <c r="A881" t="s">
        <v>880</v>
      </c>
      <c r="B881" s="2">
        <v>42020.538999999997</v>
      </c>
      <c r="C881" s="3" t="s">
        <v>5005</v>
      </c>
      <c r="D881" t="s">
        <v>5015</v>
      </c>
      <c r="E881" t="s">
        <v>5018</v>
      </c>
      <c r="F881" t="s">
        <v>5019</v>
      </c>
      <c r="G881">
        <v>24</v>
      </c>
      <c r="H881" s="5">
        <v>4.0303053936852247E-3</v>
      </c>
      <c r="I881">
        <v>3</v>
      </c>
      <c r="J881" t="b">
        <f>AND(CCData[[#This Row],[Date]]&gt;=Calculation!$E$3,CCData[[#This Row],[Date]]&lt;Calculation!$E$3+7)</f>
        <v>0</v>
      </c>
    </row>
    <row r="882" spans="1:10">
      <c r="A882" t="s">
        <v>881</v>
      </c>
      <c r="B882" s="2">
        <v>42020.544000000002</v>
      </c>
      <c r="C882" s="3" t="s">
        <v>5009</v>
      </c>
      <c r="D882" t="s">
        <v>5013</v>
      </c>
      <c r="E882" t="s">
        <v>5019</v>
      </c>
      <c r="F882" t="s">
        <v>5019</v>
      </c>
      <c r="G882" t="s">
        <v>5022</v>
      </c>
      <c r="H882" s="5" t="s">
        <v>5022</v>
      </c>
      <c r="I882" t="s">
        <v>5022</v>
      </c>
      <c r="J882" t="b">
        <f>AND(CCData[[#This Row],[Date]]&gt;=Calculation!$E$3,CCData[[#This Row],[Date]]&lt;Calculation!$E$3+7)</f>
        <v>0</v>
      </c>
    </row>
    <row r="883" spans="1:10">
      <c r="A883" t="s">
        <v>882</v>
      </c>
      <c r="B883" s="2">
        <v>42020.544000000002</v>
      </c>
      <c r="C883" s="3" t="s">
        <v>5007</v>
      </c>
      <c r="D883" t="s">
        <v>5016</v>
      </c>
      <c r="E883" t="s">
        <v>5018</v>
      </c>
      <c r="F883" t="s">
        <v>5018</v>
      </c>
      <c r="G883">
        <v>58</v>
      </c>
      <c r="H883" s="5">
        <v>1.5988657699645254E-3</v>
      </c>
      <c r="I883">
        <v>5</v>
      </c>
      <c r="J883" t="b">
        <f>AND(CCData[[#This Row],[Date]]&gt;=Calculation!$E$3,CCData[[#This Row],[Date]]&lt;Calculation!$E$3+7)</f>
        <v>0</v>
      </c>
    </row>
    <row r="884" spans="1:10">
      <c r="A884" t="s">
        <v>883</v>
      </c>
      <c r="B884" s="2">
        <v>42020.565999999999</v>
      </c>
      <c r="C884" s="3" t="s">
        <v>5010</v>
      </c>
      <c r="D884" t="s">
        <v>5013</v>
      </c>
      <c r="E884" t="s">
        <v>5019</v>
      </c>
      <c r="F884" t="s">
        <v>5019</v>
      </c>
      <c r="G884" t="s">
        <v>5022</v>
      </c>
      <c r="H884" s="5" t="s">
        <v>5022</v>
      </c>
      <c r="I884" t="s">
        <v>5022</v>
      </c>
      <c r="J884" t="b">
        <f>AND(CCData[[#This Row],[Date]]&gt;=Calculation!$E$3,CCData[[#This Row],[Date]]&lt;Calculation!$E$3+7)</f>
        <v>0</v>
      </c>
    </row>
    <row r="885" spans="1:10">
      <c r="A885" t="s">
        <v>884</v>
      </c>
      <c r="B885" s="2">
        <v>42020.565999999999</v>
      </c>
      <c r="C885" s="3" t="s">
        <v>5005</v>
      </c>
      <c r="D885" t="s">
        <v>5014</v>
      </c>
      <c r="E885" t="s">
        <v>5019</v>
      </c>
      <c r="F885" t="s">
        <v>5019</v>
      </c>
      <c r="G885" t="s">
        <v>5022</v>
      </c>
      <c r="H885" s="5" t="s">
        <v>5022</v>
      </c>
      <c r="I885" t="s">
        <v>5022</v>
      </c>
      <c r="J885" t="b">
        <f>AND(CCData[[#This Row],[Date]]&gt;=Calculation!$E$3,CCData[[#This Row],[Date]]&lt;Calculation!$E$3+7)</f>
        <v>0</v>
      </c>
    </row>
    <row r="886" spans="1:10">
      <c r="A886" t="s">
        <v>885</v>
      </c>
      <c r="B886" s="2">
        <v>42020.567000000003</v>
      </c>
      <c r="C886" s="3" t="s">
        <v>5006</v>
      </c>
      <c r="D886" t="s">
        <v>5016</v>
      </c>
      <c r="E886" t="s">
        <v>5018</v>
      </c>
      <c r="F886" t="s">
        <v>5018</v>
      </c>
      <c r="G886">
        <v>28</v>
      </c>
      <c r="H886" s="5">
        <v>4.8012249960476226E-3</v>
      </c>
      <c r="I886">
        <v>4</v>
      </c>
      <c r="J886" t="b">
        <f>AND(CCData[[#This Row],[Date]]&gt;=Calculation!$E$3,CCData[[#This Row],[Date]]&lt;Calculation!$E$3+7)</f>
        <v>0</v>
      </c>
    </row>
    <row r="887" spans="1:10">
      <c r="A887" t="s">
        <v>886</v>
      </c>
      <c r="B887" s="2">
        <v>42020.567000000003</v>
      </c>
      <c r="C887" s="3" t="s">
        <v>5008</v>
      </c>
      <c r="D887" t="s">
        <v>5013</v>
      </c>
      <c r="E887" t="s">
        <v>5018</v>
      </c>
      <c r="F887" t="s">
        <v>5018</v>
      </c>
      <c r="G887">
        <v>30</v>
      </c>
      <c r="H887" s="5">
        <v>4.7299306503222104E-3</v>
      </c>
      <c r="I887">
        <v>4</v>
      </c>
      <c r="J887" t="b">
        <f>AND(CCData[[#This Row],[Date]]&gt;=Calculation!$E$3,CCData[[#This Row],[Date]]&lt;Calculation!$E$3+7)</f>
        <v>0</v>
      </c>
    </row>
    <row r="888" spans="1:10">
      <c r="A888" t="s">
        <v>887</v>
      </c>
      <c r="B888" s="2">
        <v>42020.584999999999</v>
      </c>
      <c r="C888" s="3" t="s">
        <v>5006</v>
      </c>
      <c r="D888" t="s">
        <v>5015</v>
      </c>
      <c r="E888" t="s">
        <v>5018</v>
      </c>
      <c r="F888" t="s">
        <v>5018</v>
      </c>
      <c r="G888">
        <v>84</v>
      </c>
      <c r="H888" s="5">
        <v>1.8703183481500474E-3</v>
      </c>
      <c r="I888">
        <v>3</v>
      </c>
      <c r="J888" t="b">
        <f>AND(CCData[[#This Row],[Date]]&gt;=Calculation!$E$3,CCData[[#This Row],[Date]]&lt;Calculation!$E$3+7)</f>
        <v>0</v>
      </c>
    </row>
    <row r="889" spans="1:10">
      <c r="A889" t="s">
        <v>888</v>
      </c>
      <c r="B889" s="2">
        <v>42020.584999999999</v>
      </c>
      <c r="C889" s="3" t="s">
        <v>5007</v>
      </c>
      <c r="D889" t="s">
        <v>5013</v>
      </c>
      <c r="E889" t="s">
        <v>5018</v>
      </c>
      <c r="F889" t="s">
        <v>5018</v>
      </c>
      <c r="G889">
        <v>78</v>
      </c>
      <c r="H889" s="5">
        <v>3.4347883662445861E-3</v>
      </c>
      <c r="I889">
        <v>2</v>
      </c>
      <c r="J889" t="b">
        <f>AND(CCData[[#This Row],[Date]]&gt;=Calculation!$E$3,CCData[[#This Row],[Date]]&lt;Calculation!$E$3+7)</f>
        <v>0</v>
      </c>
    </row>
    <row r="890" spans="1:10">
      <c r="A890" t="s">
        <v>889</v>
      </c>
      <c r="B890" s="2">
        <v>42020.591</v>
      </c>
      <c r="C890" s="3" t="s">
        <v>5007</v>
      </c>
      <c r="D890" t="s">
        <v>5015</v>
      </c>
      <c r="E890" t="s">
        <v>5018</v>
      </c>
      <c r="F890" t="s">
        <v>5018</v>
      </c>
      <c r="G890">
        <v>122</v>
      </c>
      <c r="H890" s="5">
        <v>7.530481573388006E-4</v>
      </c>
      <c r="I890">
        <v>3</v>
      </c>
      <c r="J890" t="b">
        <f>AND(CCData[[#This Row],[Date]]&gt;=Calculation!$E$3,CCData[[#This Row],[Date]]&lt;Calculation!$E$3+7)</f>
        <v>0</v>
      </c>
    </row>
    <row r="891" spans="1:10">
      <c r="A891" t="s">
        <v>890</v>
      </c>
      <c r="B891" s="2">
        <v>42020.591</v>
      </c>
      <c r="C891" s="3" t="s">
        <v>5003</v>
      </c>
      <c r="D891" t="s">
        <v>5012</v>
      </c>
      <c r="E891" t="s">
        <v>5018</v>
      </c>
      <c r="F891" t="s">
        <v>5018</v>
      </c>
      <c r="G891">
        <v>26</v>
      </c>
      <c r="H891" s="5">
        <v>8.1826480910694558E-4</v>
      </c>
      <c r="I891">
        <v>1</v>
      </c>
      <c r="J891" t="b">
        <f>AND(CCData[[#This Row],[Date]]&gt;=Calculation!$E$3,CCData[[#This Row],[Date]]&lt;Calculation!$E$3+7)</f>
        <v>0</v>
      </c>
    </row>
    <row r="892" spans="1:10">
      <c r="A892" t="s">
        <v>891</v>
      </c>
      <c r="B892" s="2">
        <v>42020.601000000002</v>
      </c>
      <c r="C892" s="3" t="s">
        <v>5007</v>
      </c>
      <c r="D892" t="s">
        <v>5013</v>
      </c>
      <c r="E892" t="s">
        <v>5018</v>
      </c>
      <c r="F892" t="s">
        <v>5018</v>
      </c>
      <c r="G892">
        <v>95</v>
      </c>
      <c r="H892" s="5">
        <v>6.5402527261123147E-4</v>
      </c>
      <c r="I892">
        <v>3</v>
      </c>
      <c r="J892" t="b">
        <f>AND(CCData[[#This Row],[Date]]&gt;=Calculation!$E$3,CCData[[#This Row],[Date]]&lt;Calculation!$E$3+7)</f>
        <v>0</v>
      </c>
    </row>
    <row r="893" spans="1:10">
      <c r="A893" t="s">
        <v>892</v>
      </c>
      <c r="B893" s="2">
        <v>42020.601000000002</v>
      </c>
      <c r="C893" s="3" t="s">
        <v>5005</v>
      </c>
      <c r="D893" t="s">
        <v>5013</v>
      </c>
      <c r="E893" t="s">
        <v>5018</v>
      </c>
      <c r="F893" t="s">
        <v>5018</v>
      </c>
      <c r="G893">
        <v>45</v>
      </c>
      <c r="H893" s="5">
        <v>1.249426050577899E-3</v>
      </c>
      <c r="I893">
        <v>4</v>
      </c>
      <c r="J893" t="b">
        <f>AND(CCData[[#This Row],[Date]]&gt;=Calculation!$E$3,CCData[[#This Row],[Date]]&lt;Calculation!$E$3+7)</f>
        <v>0</v>
      </c>
    </row>
    <row r="894" spans="1:10">
      <c r="A894" t="s">
        <v>893</v>
      </c>
      <c r="B894" s="2">
        <v>42020.610999999997</v>
      </c>
      <c r="C894" s="3" t="s">
        <v>5003</v>
      </c>
      <c r="D894" t="s">
        <v>5013</v>
      </c>
      <c r="E894" t="s">
        <v>5019</v>
      </c>
      <c r="F894" t="s">
        <v>5019</v>
      </c>
      <c r="G894" t="s">
        <v>5022</v>
      </c>
      <c r="H894" s="5" t="s">
        <v>5022</v>
      </c>
      <c r="I894" t="s">
        <v>5022</v>
      </c>
      <c r="J894" t="b">
        <f>AND(CCData[[#This Row],[Date]]&gt;=Calculation!$E$3,CCData[[#This Row],[Date]]&lt;Calculation!$E$3+7)</f>
        <v>0</v>
      </c>
    </row>
    <row r="895" spans="1:10">
      <c r="A895" t="s">
        <v>894</v>
      </c>
      <c r="B895" s="2">
        <v>42020.610999999997</v>
      </c>
      <c r="C895" s="3" t="s">
        <v>5003</v>
      </c>
      <c r="D895" t="s">
        <v>5012</v>
      </c>
      <c r="E895" t="s">
        <v>5019</v>
      </c>
      <c r="F895" t="s">
        <v>5019</v>
      </c>
      <c r="G895" t="s">
        <v>5022</v>
      </c>
      <c r="H895" s="5" t="s">
        <v>5022</v>
      </c>
      <c r="I895" t="s">
        <v>5022</v>
      </c>
      <c r="J895" t="b">
        <f>AND(CCData[[#This Row],[Date]]&gt;=Calculation!$E$3,CCData[[#This Row],[Date]]&lt;Calculation!$E$3+7)</f>
        <v>0</v>
      </c>
    </row>
    <row r="896" spans="1:10">
      <c r="A896" t="s">
        <v>895</v>
      </c>
      <c r="B896" s="2">
        <v>42020.618000000002</v>
      </c>
      <c r="C896" s="3" t="s">
        <v>5010</v>
      </c>
      <c r="D896" t="s">
        <v>5016</v>
      </c>
      <c r="E896" t="s">
        <v>5018</v>
      </c>
      <c r="F896" t="s">
        <v>5019</v>
      </c>
      <c r="G896">
        <v>76</v>
      </c>
      <c r="H896" s="5">
        <v>4.6306683732244593E-3</v>
      </c>
      <c r="I896">
        <v>3</v>
      </c>
      <c r="J896" t="b">
        <f>AND(CCData[[#This Row],[Date]]&gt;=Calculation!$E$3,CCData[[#This Row],[Date]]&lt;Calculation!$E$3+7)</f>
        <v>0</v>
      </c>
    </row>
    <row r="897" spans="1:10">
      <c r="A897" t="s">
        <v>896</v>
      </c>
      <c r="B897" s="2">
        <v>42020.618000000002</v>
      </c>
      <c r="C897" s="3" t="s">
        <v>5009</v>
      </c>
      <c r="D897" t="s">
        <v>5016</v>
      </c>
      <c r="E897" t="s">
        <v>5018</v>
      </c>
      <c r="F897" t="s">
        <v>5019</v>
      </c>
      <c r="G897">
        <v>97</v>
      </c>
      <c r="H897" s="5">
        <v>1.1154769657986563E-3</v>
      </c>
      <c r="I897">
        <v>4</v>
      </c>
      <c r="J897" t="b">
        <f>AND(CCData[[#This Row],[Date]]&gt;=Calculation!$E$3,CCData[[#This Row],[Date]]&lt;Calculation!$E$3+7)</f>
        <v>0</v>
      </c>
    </row>
    <row r="898" spans="1:10">
      <c r="A898" t="s">
        <v>897</v>
      </c>
      <c r="B898" s="2">
        <v>42020.642</v>
      </c>
      <c r="C898" s="3" t="s">
        <v>5005</v>
      </c>
      <c r="D898" t="s">
        <v>5013</v>
      </c>
      <c r="E898" t="s">
        <v>5019</v>
      </c>
      <c r="F898" t="s">
        <v>5019</v>
      </c>
      <c r="G898" t="s">
        <v>5022</v>
      </c>
      <c r="H898" s="5" t="s">
        <v>5022</v>
      </c>
      <c r="I898" t="s">
        <v>5022</v>
      </c>
      <c r="J898" t="b">
        <f>AND(CCData[[#This Row],[Date]]&gt;=Calculation!$E$3,CCData[[#This Row],[Date]]&lt;Calculation!$E$3+7)</f>
        <v>0</v>
      </c>
    </row>
    <row r="899" spans="1:10">
      <c r="A899" t="s">
        <v>898</v>
      </c>
      <c r="B899" s="2">
        <v>42020.642</v>
      </c>
      <c r="C899" s="3" t="s">
        <v>5005</v>
      </c>
      <c r="D899" t="s">
        <v>5012</v>
      </c>
      <c r="E899" t="s">
        <v>5018</v>
      </c>
      <c r="F899" t="s">
        <v>5018</v>
      </c>
      <c r="G899">
        <v>22</v>
      </c>
      <c r="H899" s="5">
        <v>2.048079054559573E-3</v>
      </c>
      <c r="I899">
        <v>3</v>
      </c>
      <c r="J899" t="b">
        <f>AND(CCData[[#This Row],[Date]]&gt;=Calculation!$E$3,CCData[[#This Row],[Date]]&lt;Calculation!$E$3+7)</f>
        <v>0</v>
      </c>
    </row>
    <row r="900" spans="1:10">
      <c r="A900" t="s">
        <v>899</v>
      </c>
      <c r="B900" s="2">
        <v>42020.646000000001</v>
      </c>
      <c r="C900" s="3" t="s">
        <v>5004</v>
      </c>
      <c r="D900" t="s">
        <v>5016</v>
      </c>
      <c r="E900" t="s">
        <v>5018</v>
      </c>
      <c r="F900" t="s">
        <v>5019</v>
      </c>
      <c r="G900">
        <v>55</v>
      </c>
      <c r="H900" s="5">
        <v>6.0581954392503919E-4</v>
      </c>
      <c r="I900">
        <v>3</v>
      </c>
      <c r="J900" t="b">
        <f>AND(CCData[[#This Row],[Date]]&gt;=Calculation!$E$3,CCData[[#This Row],[Date]]&lt;Calculation!$E$3+7)</f>
        <v>0</v>
      </c>
    </row>
    <row r="901" spans="1:10">
      <c r="A901" t="s">
        <v>900</v>
      </c>
      <c r="B901" s="2">
        <v>42020.646000000001</v>
      </c>
      <c r="C901" s="3" t="s">
        <v>5008</v>
      </c>
      <c r="D901" t="s">
        <v>5014</v>
      </c>
      <c r="E901" t="s">
        <v>5018</v>
      </c>
      <c r="F901" t="s">
        <v>5019</v>
      </c>
      <c r="G901">
        <v>64</v>
      </c>
      <c r="H901" s="5">
        <v>7.9148550642991523E-4</v>
      </c>
      <c r="I901">
        <v>4</v>
      </c>
      <c r="J901" t="b">
        <f>AND(CCData[[#This Row],[Date]]&gt;=Calculation!$E$3,CCData[[#This Row],[Date]]&lt;Calculation!$E$3+7)</f>
        <v>0</v>
      </c>
    </row>
    <row r="902" spans="1:10">
      <c r="A902" t="s">
        <v>901</v>
      </c>
      <c r="B902" s="2">
        <v>42020.658000000003</v>
      </c>
      <c r="C902" s="3" t="s">
        <v>5006</v>
      </c>
      <c r="D902" t="s">
        <v>5016</v>
      </c>
      <c r="E902" t="s">
        <v>5018</v>
      </c>
      <c r="F902" t="s">
        <v>5018</v>
      </c>
      <c r="G902">
        <v>87</v>
      </c>
      <c r="H902" s="5">
        <v>8.4083084491310843E-4</v>
      </c>
      <c r="I902">
        <v>3</v>
      </c>
      <c r="J902" t="b">
        <f>AND(CCData[[#This Row],[Date]]&gt;=Calculation!$E$3,CCData[[#This Row],[Date]]&lt;Calculation!$E$3+7)</f>
        <v>0</v>
      </c>
    </row>
    <row r="903" spans="1:10">
      <c r="A903" t="s">
        <v>902</v>
      </c>
      <c r="B903" s="2">
        <v>42020.658000000003</v>
      </c>
      <c r="C903" s="3" t="s">
        <v>5005</v>
      </c>
      <c r="D903" t="s">
        <v>5013</v>
      </c>
      <c r="E903" t="s">
        <v>5019</v>
      </c>
      <c r="F903" t="s">
        <v>5019</v>
      </c>
      <c r="G903" t="s">
        <v>5022</v>
      </c>
      <c r="H903" s="5" t="s">
        <v>5022</v>
      </c>
      <c r="I903" t="s">
        <v>5022</v>
      </c>
      <c r="J903" t="b">
        <f>AND(CCData[[#This Row],[Date]]&gt;=Calculation!$E$3,CCData[[#This Row],[Date]]&lt;Calculation!$E$3+7)</f>
        <v>0</v>
      </c>
    </row>
    <row r="904" spans="1:10">
      <c r="A904" t="s">
        <v>903</v>
      </c>
      <c r="B904" s="2">
        <v>42020.661999999997</v>
      </c>
      <c r="C904" s="3" t="s">
        <v>5009</v>
      </c>
      <c r="D904" t="s">
        <v>5016</v>
      </c>
      <c r="E904" t="s">
        <v>5018</v>
      </c>
      <c r="F904" t="s">
        <v>5018</v>
      </c>
      <c r="G904">
        <v>79</v>
      </c>
      <c r="H904" s="5">
        <v>2.778745106535618E-3</v>
      </c>
      <c r="I904">
        <v>4</v>
      </c>
      <c r="J904" t="b">
        <f>AND(CCData[[#This Row],[Date]]&gt;=Calculation!$E$3,CCData[[#This Row],[Date]]&lt;Calculation!$E$3+7)</f>
        <v>0</v>
      </c>
    </row>
    <row r="905" spans="1:10">
      <c r="A905" t="s">
        <v>904</v>
      </c>
      <c r="B905" s="2">
        <v>42020.661999999997</v>
      </c>
      <c r="C905" s="3" t="s">
        <v>5004</v>
      </c>
      <c r="D905" t="s">
        <v>5012</v>
      </c>
      <c r="E905" t="s">
        <v>5018</v>
      </c>
      <c r="F905" t="s">
        <v>5018</v>
      </c>
      <c r="G905">
        <v>33</v>
      </c>
      <c r="H905" s="5">
        <v>3.4914174538418453E-3</v>
      </c>
      <c r="I905">
        <v>4</v>
      </c>
      <c r="J905" t="b">
        <f>AND(CCData[[#This Row],[Date]]&gt;=Calculation!$E$3,CCData[[#This Row],[Date]]&lt;Calculation!$E$3+7)</f>
        <v>0</v>
      </c>
    </row>
    <row r="906" spans="1:10">
      <c r="A906" t="s">
        <v>905</v>
      </c>
      <c r="B906" s="2">
        <v>42020.690999999999</v>
      </c>
      <c r="C906" s="3" t="s">
        <v>5008</v>
      </c>
      <c r="D906" t="s">
        <v>5013</v>
      </c>
      <c r="E906" t="s">
        <v>5018</v>
      </c>
      <c r="F906" t="s">
        <v>5018</v>
      </c>
      <c r="G906">
        <v>114</v>
      </c>
      <c r="H906" s="5">
        <v>3.7266456571165246E-3</v>
      </c>
      <c r="I906">
        <v>4</v>
      </c>
      <c r="J906" t="b">
        <f>AND(CCData[[#This Row],[Date]]&gt;=Calculation!$E$3,CCData[[#This Row],[Date]]&lt;Calculation!$E$3+7)</f>
        <v>0</v>
      </c>
    </row>
    <row r="907" spans="1:10">
      <c r="A907" t="s">
        <v>906</v>
      </c>
      <c r="B907" s="2">
        <v>42020.690999999999</v>
      </c>
      <c r="C907" s="3" t="s">
        <v>5005</v>
      </c>
      <c r="D907" t="s">
        <v>5013</v>
      </c>
      <c r="E907" t="s">
        <v>5018</v>
      </c>
      <c r="F907" t="s">
        <v>5018</v>
      </c>
      <c r="G907">
        <v>112</v>
      </c>
      <c r="H907" s="5">
        <v>6.215112149905096E-4</v>
      </c>
      <c r="I907">
        <v>5</v>
      </c>
      <c r="J907" t="b">
        <f>AND(CCData[[#This Row],[Date]]&gt;=Calculation!$E$3,CCData[[#This Row],[Date]]&lt;Calculation!$E$3+7)</f>
        <v>0</v>
      </c>
    </row>
    <row r="908" spans="1:10">
      <c r="A908" t="s">
        <v>907</v>
      </c>
      <c r="B908" s="2">
        <v>42020.692000000003</v>
      </c>
      <c r="C908" s="3" t="s">
        <v>5004</v>
      </c>
      <c r="D908" t="s">
        <v>5013</v>
      </c>
      <c r="E908" t="s">
        <v>5018</v>
      </c>
      <c r="F908" t="s">
        <v>5018</v>
      </c>
      <c r="G908">
        <v>61</v>
      </c>
      <c r="H908" s="5">
        <v>4.3312026261357554E-3</v>
      </c>
      <c r="I908">
        <v>3</v>
      </c>
      <c r="J908" t="b">
        <f>AND(CCData[[#This Row],[Date]]&gt;=Calculation!$E$3,CCData[[#This Row],[Date]]&lt;Calculation!$E$3+7)</f>
        <v>0</v>
      </c>
    </row>
    <row r="909" spans="1:10">
      <c r="A909" t="s">
        <v>908</v>
      </c>
      <c r="B909" s="2">
        <v>42020.692000000003</v>
      </c>
      <c r="C909" s="3" t="s">
        <v>5007</v>
      </c>
      <c r="D909" t="s">
        <v>5013</v>
      </c>
      <c r="E909" t="s">
        <v>5019</v>
      </c>
      <c r="F909" t="s">
        <v>5019</v>
      </c>
      <c r="G909" t="s">
        <v>5022</v>
      </c>
      <c r="H909" s="5" t="s">
        <v>5022</v>
      </c>
      <c r="I909" t="s">
        <v>5022</v>
      </c>
      <c r="J909" t="b">
        <f>AND(CCData[[#This Row],[Date]]&gt;=Calculation!$E$3,CCData[[#This Row],[Date]]&lt;Calculation!$E$3+7)</f>
        <v>0</v>
      </c>
    </row>
    <row r="910" spans="1:10">
      <c r="A910" t="s">
        <v>909</v>
      </c>
      <c r="B910" s="2">
        <v>42020.703000000001</v>
      </c>
      <c r="C910" s="3" t="s">
        <v>5007</v>
      </c>
      <c r="D910" t="s">
        <v>5014</v>
      </c>
      <c r="E910" t="s">
        <v>5018</v>
      </c>
      <c r="F910" t="s">
        <v>5019</v>
      </c>
      <c r="G910">
        <v>58</v>
      </c>
      <c r="H910" s="5">
        <v>3.132643468719689E-3</v>
      </c>
      <c r="I910">
        <v>2</v>
      </c>
      <c r="J910" t="b">
        <f>AND(CCData[[#This Row],[Date]]&gt;=Calculation!$E$3,CCData[[#This Row],[Date]]&lt;Calculation!$E$3+7)</f>
        <v>0</v>
      </c>
    </row>
    <row r="911" spans="1:10">
      <c r="A911" t="s">
        <v>910</v>
      </c>
      <c r="B911" s="2">
        <v>42020.703000000001</v>
      </c>
      <c r="C911" s="3" t="s">
        <v>5004</v>
      </c>
      <c r="D911" t="s">
        <v>5016</v>
      </c>
      <c r="E911" t="s">
        <v>5018</v>
      </c>
      <c r="F911" t="s">
        <v>5018</v>
      </c>
      <c r="G911">
        <v>13</v>
      </c>
      <c r="H911" s="5">
        <v>1.4413697426760841E-3</v>
      </c>
      <c r="I911">
        <v>3</v>
      </c>
      <c r="J911" t="b">
        <f>AND(CCData[[#This Row],[Date]]&gt;=Calculation!$E$3,CCData[[#This Row],[Date]]&lt;Calculation!$E$3+7)</f>
        <v>0</v>
      </c>
    </row>
    <row r="912" spans="1:10">
      <c r="A912" t="s">
        <v>911</v>
      </c>
      <c r="B912" s="2">
        <v>42020.737999999998</v>
      </c>
      <c r="C912" s="3" t="s">
        <v>5005</v>
      </c>
      <c r="D912" t="s">
        <v>5012</v>
      </c>
      <c r="E912" t="s">
        <v>5018</v>
      </c>
      <c r="F912" t="s">
        <v>5018</v>
      </c>
      <c r="G912">
        <v>36</v>
      </c>
      <c r="H912" s="5">
        <v>2.7534974771919437E-3</v>
      </c>
      <c r="I912">
        <v>4</v>
      </c>
      <c r="J912" t="b">
        <f>AND(CCData[[#This Row],[Date]]&gt;=Calculation!$E$3,CCData[[#This Row],[Date]]&lt;Calculation!$E$3+7)</f>
        <v>0</v>
      </c>
    </row>
    <row r="913" spans="1:10">
      <c r="A913" t="s">
        <v>912</v>
      </c>
      <c r="B913" s="2">
        <v>42020.737999999998</v>
      </c>
      <c r="C913" s="3" t="s">
        <v>5006</v>
      </c>
      <c r="D913" t="s">
        <v>5012</v>
      </c>
      <c r="E913" t="s">
        <v>5018</v>
      </c>
      <c r="F913" t="s">
        <v>5018</v>
      </c>
      <c r="G913">
        <v>48</v>
      </c>
      <c r="H913" s="5">
        <v>2.5189770384730771E-3</v>
      </c>
      <c r="I913">
        <v>3</v>
      </c>
      <c r="J913" t="b">
        <f>AND(CCData[[#This Row],[Date]]&gt;=Calculation!$E$3,CCData[[#This Row],[Date]]&lt;Calculation!$E$3+7)</f>
        <v>0</v>
      </c>
    </row>
    <row r="914" spans="1:10">
      <c r="A914" t="s">
        <v>913</v>
      </c>
      <c r="B914" s="2">
        <v>42020.748</v>
      </c>
      <c r="C914" s="3" t="s">
        <v>5005</v>
      </c>
      <c r="D914" t="s">
        <v>5014</v>
      </c>
      <c r="E914" t="s">
        <v>5018</v>
      </c>
      <c r="F914" t="s">
        <v>5018</v>
      </c>
      <c r="G914">
        <v>99</v>
      </c>
      <c r="H914" s="5">
        <v>3.8519984217190255E-4</v>
      </c>
      <c r="I914">
        <v>5</v>
      </c>
      <c r="J914" t="b">
        <f>AND(CCData[[#This Row],[Date]]&gt;=Calculation!$E$3,CCData[[#This Row],[Date]]&lt;Calculation!$E$3+7)</f>
        <v>0</v>
      </c>
    </row>
    <row r="915" spans="1:10">
      <c r="A915" t="s">
        <v>914</v>
      </c>
      <c r="B915" s="2">
        <v>42020.748</v>
      </c>
      <c r="C915" s="3" t="s">
        <v>5008</v>
      </c>
      <c r="D915" t="s">
        <v>5013</v>
      </c>
      <c r="E915" t="s">
        <v>5018</v>
      </c>
      <c r="F915" t="s">
        <v>5018</v>
      </c>
      <c r="G915">
        <v>78</v>
      </c>
      <c r="H915" s="5">
        <v>1.2351083053551541E-3</v>
      </c>
      <c r="I915">
        <v>3</v>
      </c>
      <c r="J915" t="b">
        <f>AND(CCData[[#This Row],[Date]]&gt;=Calculation!$E$3,CCData[[#This Row],[Date]]&lt;Calculation!$E$3+7)</f>
        <v>0</v>
      </c>
    </row>
    <row r="916" spans="1:10">
      <c r="A916" t="s">
        <v>915</v>
      </c>
      <c r="B916" s="2">
        <v>42020.749000000003</v>
      </c>
      <c r="C916" s="3" t="s">
        <v>5006</v>
      </c>
      <c r="D916" t="s">
        <v>5016</v>
      </c>
      <c r="E916" t="s">
        <v>5018</v>
      </c>
      <c r="F916" t="s">
        <v>5018</v>
      </c>
      <c r="G916">
        <v>82</v>
      </c>
      <c r="H916" s="5">
        <v>1.9945996496398923E-3</v>
      </c>
      <c r="I916">
        <v>4</v>
      </c>
      <c r="J916" t="b">
        <f>AND(CCData[[#This Row],[Date]]&gt;=Calculation!$E$3,CCData[[#This Row],[Date]]&lt;Calculation!$E$3+7)</f>
        <v>0</v>
      </c>
    </row>
    <row r="917" spans="1:10">
      <c r="A917" t="s">
        <v>916</v>
      </c>
      <c r="B917" s="2">
        <v>42020.749000000003</v>
      </c>
      <c r="C917" s="3" t="s">
        <v>5004</v>
      </c>
      <c r="D917" t="s">
        <v>5015</v>
      </c>
      <c r="E917" t="s">
        <v>5019</v>
      </c>
      <c r="F917" t="s">
        <v>5019</v>
      </c>
      <c r="G917" t="s">
        <v>5022</v>
      </c>
      <c r="H917" s="5" t="s">
        <v>5022</v>
      </c>
      <c r="I917" t="s">
        <v>5022</v>
      </c>
      <c r="J917" t="b">
        <f>AND(CCData[[#This Row],[Date]]&gt;=Calculation!$E$3,CCData[[#This Row],[Date]]&lt;Calculation!$E$3+7)</f>
        <v>0</v>
      </c>
    </row>
    <row r="918" spans="1:10">
      <c r="A918" t="s">
        <v>917</v>
      </c>
      <c r="B918" s="2">
        <v>42020.75</v>
      </c>
      <c r="C918" s="3" t="s">
        <v>5005</v>
      </c>
      <c r="D918" t="s">
        <v>5016</v>
      </c>
      <c r="E918" t="s">
        <v>5018</v>
      </c>
      <c r="F918" t="s">
        <v>5018</v>
      </c>
      <c r="G918">
        <v>19</v>
      </c>
      <c r="H918" s="5">
        <v>1.1877460900699445E-3</v>
      </c>
      <c r="I918">
        <v>5</v>
      </c>
      <c r="J918" t="b">
        <f>AND(CCData[[#This Row],[Date]]&gt;=Calculation!$E$3,CCData[[#This Row],[Date]]&lt;Calculation!$E$3+7)</f>
        <v>0</v>
      </c>
    </row>
    <row r="919" spans="1:10">
      <c r="A919" t="s">
        <v>918</v>
      </c>
      <c r="B919" s="2">
        <v>42020.75</v>
      </c>
      <c r="C919" s="3" t="s">
        <v>5004</v>
      </c>
      <c r="D919" t="s">
        <v>5016</v>
      </c>
      <c r="E919" t="s">
        <v>5018</v>
      </c>
      <c r="F919" t="s">
        <v>5018</v>
      </c>
      <c r="G919">
        <v>34</v>
      </c>
      <c r="H919" s="5">
        <v>4.6856474429701513E-3</v>
      </c>
      <c r="I919">
        <v>4</v>
      </c>
      <c r="J919" t="b">
        <f>AND(CCData[[#This Row],[Date]]&gt;=Calculation!$E$3,CCData[[#This Row],[Date]]&lt;Calculation!$E$3+7)</f>
        <v>0</v>
      </c>
    </row>
    <row r="920" spans="1:10">
      <c r="A920" t="s">
        <v>919</v>
      </c>
      <c r="B920" s="2">
        <v>42021.411</v>
      </c>
      <c r="C920" s="3" t="s">
        <v>5004</v>
      </c>
      <c r="D920" t="s">
        <v>5013</v>
      </c>
      <c r="E920" t="s">
        <v>5018</v>
      </c>
      <c r="F920" t="s">
        <v>5018</v>
      </c>
      <c r="G920">
        <v>89</v>
      </c>
      <c r="H920" s="5">
        <v>2.2106081434920015E-3</v>
      </c>
      <c r="I920">
        <v>3</v>
      </c>
      <c r="J920" t="b">
        <f>AND(CCData[[#This Row],[Date]]&gt;=Calculation!$E$3,CCData[[#This Row],[Date]]&lt;Calculation!$E$3+7)</f>
        <v>0</v>
      </c>
    </row>
    <row r="921" spans="1:10">
      <c r="A921" t="s">
        <v>920</v>
      </c>
      <c r="B921" s="2">
        <v>42021.411</v>
      </c>
      <c r="C921" s="3" t="s">
        <v>5009</v>
      </c>
      <c r="D921" t="s">
        <v>5012</v>
      </c>
      <c r="E921" t="s">
        <v>5018</v>
      </c>
      <c r="F921" t="s">
        <v>5018</v>
      </c>
      <c r="G921">
        <v>116</v>
      </c>
      <c r="H921" s="5">
        <v>4.3772133288522063E-3</v>
      </c>
      <c r="I921">
        <v>4</v>
      </c>
      <c r="J921" t="b">
        <f>AND(CCData[[#This Row],[Date]]&gt;=Calculation!$E$3,CCData[[#This Row],[Date]]&lt;Calculation!$E$3+7)</f>
        <v>0</v>
      </c>
    </row>
    <row r="922" spans="1:10">
      <c r="A922" t="s">
        <v>921</v>
      </c>
      <c r="B922" s="2">
        <v>42021.438999999998</v>
      </c>
      <c r="C922" s="3" t="s">
        <v>5009</v>
      </c>
      <c r="D922" t="s">
        <v>5016</v>
      </c>
      <c r="E922" t="s">
        <v>5018</v>
      </c>
      <c r="F922" t="s">
        <v>5018</v>
      </c>
      <c r="G922">
        <v>88</v>
      </c>
      <c r="H922" s="5">
        <v>2.8154908764864094E-3</v>
      </c>
      <c r="I922">
        <v>4</v>
      </c>
      <c r="J922" t="b">
        <f>AND(CCData[[#This Row],[Date]]&gt;=Calculation!$E$3,CCData[[#This Row],[Date]]&lt;Calculation!$E$3+7)</f>
        <v>0</v>
      </c>
    </row>
    <row r="923" spans="1:10">
      <c r="A923" t="s">
        <v>922</v>
      </c>
      <c r="B923" s="2">
        <v>42021.438999999998</v>
      </c>
      <c r="C923" s="3" t="s">
        <v>5005</v>
      </c>
      <c r="D923" t="s">
        <v>5016</v>
      </c>
      <c r="E923" t="s">
        <v>5018</v>
      </c>
      <c r="F923" t="s">
        <v>5018</v>
      </c>
      <c r="G923">
        <v>15</v>
      </c>
      <c r="H923" s="5">
        <v>2.1256514293836134E-3</v>
      </c>
      <c r="I923">
        <v>3</v>
      </c>
      <c r="J923" t="b">
        <f>AND(CCData[[#This Row],[Date]]&gt;=Calculation!$E$3,CCData[[#This Row],[Date]]&lt;Calculation!$E$3+7)</f>
        <v>0</v>
      </c>
    </row>
    <row r="924" spans="1:10">
      <c r="A924" t="s">
        <v>923</v>
      </c>
      <c r="B924" s="2">
        <v>42021.487999999998</v>
      </c>
      <c r="C924" s="3" t="s">
        <v>5009</v>
      </c>
      <c r="D924" t="s">
        <v>5012</v>
      </c>
      <c r="E924" t="s">
        <v>5018</v>
      </c>
      <c r="F924" t="s">
        <v>5018</v>
      </c>
      <c r="G924">
        <v>59</v>
      </c>
      <c r="H924" s="5">
        <v>1.5857925759445318E-3</v>
      </c>
      <c r="I924">
        <v>5</v>
      </c>
      <c r="J924" t="b">
        <f>AND(CCData[[#This Row],[Date]]&gt;=Calculation!$E$3,CCData[[#This Row],[Date]]&lt;Calculation!$E$3+7)</f>
        <v>0</v>
      </c>
    </row>
    <row r="925" spans="1:10">
      <c r="A925" t="s">
        <v>924</v>
      </c>
      <c r="B925" s="2">
        <v>42021.487999999998</v>
      </c>
      <c r="C925" s="3" t="s">
        <v>5006</v>
      </c>
      <c r="D925" t="s">
        <v>5012</v>
      </c>
      <c r="E925" t="s">
        <v>5019</v>
      </c>
      <c r="F925" t="s">
        <v>5019</v>
      </c>
      <c r="G925" t="s">
        <v>5022</v>
      </c>
      <c r="H925" s="5" t="s">
        <v>5022</v>
      </c>
      <c r="I925" t="s">
        <v>5022</v>
      </c>
      <c r="J925" t="b">
        <f>AND(CCData[[#This Row],[Date]]&gt;=Calculation!$E$3,CCData[[#This Row],[Date]]&lt;Calculation!$E$3+7)</f>
        <v>0</v>
      </c>
    </row>
    <row r="926" spans="1:10">
      <c r="A926" t="s">
        <v>925</v>
      </c>
      <c r="B926" s="2">
        <v>42021.487999999998</v>
      </c>
      <c r="C926" s="3" t="s">
        <v>5009</v>
      </c>
      <c r="D926" t="s">
        <v>5012</v>
      </c>
      <c r="E926" t="s">
        <v>5018</v>
      </c>
      <c r="F926" t="s">
        <v>5018</v>
      </c>
      <c r="G926">
        <v>125</v>
      </c>
      <c r="H926" s="5">
        <v>2.1828604921594469E-3</v>
      </c>
      <c r="I926">
        <v>2</v>
      </c>
      <c r="J926" t="b">
        <f>AND(CCData[[#This Row],[Date]]&gt;=Calculation!$E$3,CCData[[#This Row],[Date]]&lt;Calculation!$E$3+7)</f>
        <v>0</v>
      </c>
    </row>
    <row r="927" spans="1:10">
      <c r="A927" t="s">
        <v>926</v>
      </c>
      <c r="B927" s="2">
        <v>42021.487999999998</v>
      </c>
      <c r="C927" s="3" t="s">
        <v>5006</v>
      </c>
      <c r="D927" t="s">
        <v>5016</v>
      </c>
      <c r="E927" t="s">
        <v>5018</v>
      </c>
      <c r="F927" t="s">
        <v>5018</v>
      </c>
      <c r="G927">
        <v>88</v>
      </c>
      <c r="H927" s="5">
        <v>2.8510659225103835E-3</v>
      </c>
      <c r="I927">
        <v>4</v>
      </c>
      <c r="J927" t="b">
        <f>AND(CCData[[#This Row],[Date]]&gt;=Calculation!$E$3,CCData[[#This Row],[Date]]&lt;Calculation!$E$3+7)</f>
        <v>0</v>
      </c>
    </row>
    <row r="928" spans="1:10">
      <c r="A928" t="s">
        <v>927</v>
      </c>
      <c r="B928" s="2">
        <v>42021.49</v>
      </c>
      <c r="C928" s="3" t="s">
        <v>5007</v>
      </c>
      <c r="D928" t="s">
        <v>5016</v>
      </c>
      <c r="E928" t="s">
        <v>5018</v>
      </c>
      <c r="F928" t="s">
        <v>5018</v>
      </c>
      <c r="G928">
        <v>20</v>
      </c>
      <c r="H928" s="5">
        <v>3.2304206116632126E-3</v>
      </c>
      <c r="I928">
        <v>5</v>
      </c>
      <c r="J928" t="b">
        <f>AND(CCData[[#This Row],[Date]]&gt;=Calculation!$E$3,CCData[[#This Row],[Date]]&lt;Calculation!$E$3+7)</f>
        <v>0</v>
      </c>
    </row>
    <row r="929" spans="1:10">
      <c r="A929" t="s">
        <v>928</v>
      </c>
      <c r="B929" s="2">
        <v>42021.49</v>
      </c>
      <c r="C929" s="3" t="s">
        <v>5005</v>
      </c>
      <c r="D929" t="s">
        <v>5012</v>
      </c>
      <c r="E929" t="s">
        <v>5018</v>
      </c>
      <c r="F929" t="s">
        <v>5018</v>
      </c>
      <c r="G929">
        <v>64</v>
      </c>
      <c r="H929" s="5">
        <v>3.9998263326373219E-3</v>
      </c>
      <c r="I929">
        <v>3</v>
      </c>
      <c r="J929" t="b">
        <f>AND(CCData[[#This Row],[Date]]&gt;=Calculation!$E$3,CCData[[#This Row],[Date]]&lt;Calculation!$E$3+7)</f>
        <v>0</v>
      </c>
    </row>
    <row r="930" spans="1:10">
      <c r="A930" t="s">
        <v>929</v>
      </c>
      <c r="B930" s="2">
        <v>42021.527000000002</v>
      </c>
      <c r="C930" s="3" t="s">
        <v>5007</v>
      </c>
      <c r="D930" t="s">
        <v>5016</v>
      </c>
      <c r="E930" t="s">
        <v>5019</v>
      </c>
      <c r="F930" t="s">
        <v>5019</v>
      </c>
      <c r="G930" t="s">
        <v>5022</v>
      </c>
      <c r="H930" s="5" t="s">
        <v>5022</v>
      </c>
      <c r="I930" t="s">
        <v>5022</v>
      </c>
      <c r="J930" t="b">
        <f>AND(CCData[[#This Row],[Date]]&gt;=Calculation!$E$3,CCData[[#This Row],[Date]]&lt;Calculation!$E$3+7)</f>
        <v>0</v>
      </c>
    </row>
    <row r="931" spans="1:10">
      <c r="A931" t="s">
        <v>930</v>
      </c>
      <c r="B931" s="2">
        <v>42021.527000000002</v>
      </c>
      <c r="C931" s="3" t="s">
        <v>5005</v>
      </c>
      <c r="D931" t="s">
        <v>5015</v>
      </c>
      <c r="E931" t="s">
        <v>5018</v>
      </c>
      <c r="F931" t="s">
        <v>5018</v>
      </c>
      <c r="G931">
        <v>111</v>
      </c>
      <c r="H931" s="5">
        <v>1.6143658815015575E-3</v>
      </c>
      <c r="I931">
        <v>5</v>
      </c>
      <c r="J931" t="b">
        <f>AND(CCData[[#This Row],[Date]]&gt;=Calculation!$E$3,CCData[[#This Row],[Date]]&lt;Calculation!$E$3+7)</f>
        <v>0</v>
      </c>
    </row>
    <row r="932" spans="1:10">
      <c r="A932" t="s">
        <v>931</v>
      </c>
      <c r="B932" s="2">
        <v>42021.531000000003</v>
      </c>
      <c r="C932" s="3" t="s">
        <v>5008</v>
      </c>
      <c r="D932" t="s">
        <v>5015</v>
      </c>
      <c r="E932" t="s">
        <v>5019</v>
      </c>
      <c r="F932" t="s">
        <v>5019</v>
      </c>
      <c r="G932" t="s">
        <v>5022</v>
      </c>
      <c r="H932" s="5" t="s">
        <v>5022</v>
      </c>
      <c r="I932" t="s">
        <v>5022</v>
      </c>
      <c r="J932" t="b">
        <f>AND(CCData[[#This Row],[Date]]&gt;=Calculation!$E$3,CCData[[#This Row],[Date]]&lt;Calculation!$E$3+7)</f>
        <v>0</v>
      </c>
    </row>
    <row r="933" spans="1:10">
      <c r="A933" t="s">
        <v>932</v>
      </c>
      <c r="B933" s="2">
        <v>42021.531000000003</v>
      </c>
      <c r="C933" s="3" t="s">
        <v>5007</v>
      </c>
      <c r="D933" t="s">
        <v>5013</v>
      </c>
      <c r="E933" t="s">
        <v>5019</v>
      </c>
      <c r="F933" t="s">
        <v>5019</v>
      </c>
      <c r="G933" t="s">
        <v>5022</v>
      </c>
      <c r="H933" s="5" t="s">
        <v>5022</v>
      </c>
      <c r="I933" t="s">
        <v>5022</v>
      </c>
      <c r="J933" t="b">
        <f>AND(CCData[[#This Row],[Date]]&gt;=Calculation!$E$3,CCData[[#This Row],[Date]]&lt;Calculation!$E$3+7)</f>
        <v>0</v>
      </c>
    </row>
    <row r="934" spans="1:10">
      <c r="A934" t="s">
        <v>933</v>
      </c>
      <c r="B934" s="2">
        <v>42021.561999999998</v>
      </c>
      <c r="C934" s="3" t="s">
        <v>5008</v>
      </c>
      <c r="D934" t="s">
        <v>5013</v>
      </c>
      <c r="E934" t="s">
        <v>5018</v>
      </c>
      <c r="F934" t="s">
        <v>5018</v>
      </c>
      <c r="G934">
        <v>40</v>
      </c>
      <c r="H934" s="5">
        <v>2.0920955609547353E-3</v>
      </c>
      <c r="I934">
        <v>4</v>
      </c>
      <c r="J934" t="b">
        <f>AND(CCData[[#This Row],[Date]]&gt;=Calculation!$E$3,CCData[[#This Row],[Date]]&lt;Calculation!$E$3+7)</f>
        <v>0</v>
      </c>
    </row>
    <row r="935" spans="1:10">
      <c r="A935" t="s">
        <v>934</v>
      </c>
      <c r="B935" s="2">
        <v>42021.561999999998</v>
      </c>
      <c r="C935" s="3" t="s">
        <v>5009</v>
      </c>
      <c r="D935" t="s">
        <v>5013</v>
      </c>
      <c r="E935" t="s">
        <v>5018</v>
      </c>
      <c r="F935" t="s">
        <v>5018</v>
      </c>
      <c r="G935">
        <v>35</v>
      </c>
      <c r="H935" s="5">
        <v>2.1672919411114661E-3</v>
      </c>
      <c r="I935">
        <v>2</v>
      </c>
      <c r="J935" t="b">
        <f>AND(CCData[[#This Row],[Date]]&gt;=Calculation!$E$3,CCData[[#This Row],[Date]]&lt;Calculation!$E$3+7)</f>
        <v>0</v>
      </c>
    </row>
    <row r="936" spans="1:10">
      <c r="A936" t="s">
        <v>935</v>
      </c>
      <c r="B936" s="2">
        <v>42021.563000000002</v>
      </c>
      <c r="C936" s="3" t="s">
        <v>5009</v>
      </c>
      <c r="D936" t="s">
        <v>5012</v>
      </c>
      <c r="E936" t="s">
        <v>5018</v>
      </c>
      <c r="F936" t="s">
        <v>5018</v>
      </c>
      <c r="G936">
        <v>106</v>
      </c>
      <c r="H936" s="5">
        <v>1.9297344981735538E-3</v>
      </c>
      <c r="I936">
        <v>5</v>
      </c>
      <c r="J936" t="b">
        <f>AND(CCData[[#This Row],[Date]]&gt;=Calculation!$E$3,CCData[[#This Row],[Date]]&lt;Calculation!$E$3+7)</f>
        <v>0</v>
      </c>
    </row>
    <row r="937" spans="1:10">
      <c r="A937" t="s">
        <v>936</v>
      </c>
      <c r="B937" s="2">
        <v>42021.563000000002</v>
      </c>
      <c r="C937" s="3" t="s">
        <v>5003</v>
      </c>
      <c r="D937" t="s">
        <v>5014</v>
      </c>
      <c r="E937" t="s">
        <v>5018</v>
      </c>
      <c r="F937" t="s">
        <v>5018</v>
      </c>
      <c r="G937">
        <v>97</v>
      </c>
      <c r="H937" s="5">
        <v>1.8416202554519066E-3</v>
      </c>
      <c r="I937">
        <v>2</v>
      </c>
      <c r="J937" t="b">
        <f>AND(CCData[[#This Row],[Date]]&gt;=Calculation!$E$3,CCData[[#This Row],[Date]]&lt;Calculation!$E$3+7)</f>
        <v>0</v>
      </c>
    </row>
    <row r="938" spans="1:10">
      <c r="A938" t="s">
        <v>937</v>
      </c>
      <c r="B938" s="2">
        <v>42021.567000000003</v>
      </c>
      <c r="C938" s="3" t="s">
        <v>5003</v>
      </c>
      <c r="D938" t="s">
        <v>5012</v>
      </c>
      <c r="E938" t="s">
        <v>5018</v>
      </c>
      <c r="F938" t="s">
        <v>5018</v>
      </c>
      <c r="G938">
        <v>67</v>
      </c>
      <c r="H938" s="5">
        <v>1.279179541842549E-3</v>
      </c>
      <c r="I938">
        <v>3</v>
      </c>
      <c r="J938" t="b">
        <f>AND(CCData[[#This Row],[Date]]&gt;=Calculation!$E$3,CCData[[#This Row],[Date]]&lt;Calculation!$E$3+7)</f>
        <v>0</v>
      </c>
    </row>
    <row r="939" spans="1:10">
      <c r="A939" t="s">
        <v>938</v>
      </c>
      <c r="B939" s="2">
        <v>42021.567000000003</v>
      </c>
      <c r="C939" s="3" t="s">
        <v>5005</v>
      </c>
      <c r="D939" t="s">
        <v>5012</v>
      </c>
      <c r="E939" t="s">
        <v>5018</v>
      </c>
      <c r="F939" t="s">
        <v>5018</v>
      </c>
      <c r="G939">
        <v>98</v>
      </c>
      <c r="H939" s="5">
        <v>8.7641811096006623E-4</v>
      </c>
      <c r="I939">
        <v>5</v>
      </c>
      <c r="J939" t="b">
        <f>AND(CCData[[#This Row],[Date]]&gt;=Calculation!$E$3,CCData[[#This Row],[Date]]&lt;Calculation!$E$3+7)</f>
        <v>0</v>
      </c>
    </row>
    <row r="940" spans="1:10">
      <c r="A940" t="s">
        <v>939</v>
      </c>
      <c r="B940" s="2">
        <v>42021.578999999998</v>
      </c>
      <c r="C940" s="3" t="s">
        <v>5008</v>
      </c>
      <c r="D940" t="s">
        <v>5012</v>
      </c>
      <c r="E940" t="s">
        <v>5018</v>
      </c>
      <c r="F940" t="s">
        <v>5018</v>
      </c>
      <c r="G940">
        <v>120</v>
      </c>
      <c r="H940" s="5">
        <v>1.6215794427647189E-3</v>
      </c>
      <c r="I940">
        <v>4</v>
      </c>
      <c r="J940" t="b">
        <f>AND(CCData[[#This Row],[Date]]&gt;=Calculation!$E$3,CCData[[#This Row],[Date]]&lt;Calculation!$E$3+7)</f>
        <v>0</v>
      </c>
    </row>
    <row r="941" spans="1:10">
      <c r="A941" t="s">
        <v>940</v>
      </c>
      <c r="B941" s="2">
        <v>42021.578999999998</v>
      </c>
      <c r="C941" s="3" t="s">
        <v>5004</v>
      </c>
      <c r="D941" t="s">
        <v>5013</v>
      </c>
      <c r="E941" t="s">
        <v>5018</v>
      </c>
      <c r="F941" t="s">
        <v>5018</v>
      </c>
      <c r="G941">
        <v>91</v>
      </c>
      <c r="H941" s="5">
        <v>5.217822768935898E-4</v>
      </c>
      <c r="I941">
        <v>5</v>
      </c>
      <c r="J941" t="b">
        <f>AND(CCData[[#This Row],[Date]]&gt;=Calculation!$E$3,CCData[[#This Row],[Date]]&lt;Calculation!$E$3+7)</f>
        <v>0</v>
      </c>
    </row>
    <row r="942" spans="1:10">
      <c r="A942" t="s">
        <v>941</v>
      </c>
      <c r="B942" s="2">
        <v>42021.584000000003</v>
      </c>
      <c r="C942" s="3" t="s">
        <v>5009</v>
      </c>
      <c r="D942" t="s">
        <v>5014</v>
      </c>
      <c r="E942" t="s">
        <v>5018</v>
      </c>
      <c r="F942" t="s">
        <v>5018</v>
      </c>
      <c r="G942">
        <v>22</v>
      </c>
      <c r="H942" s="5">
        <v>3.3920421239150974E-3</v>
      </c>
      <c r="I942">
        <v>5</v>
      </c>
      <c r="J942" t="b">
        <f>AND(CCData[[#This Row],[Date]]&gt;=Calculation!$E$3,CCData[[#This Row],[Date]]&lt;Calculation!$E$3+7)</f>
        <v>0</v>
      </c>
    </row>
    <row r="943" spans="1:10">
      <c r="A943" t="s">
        <v>942</v>
      </c>
      <c r="B943" s="2">
        <v>42021.584000000003</v>
      </c>
      <c r="C943" s="3" t="s">
        <v>5003</v>
      </c>
      <c r="D943" t="s">
        <v>5016</v>
      </c>
      <c r="E943" t="s">
        <v>5018</v>
      </c>
      <c r="F943" t="s">
        <v>5019</v>
      </c>
      <c r="G943">
        <v>113</v>
      </c>
      <c r="H943" s="5">
        <v>1.9091296181626368E-3</v>
      </c>
      <c r="I943">
        <v>2</v>
      </c>
      <c r="J943" t="b">
        <f>AND(CCData[[#This Row],[Date]]&gt;=Calculation!$E$3,CCData[[#This Row],[Date]]&lt;Calculation!$E$3+7)</f>
        <v>0</v>
      </c>
    </row>
    <row r="944" spans="1:10">
      <c r="A944" t="s">
        <v>943</v>
      </c>
      <c r="B944" s="2">
        <v>42021.595999999998</v>
      </c>
      <c r="C944" s="3" t="s">
        <v>5003</v>
      </c>
      <c r="D944" t="s">
        <v>5016</v>
      </c>
      <c r="E944" t="s">
        <v>5019</v>
      </c>
      <c r="F944" t="s">
        <v>5019</v>
      </c>
      <c r="G944" t="s">
        <v>5022</v>
      </c>
      <c r="H944" s="5" t="s">
        <v>5022</v>
      </c>
      <c r="I944" t="s">
        <v>5022</v>
      </c>
      <c r="J944" t="b">
        <f>AND(CCData[[#This Row],[Date]]&gt;=Calculation!$E$3,CCData[[#This Row],[Date]]&lt;Calculation!$E$3+7)</f>
        <v>0</v>
      </c>
    </row>
    <row r="945" spans="1:10">
      <c r="A945" t="s">
        <v>944</v>
      </c>
      <c r="B945" s="2">
        <v>42021.595999999998</v>
      </c>
      <c r="C945" s="3" t="s">
        <v>5007</v>
      </c>
      <c r="D945" t="s">
        <v>5014</v>
      </c>
      <c r="E945" t="s">
        <v>5018</v>
      </c>
      <c r="F945" t="s">
        <v>5018</v>
      </c>
      <c r="G945">
        <v>60</v>
      </c>
      <c r="H945" s="5">
        <v>1.36211986229068E-3</v>
      </c>
      <c r="I945">
        <v>4</v>
      </c>
      <c r="J945" t="b">
        <f>AND(CCData[[#This Row],[Date]]&gt;=Calculation!$E$3,CCData[[#This Row],[Date]]&lt;Calculation!$E$3+7)</f>
        <v>0</v>
      </c>
    </row>
    <row r="946" spans="1:10">
      <c r="A946" t="s">
        <v>945</v>
      </c>
      <c r="B946" s="2">
        <v>42021.603000000003</v>
      </c>
      <c r="C946" s="3" t="s">
        <v>5003</v>
      </c>
      <c r="D946" t="s">
        <v>5014</v>
      </c>
      <c r="E946" t="s">
        <v>5018</v>
      </c>
      <c r="F946" t="s">
        <v>5018</v>
      </c>
      <c r="G946">
        <v>97</v>
      </c>
      <c r="H946" s="5">
        <v>1.7940392999071097E-3</v>
      </c>
      <c r="I946">
        <v>5</v>
      </c>
      <c r="J946" t="b">
        <f>AND(CCData[[#This Row],[Date]]&gt;=Calculation!$E$3,CCData[[#This Row],[Date]]&lt;Calculation!$E$3+7)</f>
        <v>0</v>
      </c>
    </row>
    <row r="947" spans="1:10">
      <c r="A947" t="s">
        <v>946</v>
      </c>
      <c r="B947" s="2">
        <v>42021.603000000003</v>
      </c>
      <c r="C947" s="3" t="s">
        <v>5004</v>
      </c>
      <c r="D947" t="s">
        <v>5016</v>
      </c>
      <c r="E947" t="s">
        <v>5018</v>
      </c>
      <c r="F947" t="s">
        <v>5018</v>
      </c>
      <c r="G947">
        <v>118</v>
      </c>
      <c r="H947" s="5">
        <v>5.9775892228111605E-4</v>
      </c>
      <c r="I947">
        <v>4</v>
      </c>
      <c r="J947" t="b">
        <f>AND(CCData[[#This Row],[Date]]&gt;=Calculation!$E$3,CCData[[#This Row],[Date]]&lt;Calculation!$E$3+7)</f>
        <v>0</v>
      </c>
    </row>
    <row r="948" spans="1:10">
      <c r="A948" t="s">
        <v>947</v>
      </c>
      <c r="B948" s="2">
        <v>42021.605000000003</v>
      </c>
      <c r="C948" s="3" t="s">
        <v>5010</v>
      </c>
      <c r="D948" t="s">
        <v>5013</v>
      </c>
      <c r="E948" t="s">
        <v>5018</v>
      </c>
      <c r="F948" t="s">
        <v>5018</v>
      </c>
      <c r="G948">
        <v>19</v>
      </c>
      <c r="H948" s="5">
        <v>9.3813583500552619E-4</v>
      </c>
      <c r="I948">
        <v>5</v>
      </c>
      <c r="J948" t="b">
        <f>AND(CCData[[#This Row],[Date]]&gt;=Calculation!$E$3,CCData[[#This Row],[Date]]&lt;Calculation!$E$3+7)</f>
        <v>0</v>
      </c>
    </row>
    <row r="949" spans="1:10">
      <c r="A949" t="s">
        <v>948</v>
      </c>
      <c r="B949" s="2">
        <v>42021.605000000003</v>
      </c>
      <c r="C949" s="3" t="s">
        <v>5005</v>
      </c>
      <c r="D949" t="s">
        <v>5012</v>
      </c>
      <c r="E949" t="s">
        <v>5019</v>
      </c>
      <c r="F949" t="s">
        <v>5019</v>
      </c>
      <c r="G949" t="s">
        <v>5022</v>
      </c>
      <c r="H949" s="5" t="s">
        <v>5022</v>
      </c>
      <c r="I949" t="s">
        <v>5022</v>
      </c>
      <c r="J949" t="b">
        <f>AND(CCData[[#This Row],[Date]]&gt;=Calculation!$E$3,CCData[[#This Row],[Date]]&lt;Calculation!$E$3+7)</f>
        <v>0</v>
      </c>
    </row>
    <row r="950" spans="1:10">
      <c r="A950" t="s">
        <v>949</v>
      </c>
      <c r="B950" s="2">
        <v>42021.625</v>
      </c>
      <c r="C950" s="3" t="s">
        <v>5006</v>
      </c>
      <c r="D950" t="s">
        <v>5016</v>
      </c>
      <c r="E950" t="s">
        <v>5019</v>
      </c>
      <c r="F950" t="s">
        <v>5019</v>
      </c>
      <c r="G950" t="s">
        <v>5022</v>
      </c>
      <c r="H950" s="5" t="s">
        <v>5022</v>
      </c>
      <c r="I950" t="s">
        <v>5022</v>
      </c>
      <c r="J950" t="b">
        <f>AND(CCData[[#This Row],[Date]]&gt;=Calculation!$E$3,CCData[[#This Row],[Date]]&lt;Calculation!$E$3+7)</f>
        <v>0</v>
      </c>
    </row>
    <row r="951" spans="1:10">
      <c r="A951" t="s">
        <v>950</v>
      </c>
      <c r="B951" s="2">
        <v>42021.625</v>
      </c>
      <c r="C951" s="3" t="s">
        <v>5010</v>
      </c>
      <c r="D951" t="s">
        <v>5016</v>
      </c>
      <c r="E951" t="s">
        <v>5018</v>
      </c>
      <c r="F951" t="s">
        <v>5018</v>
      </c>
      <c r="G951">
        <v>124</v>
      </c>
      <c r="H951" s="5">
        <v>4.3743043714674417E-3</v>
      </c>
      <c r="I951">
        <v>4</v>
      </c>
      <c r="J951" t="b">
        <f>AND(CCData[[#This Row],[Date]]&gt;=Calculation!$E$3,CCData[[#This Row],[Date]]&lt;Calculation!$E$3+7)</f>
        <v>0</v>
      </c>
    </row>
    <row r="952" spans="1:10">
      <c r="A952" t="s">
        <v>951</v>
      </c>
      <c r="B952" s="2">
        <v>42021.625999999997</v>
      </c>
      <c r="C952" s="3" t="s">
        <v>5010</v>
      </c>
      <c r="D952" t="s">
        <v>5014</v>
      </c>
      <c r="E952" t="s">
        <v>5018</v>
      </c>
      <c r="F952" t="s">
        <v>5018</v>
      </c>
      <c r="G952">
        <v>53</v>
      </c>
      <c r="H952" s="5">
        <v>3.6013793840287099E-3</v>
      </c>
      <c r="I952">
        <v>2</v>
      </c>
      <c r="J952" t="b">
        <f>AND(CCData[[#This Row],[Date]]&gt;=Calculation!$E$3,CCData[[#This Row],[Date]]&lt;Calculation!$E$3+7)</f>
        <v>0</v>
      </c>
    </row>
    <row r="953" spans="1:10">
      <c r="A953" t="s">
        <v>952</v>
      </c>
      <c r="B953" s="2">
        <v>42021.625999999997</v>
      </c>
      <c r="C953" s="3" t="s">
        <v>5003</v>
      </c>
      <c r="D953" t="s">
        <v>5015</v>
      </c>
      <c r="E953" t="s">
        <v>5018</v>
      </c>
      <c r="F953" t="s">
        <v>5018</v>
      </c>
      <c r="G953">
        <v>61</v>
      </c>
      <c r="H953" s="5">
        <v>4.3426529066439634E-4</v>
      </c>
      <c r="I953">
        <v>5</v>
      </c>
      <c r="J953" t="b">
        <f>AND(CCData[[#This Row],[Date]]&gt;=Calculation!$E$3,CCData[[#This Row],[Date]]&lt;Calculation!$E$3+7)</f>
        <v>0</v>
      </c>
    </row>
    <row r="954" spans="1:10">
      <c r="A954" t="s">
        <v>953</v>
      </c>
      <c r="B954" s="2">
        <v>42021.64</v>
      </c>
      <c r="C954" s="3" t="s">
        <v>5008</v>
      </c>
      <c r="D954" t="s">
        <v>5012</v>
      </c>
      <c r="E954" t="s">
        <v>5018</v>
      </c>
      <c r="F954" t="s">
        <v>5018</v>
      </c>
      <c r="G954">
        <v>18</v>
      </c>
      <c r="H954" s="5">
        <v>5.376157342451848E-4</v>
      </c>
      <c r="I954">
        <v>1</v>
      </c>
      <c r="J954" t="b">
        <f>AND(CCData[[#This Row],[Date]]&gt;=Calculation!$E$3,CCData[[#This Row],[Date]]&lt;Calculation!$E$3+7)</f>
        <v>0</v>
      </c>
    </row>
    <row r="955" spans="1:10">
      <c r="A955" t="s">
        <v>954</v>
      </c>
      <c r="B955" s="2">
        <v>42021.64</v>
      </c>
      <c r="C955" s="3" t="s">
        <v>5006</v>
      </c>
      <c r="D955" t="s">
        <v>5015</v>
      </c>
      <c r="E955" t="s">
        <v>5018</v>
      </c>
      <c r="F955" t="s">
        <v>5018</v>
      </c>
      <c r="G955">
        <v>80</v>
      </c>
      <c r="H955" s="5">
        <v>8.8045244695850351E-4</v>
      </c>
      <c r="I955">
        <v>3</v>
      </c>
      <c r="J955" t="b">
        <f>AND(CCData[[#This Row],[Date]]&gt;=Calculation!$E$3,CCData[[#This Row],[Date]]&lt;Calculation!$E$3+7)</f>
        <v>0</v>
      </c>
    </row>
    <row r="956" spans="1:10">
      <c r="A956" t="s">
        <v>955</v>
      </c>
      <c r="B956" s="2">
        <v>42021.682000000001</v>
      </c>
      <c r="C956" s="3" t="s">
        <v>5005</v>
      </c>
      <c r="D956" t="s">
        <v>5013</v>
      </c>
      <c r="E956" t="s">
        <v>5018</v>
      </c>
      <c r="F956" t="s">
        <v>5018</v>
      </c>
      <c r="G956">
        <v>47</v>
      </c>
      <c r="H956" s="5">
        <v>2.8709466531917165E-3</v>
      </c>
      <c r="I956">
        <v>4</v>
      </c>
      <c r="J956" t="b">
        <f>AND(CCData[[#This Row],[Date]]&gt;=Calculation!$E$3,CCData[[#This Row],[Date]]&lt;Calculation!$E$3+7)</f>
        <v>0</v>
      </c>
    </row>
    <row r="957" spans="1:10">
      <c r="A957" t="s">
        <v>956</v>
      </c>
      <c r="B957" s="2">
        <v>42021.682000000001</v>
      </c>
      <c r="C957" s="3" t="s">
        <v>5005</v>
      </c>
      <c r="D957" t="s">
        <v>5014</v>
      </c>
      <c r="E957" t="s">
        <v>5018</v>
      </c>
      <c r="F957" t="s">
        <v>5018</v>
      </c>
      <c r="G957">
        <v>101</v>
      </c>
      <c r="H957" s="5">
        <v>3.698982056103139E-3</v>
      </c>
      <c r="I957">
        <v>2</v>
      </c>
      <c r="J957" t="b">
        <f>AND(CCData[[#This Row],[Date]]&gt;=Calculation!$E$3,CCData[[#This Row],[Date]]&lt;Calculation!$E$3+7)</f>
        <v>0</v>
      </c>
    </row>
    <row r="958" spans="1:10">
      <c r="A958" t="s">
        <v>957</v>
      </c>
      <c r="B958" s="2">
        <v>42021.684000000001</v>
      </c>
      <c r="C958" s="3" t="s">
        <v>5008</v>
      </c>
      <c r="D958" t="s">
        <v>5016</v>
      </c>
      <c r="E958" t="s">
        <v>5018</v>
      </c>
      <c r="F958" t="s">
        <v>5018</v>
      </c>
      <c r="G958">
        <v>71</v>
      </c>
      <c r="H958" s="5">
        <v>3.9407591406352329E-3</v>
      </c>
      <c r="I958">
        <v>3</v>
      </c>
      <c r="J958" t="b">
        <f>AND(CCData[[#This Row],[Date]]&gt;=Calculation!$E$3,CCData[[#This Row],[Date]]&lt;Calculation!$E$3+7)</f>
        <v>0</v>
      </c>
    </row>
    <row r="959" spans="1:10">
      <c r="A959" t="s">
        <v>958</v>
      </c>
      <c r="B959" s="2">
        <v>42021.684000000001</v>
      </c>
      <c r="C959" s="3" t="s">
        <v>5009</v>
      </c>
      <c r="D959" t="s">
        <v>5013</v>
      </c>
      <c r="E959" t="s">
        <v>5018</v>
      </c>
      <c r="F959" t="s">
        <v>5018</v>
      </c>
      <c r="G959">
        <v>44</v>
      </c>
      <c r="H959" s="5">
        <v>2.8536663955123294E-3</v>
      </c>
      <c r="I959">
        <v>4</v>
      </c>
      <c r="J959" t="b">
        <f>AND(CCData[[#This Row],[Date]]&gt;=Calculation!$E$3,CCData[[#This Row],[Date]]&lt;Calculation!$E$3+7)</f>
        <v>0</v>
      </c>
    </row>
    <row r="960" spans="1:10">
      <c r="A960" t="s">
        <v>959</v>
      </c>
      <c r="B960" s="2">
        <v>42021.686999999998</v>
      </c>
      <c r="C960" s="3" t="s">
        <v>5004</v>
      </c>
      <c r="D960" t="s">
        <v>5014</v>
      </c>
      <c r="E960" t="s">
        <v>5018</v>
      </c>
      <c r="F960" t="s">
        <v>5018</v>
      </c>
      <c r="G960">
        <v>14</v>
      </c>
      <c r="H960" s="5">
        <v>2.0786109417154771E-3</v>
      </c>
      <c r="I960">
        <v>4</v>
      </c>
      <c r="J960" t="b">
        <f>AND(CCData[[#This Row],[Date]]&gt;=Calculation!$E$3,CCData[[#This Row],[Date]]&lt;Calculation!$E$3+7)</f>
        <v>0</v>
      </c>
    </row>
    <row r="961" spans="1:10">
      <c r="A961" t="s">
        <v>960</v>
      </c>
      <c r="B961" s="2">
        <v>42021.686999999998</v>
      </c>
      <c r="C961" s="3" t="s">
        <v>5009</v>
      </c>
      <c r="D961" t="s">
        <v>5014</v>
      </c>
      <c r="E961" t="s">
        <v>5019</v>
      </c>
      <c r="F961" t="s">
        <v>5019</v>
      </c>
      <c r="G961" t="s">
        <v>5022</v>
      </c>
      <c r="H961" s="5" t="s">
        <v>5022</v>
      </c>
      <c r="I961" t="s">
        <v>5022</v>
      </c>
      <c r="J961" t="b">
        <f>AND(CCData[[#This Row],[Date]]&gt;=Calculation!$E$3,CCData[[#This Row],[Date]]&lt;Calculation!$E$3+7)</f>
        <v>0</v>
      </c>
    </row>
    <row r="962" spans="1:10">
      <c r="A962" t="s">
        <v>961</v>
      </c>
      <c r="B962" s="2">
        <v>42021.713000000003</v>
      </c>
      <c r="C962" s="3" t="s">
        <v>5007</v>
      </c>
      <c r="D962" t="s">
        <v>5012</v>
      </c>
      <c r="E962" t="s">
        <v>5018</v>
      </c>
      <c r="F962" t="s">
        <v>5018</v>
      </c>
      <c r="G962">
        <v>44</v>
      </c>
      <c r="H962" s="5">
        <v>1.8564780038046701E-3</v>
      </c>
      <c r="I962">
        <v>2</v>
      </c>
      <c r="J962" t="b">
        <f>AND(CCData[[#This Row],[Date]]&gt;=Calculation!$E$3,CCData[[#This Row],[Date]]&lt;Calculation!$E$3+7)</f>
        <v>0</v>
      </c>
    </row>
    <row r="963" spans="1:10">
      <c r="A963" t="s">
        <v>962</v>
      </c>
      <c r="B963" s="2">
        <v>42021.713000000003</v>
      </c>
      <c r="C963" s="3" t="s">
        <v>5003</v>
      </c>
      <c r="D963" t="s">
        <v>5015</v>
      </c>
      <c r="E963" t="s">
        <v>5018</v>
      </c>
      <c r="F963" t="s">
        <v>5018</v>
      </c>
      <c r="G963">
        <v>97</v>
      </c>
      <c r="H963" s="5">
        <v>4.6952443715787403E-3</v>
      </c>
      <c r="I963">
        <v>4</v>
      </c>
      <c r="J963" t="b">
        <f>AND(CCData[[#This Row],[Date]]&gt;=Calculation!$E$3,CCData[[#This Row],[Date]]&lt;Calculation!$E$3+7)</f>
        <v>0</v>
      </c>
    </row>
    <row r="964" spans="1:10">
      <c r="A964" t="s">
        <v>963</v>
      </c>
      <c r="B964" s="2">
        <v>42021.72</v>
      </c>
      <c r="C964" s="3" t="s">
        <v>5004</v>
      </c>
      <c r="D964" t="s">
        <v>5016</v>
      </c>
      <c r="E964" t="s">
        <v>5019</v>
      </c>
      <c r="F964" t="s">
        <v>5019</v>
      </c>
      <c r="G964" t="s">
        <v>5022</v>
      </c>
      <c r="H964" s="5" t="s">
        <v>5022</v>
      </c>
      <c r="I964" t="s">
        <v>5022</v>
      </c>
      <c r="J964" t="b">
        <f>AND(CCData[[#This Row],[Date]]&gt;=Calculation!$E$3,CCData[[#This Row],[Date]]&lt;Calculation!$E$3+7)</f>
        <v>0</v>
      </c>
    </row>
    <row r="965" spans="1:10">
      <c r="A965" t="s">
        <v>964</v>
      </c>
      <c r="B965" s="2">
        <v>42021.72</v>
      </c>
      <c r="C965" s="3" t="s">
        <v>5003</v>
      </c>
      <c r="D965" t="s">
        <v>5015</v>
      </c>
      <c r="E965" t="s">
        <v>5018</v>
      </c>
      <c r="F965" t="s">
        <v>5019</v>
      </c>
      <c r="G965">
        <v>91</v>
      </c>
      <c r="H965" s="5">
        <v>2.8875877961882894E-3</v>
      </c>
      <c r="I965">
        <v>3</v>
      </c>
      <c r="J965" t="b">
        <f>AND(CCData[[#This Row],[Date]]&gt;=Calculation!$E$3,CCData[[#This Row],[Date]]&lt;Calculation!$E$3+7)</f>
        <v>0</v>
      </c>
    </row>
    <row r="966" spans="1:10">
      <c r="A966" t="s">
        <v>965</v>
      </c>
      <c r="B966" s="2">
        <v>42021.722999999998</v>
      </c>
      <c r="C966" s="3" t="s">
        <v>5010</v>
      </c>
      <c r="D966" t="s">
        <v>5014</v>
      </c>
      <c r="E966" t="s">
        <v>5018</v>
      </c>
      <c r="F966" t="s">
        <v>5018</v>
      </c>
      <c r="G966">
        <v>48</v>
      </c>
      <c r="H966" s="5">
        <v>2.2353394477151673E-3</v>
      </c>
      <c r="I966">
        <v>3</v>
      </c>
      <c r="J966" t="b">
        <f>AND(CCData[[#This Row],[Date]]&gt;=Calculation!$E$3,CCData[[#This Row],[Date]]&lt;Calculation!$E$3+7)</f>
        <v>0</v>
      </c>
    </row>
    <row r="967" spans="1:10">
      <c r="A967" t="s">
        <v>966</v>
      </c>
      <c r="B967" s="2">
        <v>42021.722999999998</v>
      </c>
      <c r="C967" s="3" t="s">
        <v>5006</v>
      </c>
      <c r="D967" t="s">
        <v>5012</v>
      </c>
      <c r="E967" t="s">
        <v>5018</v>
      </c>
      <c r="F967" t="s">
        <v>5018</v>
      </c>
      <c r="G967">
        <v>45</v>
      </c>
      <c r="H967" s="5">
        <v>1.140642309261586E-3</v>
      </c>
      <c r="I967">
        <v>3</v>
      </c>
      <c r="J967" t="b">
        <f>AND(CCData[[#This Row],[Date]]&gt;=Calculation!$E$3,CCData[[#This Row],[Date]]&lt;Calculation!$E$3+7)</f>
        <v>0</v>
      </c>
    </row>
    <row r="968" spans="1:10">
      <c r="A968" t="s">
        <v>967</v>
      </c>
      <c r="B968" s="2">
        <v>42021.745999999999</v>
      </c>
      <c r="C968" s="3" t="s">
        <v>5004</v>
      </c>
      <c r="D968" t="s">
        <v>5015</v>
      </c>
      <c r="E968" t="s">
        <v>5018</v>
      </c>
      <c r="F968" t="s">
        <v>5018</v>
      </c>
      <c r="G968">
        <v>60</v>
      </c>
      <c r="H968" s="5">
        <v>1.3915722061148634E-3</v>
      </c>
      <c r="I968">
        <v>5</v>
      </c>
      <c r="J968" t="b">
        <f>AND(CCData[[#This Row],[Date]]&gt;=Calculation!$E$3,CCData[[#This Row],[Date]]&lt;Calculation!$E$3+7)</f>
        <v>0</v>
      </c>
    </row>
    <row r="969" spans="1:10">
      <c r="A969" t="s">
        <v>968</v>
      </c>
      <c r="B969" s="2">
        <v>42021.745999999999</v>
      </c>
      <c r="C969" s="3" t="s">
        <v>5007</v>
      </c>
      <c r="D969" t="s">
        <v>5016</v>
      </c>
      <c r="E969" t="s">
        <v>5018</v>
      </c>
      <c r="F969" t="s">
        <v>5018</v>
      </c>
      <c r="G969">
        <v>85</v>
      </c>
      <c r="H969" s="5">
        <v>3.8377795129510778E-3</v>
      </c>
      <c r="I969">
        <v>4</v>
      </c>
      <c r="J969" t="b">
        <f>AND(CCData[[#This Row],[Date]]&gt;=Calculation!$E$3,CCData[[#This Row],[Date]]&lt;Calculation!$E$3+7)</f>
        <v>0</v>
      </c>
    </row>
    <row r="970" spans="1:10">
      <c r="A970" t="s">
        <v>969</v>
      </c>
      <c r="B970" s="2">
        <v>42022.392</v>
      </c>
      <c r="C970" s="3" t="s">
        <v>5008</v>
      </c>
      <c r="D970" t="s">
        <v>5015</v>
      </c>
      <c r="E970" t="s">
        <v>5018</v>
      </c>
      <c r="F970" t="s">
        <v>5018</v>
      </c>
      <c r="G970">
        <v>53</v>
      </c>
      <c r="H970" s="5">
        <v>4.2401906086748809E-3</v>
      </c>
      <c r="I970">
        <v>4</v>
      </c>
      <c r="J970" t="b">
        <f>AND(CCData[[#This Row],[Date]]&gt;=Calculation!$E$3,CCData[[#This Row],[Date]]&lt;Calculation!$E$3+7)</f>
        <v>0</v>
      </c>
    </row>
    <row r="971" spans="1:10">
      <c r="A971" t="s">
        <v>970</v>
      </c>
      <c r="B971" s="2">
        <v>42022.392</v>
      </c>
      <c r="C971" s="3" t="s">
        <v>5006</v>
      </c>
      <c r="D971" t="s">
        <v>5012</v>
      </c>
      <c r="E971" t="s">
        <v>5018</v>
      </c>
      <c r="F971" t="s">
        <v>5019</v>
      </c>
      <c r="G971">
        <v>27</v>
      </c>
      <c r="H971" s="5">
        <v>4.3293766726824733E-3</v>
      </c>
      <c r="I971">
        <v>5</v>
      </c>
      <c r="J971" t="b">
        <f>AND(CCData[[#This Row],[Date]]&gt;=Calculation!$E$3,CCData[[#This Row],[Date]]&lt;Calculation!$E$3+7)</f>
        <v>0</v>
      </c>
    </row>
    <row r="972" spans="1:10">
      <c r="A972" t="s">
        <v>971</v>
      </c>
      <c r="B972" s="2">
        <v>42022.392</v>
      </c>
      <c r="C972" s="3" t="s">
        <v>5008</v>
      </c>
      <c r="D972" t="s">
        <v>5015</v>
      </c>
      <c r="E972" t="s">
        <v>5018</v>
      </c>
      <c r="F972" t="s">
        <v>5018</v>
      </c>
      <c r="G972">
        <v>30</v>
      </c>
      <c r="H972" s="5">
        <v>2.8149419252658618E-3</v>
      </c>
      <c r="I972">
        <v>3</v>
      </c>
      <c r="J972" t="b">
        <f>AND(CCData[[#This Row],[Date]]&gt;=Calculation!$E$3,CCData[[#This Row],[Date]]&lt;Calculation!$E$3+7)</f>
        <v>0</v>
      </c>
    </row>
    <row r="973" spans="1:10">
      <c r="A973" t="s">
        <v>972</v>
      </c>
      <c r="B973" s="2">
        <v>42022.392</v>
      </c>
      <c r="C973" s="3" t="s">
        <v>5010</v>
      </c>
      <c r="D973" t="s">
        <v>5012</v>
      </c>
      <c r="E973" t="s">
        <v>5019</v>
      </c>
      <c r="F973" t="s">
        <v>5019</v>
      </c>
      <c r="G973" t="s">
        <v>5022</v>
      </c>
      <c r="H973" s="5" t="s">
        <v>5022</v>
      </c>
      <c r="I973" t="s">
        <v>5022</v>
      </c>
      <c r="J973" t="b">
        <f>AND(CCData[[#This Row],[Date]]&gt;=Calculation!$E$3,CCData[[#This Row],[Date]]&lt;Calculation!$E$3+7)</f>
        <v>0</v>
      </c>
    </row>
    <row r="974" spans="1:10">
      <c r="A974" t="s">
        <v>973</v>
      </c>
      <c r="B974" s="2">
        <v>42022.396999999997</v>
      </c>
      <c r="C974" s="3" t="s">
        <v>5007</v>
      </c>
      <c r="D974" t="s">
        <v>5015</v>
      </c>
      <c r="E974" t="s">
        <v>5018</v>
      </c>
      <c r="F974" t="s">
        <v>5018</v>
      </c>
      <c r="G974">
        <v>113</v>
      </c>
      <c r="H974" s="5">
        <v>2.0938145187119682E-3</v>
      </c>
      <c r="I974">
        <v>5</v>
      </c>
      <c r="J974" t="b">
        <f>AND(CCData[[#This Row],[Date]]&gt;=Calculation!$E$3,CCData[[#This Row],[Date]]&lt;Calculation!$E$3+7)</f>
        <v>0</v>
      </c>
    </row>
    <row r="975" spans="1:10">
      <c r="A975" t="s">
        <v>974</v>
      </c>
      <c r="B975" s="2">
        <v>42022.396999999997</v>
      </c>
      <c r="C975" s="3" t="s">
        <v>5007</v>
      </c>
      <c r="D975" t="s">
        <v>5013</v>
      </c>
      <c r="E975" t="s">
        <v>5019</v>
      </c>
      <c r="F975" t="s">
        <v>5019</v>
      </c>
      <c r="G975" t="s">
        <v>5022</v>
      </c>
      <c r="H975" s="5" t="s">
        <v>5022</v>
      </c>
      <c r="I975" t="s">
        <v>5022</v>
      </c>
      <c r="J975" t="b">
        <f>AND(CCData[[#This Row],[Date]]&gt;=Calculation!$E$3,CCData[[#This Row],[Date]]&lt;Calculation!$E$3+7)</f>
        <v>0</v>
      </c>
    </row>
    <row r="976" spans="1:10">
      <c r="A976" t="s">
        <v>975</v>
      </c>
      <c r="B976" s="2">
        <v>42022.400000000001</v>
      </c>
      <c r="C976" s="3" t="s">
        <v>5003</v>
      </c>
      <c r="D976" t="s">
        <v>5015</v>
      </c>
      <c r="E976" t="s">
        <v>5019</v>
      </c>
      <c r="F976" t="s">
        <v>5019</v>
      </c>
      <c r="G976" t="s">
        <v>5022</v>
      </c>
      <c r="H976" s="5" t="s">
        <v>5022</v>
      </c>
      <c r="I976" t="s">
        <v>5022</v>
      </c>
      <c r="J976" t="b">
        <f>AND(CCData[[#This Row],[Date]]&gt;=Calculation!$E$3,CCData[[#This Row],[Date]]&lt;Calculation!$E$3+7)</f>
        <v>0</v>
      </c>
    </row>
    <row r="977" spans="1:10">
      <c r="A977" t="s">
        <v>976</v>
      </c>
      <c r="B977" s="2">
        <v>42022.400000000001</v>
      </c>
      <c r="C977" s="3" t="s">
        <v>5007</v>
      </c>
      <c r="D977" t="s">
        <v>5016</v>
      </c>
      <c r="E977" t="s">
        <v>5018</v>
      </c>
      <c r="F977" t="s">
        <v>5018</v>
      </c>
      <c r="G977">
        <v>80</v>
      </c>
      <c r="H977" s="5">
        <v>4.8301782424575957E-3</v>
      </c>
      <c r="I977">
        <v>4</v>
      </c>
      <c r="J977" t="b">
        <f>AND(CCData[[#This Row],[Date]]&gt;=Calculation!$E$3,CCData[[#This Row],[Date]]&lt;Calculation!$E$3+7)</f>
        <v>0</v>
      </c>
    </row>
    <row r="978" spans="1:10">
      <c r="A978" t="s">
        <v>977</v>
      </c>
      <c r="B978" s="2">
        <v>42022.428</v>
      </c>
      <c r="C978" s="3" t="s">
        <v>5005</v>
      </c>
      <c r="D978" t="s">
        <v>5012</v>
      </c>
      <c r="E978" t="s">
        <v>5018</v>
      </c>
      <c r="F978" t="s">
        <v>5018</v>
      </c>
      <c r="G978">
        <v>45</v>
      </c>
      <c r="H978" s="5">
        <v>4.8582217866859354E-3</v>
      </c>
      <c r="I978">
        <v>5</v>
      </c>
      <c r="J978" t="b">
        <f>AND(CCData[[#This Row],[Date]]&gt;=Calculation!$E$3,CCData[[#This Row],[Date]]&lt;Calculation!$E$3+7)</f>
        <v>0</v>
      </c>
    </row>
    <row r="979" spans="1:10">
      <c r="A979" t="s">
        <v>978</v>
      </c>
      <c r="B979" s="2">
        <v>42022.428</v>
      </c>
      <c r="C979" s="3" t="s">
        <v>5008</v>
      </c>
      <c r="D979" t="s">
        <v>5015</v>
      </c>
      <c r="E979" t="s">
        <v>5018</v>
      </c>
      <c r="F979" t="s">
        <v>5018</v>
      </c>
      <c r="G979">
        <v>95</v>
      </c>
      <c r="H979" s="5">
        <v>1.578099916461305E-3</v>
      </c>
      <c r="I979">
        <v>1</v>
      </c>
      <c r="J979" t="b">
        <f>AND(CCData[[#This Row],[Date]]&gt;=Calculation!$E$3,CCData[[#This Row],[Date]]&lt;Calculation!$E$3+7)</f>
        <v>0</v>
      </c>
    </row>
    <row r="980" spans="1:10">
      <c r="A980" t="s">
        <v>979</v>
      </c>
      <c r="B980" s="2">
        <v>42022.478000000003</v>
      </c>
      <c r="C980" s="3" t="s">
        <v>5009</v>
      </c>
      <c r="D980" t="s">
        <v>5016</v>
      </c>
      <c r="E980" t="s">
        <v>5019</v>
      </c>
      <c r="F980" t="s">
        <v>5019</v>
      </c>
      <c r="G980" t="s">
        <v>5022</v>
      </c>
      <c r="H980" s="5" t="s">
        <v>5022</v>
      </c>
      <c r="I980" t="s">
        <v>5022</v>
      </c>
      <c r="J980" t="b">
        <f>AND(CCData[[#This Row],[Date]]&gt;=Calculation!$E$3,CCData[[#This Row],[Date]]&lt;Calculation!$E$3+7)</f>
        <v>0</v>
      </c>
    </row>
    <row r="981" spans="1:10">
      <c r="A981" t="s">
        <v>980</v>
      </c>
      <c r="B981" s="2">
        <v>42022.478000000003</v>
      </c>
      <c r="C981" s="3" t="s">
        <v>5010</v>
      </c>
      <c r="D981" t="s">
        <v>5014</v>
      </c>
      <c r="E981" t="s">
        <v>5018</v>
      </c>
      <c r="F981" t="s">
        <v>5018</v>
      </c>
      <c r="G981">
        <v>33</v>
      </c>
      <c r="H981" s="5">
        <v>1.0185472123480852E-3</v>
      </c>
      <c r="I981">
        <v>3</v>
      </c>
      <c r="J981" t="b">
        <f>AND(CCData[[#This Row],[Date]]&gt;=Calculation!$E$3,CCData[[#This Row],[Date]]&lt;Calculation!$E$3+7)</f>
        <v>0</v>
      </c>
    </row>
    <row r="982" spans="1:10">
      <c r="A982" t="s">
        <v>981</v>
      </c>
      <c r="B982" s="2">
        <v>42022.491000000002</v>
      </c>
      <c r="C982" s="3" t="s">
        <v>5005</v>
      </c>
      <c r="D982" t="s">
        <v>5014</v>
      </c>
      <c r="E982" t="s">
        <v>5019</v>
      </c>
      <c r="F982" t="s">
        <v>5019</v>
      </c>
      <c r="G982" t="s">
        <v>5022</v>
      </c>
      <c r="H982" s="5" t="s">
        <v>5022</v>
      </c>
      <c r="I982" t="s">
        <v>5022</v>
      </c>
      <c r="J982" t="b">
        <f>AND(CCData[[#This Row],[Date]]&gt;=Calculation!$E$3,CCData[[#This Row],[Date]]&lt;Calculation!$E$3+7)</f>
        <v>0</v>
      </c>
    </row>
    <row r="983" spans="1:10">
      <c r="A983" t="s">
        <v>982</v>
      </c>
      <c r="B983" s="2">
        <v>42022.491000000002</v>
      </c>
      <c r="C983" s="3" t="s">
        <v>5007</v>
      </c>
      <c r="D983" t="s">
        <v>5016</v>
      </c>
      <c r="E983" t="s">
        <v>5018</v>
      </c>
      <c r="F983" t="s">
        <v>5018</v>
      </c>
      <c r="G983">
        <v>90</v>
      </c>
      <c r="H983" s="5">
        <v>4.7124397989452447E-3</v>
      </c>
      <c r="I983">
        <v>3</v>
      </c>
      <c r="J983" t="b">
        <f>AND(CCData[[#This Row],[Date]]&gt;=Calculation!$E$3,CCData[[#This Row],[Date]]&lt;Calculation!$E$3+7)</f>
        <v>0</v>
      </c>
    </row>
    <row r="984" spans="1:10">
      <c r="A984" t="s">
        <v>983</v>
      </c>
      <c r="B984" s="2">
        <v>42022.493999999999</v>
      </c>
      <c r="C984" s="3" t="s">
        <v>5006</v>
      </c>
      <c r="D984" t="s">
        <v>5014</v>
      </c>
      <c r="E984" t="s">
        <v>5018</v>
      </c>
      <c r="F984" t="s">
        <v>5018</v>
      </c>
      <c r="G984">
        <v>90</v>
      </c>
      <c r="H984" s="5">
        <v>1.553520928740848E-3</v>
      </c>
      <c r="I984">
        <v>3</v>
      </c>
      <c r="J984" t="b">
        <f>AND(CCData[[#This Row],[Date]]&gt;=Calculation!$E$3,CCData[[#This Row],[Date]]&lt;Calculation!$E$3+7)</f>
        <v>0</v>
      </c>
    </row>
    <row r="985" spans="1:10">
      <c r="A985" t="s">
        <v>984</v>
      </c>
      <c r="B985" s="2">
        <v>42022.493999999999</v>
      </c>
      <c r="C985" s="3" t="s">
        <v>5007</v>
      </c>
      <c r="D985" t="s">
        <v>5016</v>
      </c>
      <c r="E985" t="s">
        <v>5018</v>
      </c>
      <c r="F985" t="s">
        <v>5019</v>
      </c>
      <c r="G985">
        <v>57</v>
      </c>
      <c r="H985" s="5">
        <v>2.8963492719027003E-3</v>
      </c>
      <c r="I985">
        <v>1</v>
      </c>
      <c r="J985" t="b">
        <f>AND(CCData[[#This Row],[Date]]&gt;=Calculation!$E$3,CCData[[#This Row],[Date]]&lt;Calculation!$E$3+7)</f>
        <v>0</v>
      </c>
    </row>
    <row r="986" spans="1:10">
      <c r="A986" t="s">
        <v>985</v>
      </c>
      <c r="B986" s="2">
        <v>42022.497000000003</v>
      </c>
      <c r="C986" s="3" t="s">
        <v>5004</v>
      </c>
      <c r="D986" t="s">
        <v>5015</v>
      </c>
      <c r="E986" t="s">
        <v>5018</v>
      </c>
      <c r="F986" t="s">
        <v>5018</v>
      </c>
      <c r="G986">
        <v>123</v>
      </c>
      <c r="H986" s="5">
        <v>4.0513465556983631E-3</v>
      </c>
      <c r="I986">
        <v>2</v>
      </c>
      <c r="J986" t="b">
        <f>AND(CCData[[#This Row],[Date]]&gt;=Calculation!$E$3,CCData[[#This Row],[Date]]&lt;Calculation!$E$3+7)</f>
        <v>0</v>
      </c>
    </row>
    <row r="987" spans="1:10">
      <c r="A987" t="s">
        <v>986</v>
      </c>
      <c r="B987" s="2">
        <v>42022.497000000003</v>
      </c>
      <c r="C987" s="3" t="s">
        <v>5003</v>
      </c>
      <c r="D987" t="s">
        <v>5015</v>
      </c>
      <c r="E987" t="s">
        <v>5018</v>
      </c>
      <c r="F987" t="s">
        <v>5018</v>
      </c>
      <c r="G987">
        <v>39</v>
      </c>
      <c r="H987" s="5">
        <v>4.7567124134085927E-3</v>
      </c>
      <c r="I987">
        <v>4</v>
      </c>
      <c r="J987" t="b">
        <f>AND(CCData[[#This Row],[Date]]&gt;=Calculation!$E$3,CCData[[#This Row],[Date]]&lt;Calculation!$E$3+7)</f>
        <v>0</v>
      </c>
    </row>
    <row r="988" spans="1:10">
      <c r="A988" t="s">
        <v>987</v>
      </c>
      <c r="B988" s="2">
        <v>42022.498</v>
      </c>
      <c r="C988" s="3" t="s">
        <v>5006</v>
      </c>
      <c r="D988" t="s">
        <v>5013</v>
      </c>
      <c r="E988" t="s">
        <v>5018</v>
      </c>
      <c r="F988" t="s">
        <v>5019</v>
      </c>
      <c r="G988">
        <v>38</v>
      </c>
      <c r="H988" s="5">
        <v>1.5742508520771917E-3</v>
      </c>
      <c r="I988">
        <v>5</v>
      </c>
      <c r="J988" t="b">
        <f>AND(CCData[[#This Row],[Date]]&gt;=Calculation!$E$3,CCData[[#This Row],[Date]]&lt;Calculation!$E$3+7)</f>
        <v>0</v>
      </c>
    </row>
    <row r="989" spans="1:10">
      <c r="A989" t="s">
        <v>988</v>
      </c>
      <c r="B989" s="2">
        <v>42022.498</v>
      </c>
      <c r="C989" s="3" t="s">
        <v>5003</v>
      </c>
      <c r="D989" t="s">
        <v>5016</v>
      </c>
      <c r="E989" t="s">
        <v>5018</v>
      </c>
      <c r="F989" t="s">
        <v>5018</v>
      </c>
      <c r="G989">
        <v>26</v>
      </c>
      <c r="H989" s="5">
        <v>1.1052956050581209E-3</v>
      </c>
      <c r="I989">
        <v>1</v>
      </c>
      <c r="J989" t="b">
        <f>AND(CCData[[#This Row],[Date]]&gt;=Calculation!$E$3,CCData[[#This Row],[Date]]&lt;Calculation!$E$3+7)</f>
        <v>0</v>
      </c>
    </row>
    <row r="990" spans="1:10">
      <c r="A990" t="s">
        <v>989</v>
      </c>
      <c r="B990" s="2">
        <v>42022.499000000003</v>
      </c>
      <c r="C990" s="3" t="s">
        <v>5003</v>
      </c>
      <c r="D990" t="s">
        <v>5012</v>
      </c>
      <c r="E990" t="s">
        <v>5018</v>
      </c>
      <c r="F990" t="s">
        <v>5018</v>
      </c>
      <c r="G990">
        <v>43</v>
      </c>
      <c r="H990" s="5">
        <v>1.7805530536008289E-3</v>
      </c>
      <c r="I990">
        <v>3</v>
      </c>
      <c r="J990" t="b">
        <f>AND(CCData[[#This Row],[Date]]&gt;=Calculation!$E$3,CCData[[#This Row],[Date]]&lt;Calculation!$E$3+7)</f>
        <v>0</v>
      </c>
    </row>
    <row r="991" spans="1:10">
      <c r="A991" t="s">
        <v>990</v>
      </c>
      <c r="B991" s="2">
        <v>42022.499000000003</v>
      </c>
      <c r="C991" s="3" t="s">
        <v>5007</v>
      </c>
      <c r="D991" t="s">
        <v>5016</v>
      </c>
      <c r="E991" t="s">
        <v>5018</v>
      </c>
      <c r="F991" t="s">
        <v>5018</v>
      </c>
      <c r="G991">
        <v>89</v>
      </c>
      <c r="H991" s="5">
        <v>4.088146488675626E-3</v>
      </c>
      <c r="I991">
        <v>3</v>
      </c>
      <c r="J991" t="b">
        <f>AND(CCData[[#This Row],[Date]]&gt;=Calculation!$E$3,CCData[[#This Row],[Date]]&lt;Calculation!$E$3+7)</f>
        <v>0</v>
      </c>
    </row>
    <row r="992" spans="1:10">
      <c r="A992" t="s">
        <v>991</v>
      </c>
      <c r="B992" s="2">
        <v>42022.5</v>
      </c>
      <c r="C992" s="3" t="s">
        <v>5007</v>
      </c>
      <c r="D992" t="s">
        <v>5012</v>
      </c>
      <c r="E992" t="s">
        <v>5018</v>
      </c>
      <c r="F992" t="s">
        <v>5018</v>
      </c>
      <c r="G992">
        <v>121</v>
      </c>
      <c r="H992" s="5">
        <v>3.7459589385579503E-3</v>
      </c>
      <c r="I992">
        <v>3</v>
      </c>
      <c r="J992" t="b">
        <f>AND(CCData[[#This Row],[Date]]&gt;=Calculation!$E$3,CCData[[#This Row],[Date]]&lt;Calculation!$E$3+7)</f>
        <v>0</v>
      </c>
    </row>
    <row r="993" spans="1:10">
      <c r="A993" t="s">
        <v>992</v>
      </c>
      <c r="B993" s="2">
        <v>42022.5</v>
      </c>
      <c r="C993" s="3" t="s">
        <v>5007</v>
      </c>
      <c r="D993" t="s">
        <v>5014</v>
      </c>
      <c r="E993" t="s">
        <v>5018</v>
      </c>
      <c r="F993" t="s">
        <v>5018</v>
      </c>
      <c r="G993">
        <v>114</v>
      </c>
      <c r="H993" s="5">
        <v>2.1977733271927339E-3</v>
      </c>
      <c r="I993">
        <v>4</v>
      </c>
      <c r="J993" t="b">
        <f>AND(CCData[[#This Row],[Date]]&gt;=Calculation!$E$3,CCData[[#This Row],[Date]]&lt;Calculation!$E$3+7)</f>
        <v>0</v>
      </c>
    </row>
    <row r="994" spans="1:10">
      <c r="A994" t="s">
        <v>993</v>
      </c>
      <c r="B994" s="2">
        <v>42022.523999999998</v>
      </c>
      <c r="C994" s="3" t="s">
        <v>5005</v>
      </c>
      <c r="D994" t="s">
        <v>5012</v>
      </c>
      <c r="E994" t="s">
        <v>5019</v>
      </c>
      <c r="F994" t="s">
        <v>5019</v>
      </c>
      <c r="G994" t="s">
        <v>5022</v>
      </c>
      <c r="H994" s="5" t="s">
        <v>5022</v>
      </c>
      <c r="I994" t="s">
        <v>5022</v>
      </c>
      <c r="J994" t="b">
        <f>AND(CCData[[#This Row],[Date]]&gt;=Calculation!$E$3,CCData[[#This Row],[Date]]&lt;Calculation!$E$3+7)</f>
        <v>0</v>
      </c>
    </row>
    <row r="995" spans="1:10">
      <c r="A995" t="s">
        <v>994</v>
      </c>
      <c r="B995" s="2">
        <v>42022.523999999998</v>
      </c>
      <c r="C995" s="3" t="s">
        <v>5010</v>
      </c>
      <c r="D995" t="s">
        <v>5013</v>
      </c>
      <c r="E995" t="s">
        <v>5019</v>
      </c>
      <c r="F995" t="s">
        <v>5019</v>
      </c>
      <c r="G995" t="s">
        <v>5022</v>
      </c>
      <c r="H995" s="5" t="s">
        <v>5022</v>
      </c>
      <c r="I995" t="s">
        <v>5022</v>
      </c>
      <c r="J995" t="b">
        <f>AND(CCData[[#This Row],[Date]]&gt;=Calculation!$E$3,CCData[[#This Row],[Date]]&lt;Calculation!$E$3+7)</f>
        <v>0</v>
      </c>
    </row>
    <row r="996" spans="1:10">
      <c r="A996" t="s">
        <v>995</v>
      </c>
      <c r="B996" s="2">
        <v>42022.525999999998</v>
      </c>
      <c r="C996" s="3" t="s">
        <v>5004</v>
      </c>
      <c r="D996" t="s">
        <v>5016</v>
      </c>
      <c r="E996" t="s">
        <v>5019</v>
      </c>
      <c r="F996" t="s">
        <v>5019</v>
      </c>
      <c r="G996" t="s">
        <v>5022</v>
      </c>
      <c r="H996" s="5" t="s">
        <v>5022</v>
      </c>
      <c r="I996" t="s">
        <v>5022</v>
      </c>
      <c r="J996" t="b">
        <f>AND(CCData[[#This Row],[Date]]&gt;=Calculation!$E$3,CCData[[#This Row],[Date]]&lt;Calculation!$E$3+7)</f>
        <v>0</v>
      </c>
    </row>
    <row r="997" spans="1:10">
      <c r="A997" t="s">
        <v>996</v>
      </c>
      <c r="B997" s="2">
        <v>42022.525999999998</v>
      </c>
      <c r="C997" s="3" t="s">
        <v>5004</v>
      </c>
      <c r="D997" t="s">
        <v>5015</v>
      </c>
      <c r="E997" t="s">
        <v>5018</v>
      </c>
      <c r="F997" t="s">
        <v>5019</v>
      </c>
      <c r="G997">
        <v>101</v>
      </c>
      <c r="H997" s="5">
        <v>3.1928997993761121E-3</v>
      </c>
      <c r="I997">
        <v>3</v>
      </c>
      <c r="J997" t="b">
        <f>AND(CCData[[#This Row],[Date]]&gt;=Calculation!$E$3,CCData[[#This Row],[Date]]&lt;Calculation!$E$3+7)</f>
        <v>0</v>
      </c>
    </row>
    <row r="998" spans="1:10">
      <c r="A998" t="s">
        <v>997</v>
      </c>
      <c r="B998" s="2">
        <v>42022.527000000002</v>
      </c>
      <c r="C998" s="3" t="s">
        <v>5008</v>
      </c>
      <c r="D998" t="s">
        <v>5014</v>
      </c>
      <c r="E998" t="s">
        <v>5018</v>
      </c>
      <c r="F998" t="s">
        <v>5018</v>
      </c>
      <c r="G998">
        <v>87</v>
      </c>
      <c r="H998" s="5">
        <v>3.6867003487803213E-3</v>
      </c>
      <c r="I998">
        <v>4</v>
      </c>
      <c r="J998" t="b">
        <f>AND(CCData[[#This Row],[Date]]&gt;=Calculation!$E$3,CCData[[#This Row],[Date]]&lt;Calculation!$E$3+7)</f>
        <v>0</v>
      </c>
    </row>
    <row r="999" spans="1:10">
      <c r="A999" t="s">
        <v>998</v>
      </c>
      <c r="B999" s="2">
        <v>42022.527000000002</v>
      </c>
      <c r="C999" s="3" t="s">
        <v>5006</v>
      </c>
      <c r="D999" t="s">
        <v>5015</v>
      </c>
      <c r="E999" t="s">
        <v>5018</v>
      </c>
      <c r="F999" t="s">
        <v>5018</v>
      </c>
      <c r="G999">
        <v>22</v>
      </c>
      <c r="H999" s="5">
        <v>4.1924736345885141E-3</v>
      </c>
      <c r="I999">
        <v>5</v>
      </c>
      <c r="J999" t="b">
        <f>AND(CCData[[#This Row],[Date]]&gt;=Calculation!$E$3,CCData[[#This Row],[Date]]&lt;Calculation!$E$3+7)</f>
        <v>0</v>
      </c>
    </row>
    <row r="1000" spans="1:10">
      <c r="A1000" t="s">
        <v>999</v>
      </c>
      <c r="B1000" s="2">
        <v>42022.529000000002</v>
      </c>
      <c r="C1000" s="3" t="s">
        <v>5005</v>
      </c>
      <c r="D1000" t="s">
        <v>5016</v>
      </c>
      <c r="E1000" t="s">
        <v>5018</v>
      </c>
      <c r="F1000" t="s">
        <v>5018</v>
      </c>
      <c r="G1000">
        <v>19</v>
      </c>
      <c r="H1000" s="5">
        <v>2.7422928717987399E-3</v>
      </c>
      <c r="I1000">
        <v>2</v>
      </c>
      <c r="J1000" t="b">
        <f>AND(CCData[[#This Row],[Date]]&gt;=Calculation!$E$3,CCData[[#This Row],[Date]]&lt;Calculation!$E$3+7)</f>
        <v>0</v>
      </c>
    </row>
    <row r="1001" spans="1:10">
      <c r="A1001" t="s">
        <v>1000</v>
      </c>
      <c r="B1001" s="2">
        <v>42022.529000000002</v>
      </c>
      <c r="C1001" s="3" t="s">
        <v>5004</v>
      </c>
      <c r="D1001" t="s">
        <v>5015</v>
      </c>
      <c r="E1001" t="s">
        <v>5018</v>
      </c>
      <c r="F1001" t="s">
        <v>5018</v>
      </c>
      <c r="G1001">
        <v>31</v>
      </c>
      <c r="H1001" s="5">
        <v>1.7374001837290758E-3</v>
      </c>
      <c r="I1001">
        <v>4</v>
      </c>
      <c r="J1001" t="b">
        <f>AND(CCData[[#This Row],[Date]]&gt;=Calculation!$E$3,CCData[[#This Row],[Date]]&lt;Calculation!$E$3+7)</f>
        <v>0</v>
      </c>
    </row>
    <row r="1002" spans="1:10">
      <c r="A1002" t="s">
        <v>1001</v>
      </c>
      <c r="B1002" s="2">
        <v>42022.534</v>
      </c>
      <c r="C1002" s="3" t="s">
        <v>5009</v>
      </c>
      <c r="D1002" t="s">
        <v>5014</v>
      </c>
      <c r="E1002" t="s">
        <v>5018</v>
      </c>
      <c r="F1002" t="s">
        <v>5018</v>
      </c>
      <c r="G1002">
        <v>24</v>
      </c>
      <c r="H1002" s="5">
        <v>4.198366962633795E-3</v>
      </c>
      <c r="I1002">
        <v>4</v>
      </c>
      <c r="J1002" t="b">
        <f>AND(CCData[[#This Row],[Date]]&gt;=Calculation!$E$3,CCData[[#This Row],[Date]]&lt;Calculation!$E$3+7)</f>
        <v>0</v>
      </c>
    </row>
    <row r="1003" spans="1:10">
      <c r="A1003" t="s">
        <v>1002</v>
      </c>
      <c r="B1003" s="2">
        <v>42022.534</v>
      </c>
      <c r="C1003" s="3" t="s">
        <v>5010</v>
      </c>
      <c r="D1003" t="s">
        <v>5014</v>
      </c>
      <c r="E1003" t="s">
        <v>5018</v>
      </c>
      <c r="F1003" t="s">
        <v>5019</v>
      </c>
      <c r="G1003">
        <v>94</v>
      </c>
      <c r="H1003" s="5">
        <v>3.2589960507189851E-3</v>
      </c>
      <c r="I1003">
        <v>4</v>
      </c>
      <c r="J1003" t="b">
        <f>AND(CCData[[#This Row],[Date]]&gt;=Calculation!$E$3,CCData[[#This Row],[Date]]&lt;Calculation!$E$3+7)</f>
        <v>0</v>
      </c>
    </row>
    <row r="1004" spans="1:10">
      <c r="A1004" t="s">
        <v>1003</v>
      </c>
      <c r="B1004" s="2">
        <v>42022.548999999999</v>
      </c>
      <c r="C1004" s="3" t="s">
        <v>5010</v>
      </c>
      <c r="D1004" t="s">
        <v>5016</v>
      </c>
      <c r="E1004" t="s">
        <v>5018</v>
      </c>
      <c r="F1004" t="s">
        <v>5018</v>
      </c>
      <c r="G1004">
        <v>79</v>
      </c>
      <c r="H1004" s="5">
        <v>5.4659028977496868E-4</v>
      </c>
      <c r="I1004">
        <v>4</v>
      </c>
      <c r="J1004" t="b">
        <f>AND(CCData[[#This Row],[Date]]&gt;=Calculation!$E$3,CCData[[#This Row],[Date]]&lt;Calculation!$E$3+7)</f>
        <v>0</v>
      </c>
    </row>
    <row r="1005" spans="1:10">
      <c r="A1005" t="s">
        <v>1004</v>
      </c>
      <c r="B1005" s="2">
        <v>42022.548999999999</v>
      </c>
      <c r="C1005" s="3" t="s">
        <v>5007</v>
      </c>
      <c r="D1005" t="s">
        <v>5013</v>
      </c>
      <c r="E1005" t="s">
        <v>5019</v>
      </c>
      <c r="F1005" t="s">
        <v>5019</v>
      </c>
      <c r="G1005" t="s">
        <v>5022</v>
      </c>
      <c r="H1005" s="5" t="s">
        <v>5022</v>
      </c>
      <c r="I1005" t="s">
        <v>5022</v>
      </c>
      <c r="J1005" t="b">
        <f>AND(CCData[[#This Row],[Date]]&gt;=Calculation!$E$3,CCData[[#This Row],[Date]]&lt;Calculation!$E$3+7)</f>
        <v>0</v>
      </c>
    </row>
    <row r="1006" spans="1:10">
      <c r="A1006" t="s">
        <v>1005</v>
      </c>
      <c r="B1006" s="2">
        <v>42022.548999999999</v>
      </c>
      <c r="C1006" s="3" t="s">
        <v>5009</v>
      </c>
      <c r="D1006" t="s">
        <v>5015</v>
      </c>
      <c r="E1006" t="s">
        <v>5018</v>
      </c>
      <c r="F1006" t="s">
        <v>5018</v>
      </c>
      <c r="G1006">
        <v>87</v>
      </c>
      <c r="H1006" s="5">
        <v>3.2433938248599367E-3</v>
      </c>
      <c r="I1006">
        <v>4</v>
      </c>
      <c r="J1006" t="b">
        <f>AND(CCData[[#This Row],[Date]]&gt;=Calculation!$E$3,CCData[[#This Row],[Date]]&lt;Calculation!$E$3+7)</f>
        <v>0</v>
      </c>
    </row>
    <row r="1007" spans="1:10">
      <c r="A1007" t="s">
        <v>1006</v>
      </c>
      <c r="B1007" s="2">
        <v>42022.548999999999</v>
      </c>
      <c r="C1007" s="3" t="s">
        <v>5010</v>
      </c>
      <c r="D1007" t="s">
        <v>5012</v>
      </c>
      <c r="E1007" t="s">
        <v>5018</v>
      </c>
      <c r="F1007" t="s">
        <v>5019</v>
      </c>
      <c r="G1007">
        <v>65</v>
      </c>
      <c r="H1007" s="5">
        <v>4.2090703066775311E-3</v>
      </c>
      <c r="I1007">
        <v>4</v>
      </c>
      <c r="J1007" t="b">
        <f>AND(CCData[[#This Row],[Date]]&gt;=Calculation!$E$3,CCData[[#This Row],[Date]]&lt;Calculation!$E$3+7)</f>
        <v>0</v>
      </c>
    </row>
    <row r="1008" spans="1:10">
      <c r="A1008" t="s">
        <v>1007</v>
      </c>
      <c r="B1008" s="2">
        <v>42022.624000000003</v>
      </c>
      <c r="C1008" s="3" t="s">
        <v>5009</v>
      </c>
      <c r="D1008" t="s">
        <v>5012</v>
      </c>
      <c r="E1008" t="s">
        <v>5018</v>
      </c>
      <c r="F1008" t="s">
        <v>5018</v>
      </c>
      <c r="G1008">
        <v>36</v>
      </c>
      <c r="H1008" s="5">
        <v>3.0416362467752273E-3</v>
      </c>
      <c r="I1008">
        <v>3</v>
      </c>
      <c r="J1008" t="b">
        <f>AND(CCData[[#This Row],[Date]]&gt;=Calculation!$E$3,CCData[[#This Row],[Date]]&lt;Calculation!$E$3+7)</f>
        <v>0</v>
      </c>
    </row>
    <row r="1009" spans="1:10">
      <c r="A1009" t="s">
        <v>1008</v>
      </c>
      <c r="B1009" s="2">
        <v>42022.624000000003</v>
      </c>
      <c r="C1009" s="3" t="s">
        <v>5008</v>
      </c>
      <c r="D1009" t="s">
        <v>5013</v>
      </c>
      <c r="E1009" t="s">
        <v>5019</v>
      </c>
      <c r="F1009" t="s">
        <v>5019</v>
      </c>
      <c r="G1009" t="s">
        <v>5022</v>
      </c>
      <c r="H1009" s="5" t="s">
        <v>5022</v>
      </c>
      <c r="I1009" t="s">
        <v>5022</v>
      </c>
      <c r="J1009" t="b">
        <f>AND(CCData[[#This Row],[Date]]&gt;=Calculation!$E$3,CCData[[#This Row],[Date]]&lt;Calculation!$E$3+7)</f>
        <v>0</v>
      </c>
    </row>
    <row r="1010" spans="1:10">
      <c r="A1010" t="s">
        <v>1009</v>
      </c>
      <c r="B1010" s="2">
        <v>42022.637999999999</v>
      </c>
      <c r="C1010" s="3" t="s">
        <v>5005</v>
      </c>
      <c r="D1010" t="s">
        <v>5016</v>
      </c>
      <c r="E1010" t="s">
        <v>5018</v>
      </c>
      <c r="F1010" t="s">
        <v>5018</v>
      </c>
      <c r="G1010">
        <v>33</v>
      </c>
      <c r="H1010" s="5">
        <v>1.5700040144382631E-3</v>
      </c>
      <c r="I1010">
        <v>4</v>
      </c>
      <c r="J1010" t="b">
        <f>AND(CCData[[#This Row],[Date]]&gt;=Calculation!$E$3,CCData[[#This Row],[Date]]&lt;Calculation!$E$3+7)</f>
        <v>0</v>
      </c>
    </row>
    <row r="1011" spans="1:10">
      <c r="A1011" t="s">
        <v>1010</v>
      </c>
      <c r="B1011" s="2">
        <v>42022.637999999999</v>
      </c>
      <c r="C1011" s="3" t="s">
        <v>5004</v>
      </c>
      <c r="D1011" t="s">
        <v>5012</v>
      </c>
      <c r="E1011" t="s">
        <v>5019</v>
      </c>
      <c r="F1011" t="s">
        <v>5019</v>
      </c>
      <c r="G1011" t="s">
        <v>5022</v>
      </c>
      <c r="H1011" s="5" t="s">
        <v>5022</v>
      </c>
      <c r="I1011" t="s">
        <v>5022</v>
      </c>
      <c r="J1011" t="b">
        <f>AND(CCData[[#This Row],[Date]]&gt;=Calculation!$E$3,CCData[[#This Row],[Date]]&lt;Calculation!$E$3+7)</f>
        <v>0</v>
      </c>
    </row>
    <row r="1012" spans="1:10">
      <c r="A1012" t="s">
        <v>1011</v>
      </c>
      <c r="B1012" s="2">
        <v>42022.66</v>
      </c>
      <c r="C1012" s="3" t="s">
        <v>5007</v>
      </c>
      <c r="D1012" t="s">
        <v>5015</v>
      </c>
      <c r="E1012" t="s">
        <v>5019</v>
      </c>
      <c r="F1012" t="s">
        <v>5019</v>
      </c>
      <c r="G1012" t="s">
        <v>5022</v>
      </c>
      <c r="H1012" s="5" t="s">
        <v>5022</v>
      </c>
      <c r="I1012" t="s">
        <v>5022</v>
      </c>
      <c r="J1012" t="b">
        <f>AND(CCData[[#This Row],[Date]]&gt;=Calculation!$E$3,CCData[[#This Row],[Date]]&lt;Calculation!$E$3+7)</f>
        <v>0</v>
      </c>
    </row>
    <row r="1013" spans="1:10">
      <c r="A1013" t="s">
        <v>1012</v>
      </c>
      <c r="B1013" s="2">
        <v>42022.66</v>
      </c>
      <c r="C1013" s="3" t="s">
        <v>5006</v>
      </c>
      <c r="D1013" t="s">
        <v>5016</v>
      </c>
      <c r="E1013" t="s">
        <v>5018</v>
      </c>
      <c r="F1013" t="s">
        <v>5018</v>
      </c>
      <c r="G1013">
        <v>24</v>
      </c>
      <c r="H1013" s="5">
        <v>2.2596826210596545E-3</v>
      </c>
      <c r="I1013">
        <v>5</v>
      </c>
      <c r="J1013" t="b">
        <f>AND(CCData[[#This Row],[Date]]&gt;=Calculation!$E$3,CCData[[#This Row],[Date]]&lt;Calculation!$E$3+7)</f>
        <v>0</v>
      </c>
    </row>
    <row r="1014" spans="1:10">
      <c r="A1014" t="s">
        <v>1013</v>
      </c>
      <c r="B1014" s="2">
        <v>42022.675000000003</v>
      </c>
      <c r="C1014" s="3" t="s">
        <v>5005</v>
      </c>
      <c r="D1014" t="s">
        <v>5015</v>
      </c>
      <c r="E1014" t="s">
        <v>5018</v>
      </c>
      <c r="F1014" t="s">
        <v>5018</v>
      </c>
      <c r="G1014">
        <v>32</v>
      </c>
      <c r="H1014" s="5">
        <v>2.5479568618858623E-3</v>
      </c>
      <c r="I1014">
        <v>5</v>
      </c>
      <c r="J1014" t="b">
        <f>AND(CCData[[#This Row],[Date]]&gt;=Calculation!$E$3,CCData[[#This Row],[Date]]&lt;Calculation!$E$3+7)</f>
        <v>0</v>
      </c>
    </row>
    <row r="1015" spans="1:10">
      <c r="A1015" t="s">
        <v>1014</v>
      </c>
      <c r="B1015" s="2">
        <v>42022.675000000003</v>
      </c>
      <c r="C1015" s="3" t="s">
        <v>5008</v>
      </c>
      <c r="D1015" t="s">
        <v>5012</v>
      </c>
      <c r="E1015" t="s">
        <v>5018</v>
      </c>
      <c r="F1015" t="s">
        <v>5019</v>
      </c>
      <c r="G1015">
        <v>24</v>
      </c>
      <c r="H1015" s="5">
        <v>2.6196630373986024E-3</v>
      </c>
      <c r="I1015">
        <v>4</v>
      </c>
      <c r="J1015" t="b">
        <f>AND(CCData[[#This Row],[Date]]&gt;=Calculation!$E$3,CCData[[#This Row],[Date]]&lt;Calculation!$E$3+7)</f>
        <v>0</v>
      </c>
    </row>
    <row r="1016" spans="1:10">
      <c r="A1016" t="s">
        <v>1015</v>
      </c>
      <c r="B1016" s="2">
        <v>42022.701000000001</v>
      </c>
      <c r="C1016" s="3" t="s">
        <v>5005</v>
      </c>
      <c r="D1016" t="s">
        <v>5013</v>
      </c>
      <c r="E1016" t="s">
        <v>5018</v>
      </c>
      <c r="F1016" t="s">
        <v>5018</v>
      </c>
      <c r="G1016">
        <v>96</v>
      </c>
      <c r="H1016" s="5">
        <v>3.8098494078848129E-3</v>
      </c>
      <c r="I1016">
        <v>5</v>
      </c>
      <c r="J1016" t="b">
        <f>AND(CCData[[#This Row],[Date]]&gt;=Calculation!$E$3,CCData[[#This Row],[Date]]&lt;Calculation!$E$3+7)</f>
        <v>0</v>
      </c>
    </row>
    <row r="1017" spans="1:10">
      <c r="A1017" t="s">
        <v>1016</v>
      </c>
      <c r="B1017" s="2">
        <v>42022.701000000001</v>
      </c>
      <c r="C1017" s="3" t="s">
        <v>5008</v>
      </c>
      <c r="D1017" t="s">
        <v>5013</v>
      </c>
      <c r="E1017" t="s">
        <v>5018</v>
      </c>
      <c r="F1017" t="s">
        <v>5018</v>
      </c>
      <c r="G1017">
        <v>45</v>
      </c>
      <c r="H1017" s="5">
        <v>1.450456258039288E-3</v>
      </c>
      <c r="I1017">
        <v>5</v>
      </c>
      <c r="J1017" t="b">
        <f>AND(CCData[[#This Row],[Date]]&gt;=Calculation!$E$3,CCData[[#This Row],[Date]]&lt;Calculation!$E$3+7)</f>
        <v>0</v>
      </c>
    </row>
    <row r="1018" spans="1:10">
      <c r="A1018" t="s">
        <v>1017</v>
      </c>
      <c r="B1018" s="2">
        <v>42022.718000000001</v>
      </c>
      <c r="C1018" s="3" t="s">
        <v>5007</v>
      </c>
      <c r="D1018" t="s">
        <v>5015</v>
      </c>
      <c r="E1018" t="s">
        <v>5018</v>
      </c>
      <c r="F1018" t="s">
        <v>5018</v>
      </c>
      <c r="G1018">
        <v>16</v>
      </c>
      <c r="H1018" s="5">
        <v>3.5737715704881323E-3</v>
      </c>
      <c r="I1018">
        <v>1</v>
      </c>
      <c r="J1018" t="b">
        <f>AND(CCData[[#This Row],[Date]]&gt;=Calculation!$E$3,CCData[[#This Row],[Date]]&lt;Calculation!$E$3+7)</f>
        <v>0</v>
      </c>
    </row>
    <row r="1019" spans="1:10">
      <c r="A1019" t="s">
        <v>1018</v>
      </c>
      <c r="B1019" s="2">
        <v>42022.718000000001</v>
      </c>
      <c r="C1019" s="3" t="s">
        <v>5006</v>
      </c>
      <c r="D1019" t="s">
        <v>5013</v>
      </c>
      <c r="E1019" t="s">
        <v>5018</v>
      </c>
      <c r="F1019" t="s">
        <v>5018</v>
      </c>
      <c r="G1019">
        <v>75</v>
      </c>
      <c r="H1019" s="5">
        <v>4.8096902287556422E-3</v>
      </c>
      <c r="I1019">
        <v>5</v>
      </c>
      <c r="J1019" t="b">
        <f>AND(CCData[[#This Row],[Date]]&gt;=Calculation!$E$3,CCData[[#This Row],[Date]]&lt;Calculation!$E$3+7)</f>
        <v>0</v>
      </c>
    </row>
    <row r="1020" spans="1:10">
      <c r="A1020" t="s">
        <v>1019</v>
      </c>
      <c r="B1020" s="2">
        <v>42022.720999999998</v>
      </c>
      <c r="C1020" s="3" t="s">
        <v>5008</v>
      </c>
      <c r="D1020" t="s">
        <v>5012</v>
      </c>
      <c r="E1020" t="s">
        <v>5018</v>
      </c>
      <c r="F1020" t="s">
        <v>5018</v>
      </c>
      <c r="G1020">
        <v>71</v>
      </c>
      <c r="H1020" s="5">
        <v>4.3115070331052342E-4</v>
      </c>
      <c r="I1020">
        <v>3</v>
      </c>
      <c r="J1020" t="b">
        <f>AND(CCData[[#This Row],[Date]]&gt;=Calculation!$E$3,CCData[[#This Row],[Date]]&lt;Calculation!$E$3+7)</f>
        <v>0</v>
      </c>
    </row>
    <row r="1021" spans="1:10">
      <c r="A1021" t="s">
        <v>1020</v>
      </c>
      <c r="B1021" s="2">
        <v>42022.720999999998</v>
      </c>
      <c r="C1021" s="3" t="s">
        <v>5005</v>
      </c>
      <c r="D1021" t="s">
        <v>5013</v>
      </c>
      <c r="E1021" t="s">
        <v>5018</v>
      </c>
      <c r="F1021" t="s">
        <v>5018</v>
      </c>
      <c r="G1021">
        <v>47</v>
      </c>
      <c r="H1021" s="5">
        <v>1.5870373537553517E-3</v>
      </c>
      <c r="I1021">
        <v>3</v>
      </c>
      <c r="J1021" t="b">
        <f>AND(CCData[[#This Row],[Date]]&gt;=Calculation!$E$3,CCData[[#This Row],[Date]]&lt;Calculation!$E$3+7)</f>
        <v>0</v>
      </c>
    </row>
    <row r="1022" spans="1:10">
      <c r="A1022" t="s">
        <v>1021</v>
      </c>
      <c r="B1022" s="2">
        <v>42022.720999999998</v>
      </c>
      <c r="C1022" s="3" t="s">
        <v>5005</v>
      </c>
      <c r="D1022" t="s">
        <v>5015</v>
      </c>
      <c r="E1022" t="s">
        <v>5018</v>
      </c>
      <c r="F1022" t="s">
        <v>5018</v>
      </c>
      <c r="G1022">
        <v>54</v>
      </c>
      <c r="H1022" s="5">
        <v>3.3381707487922271E-3</v>
      </c>
      <c r="I1022">
        <v>3</v>
      </c>
      <c r="J1022" t="b">
        <f>AND(CCData[[#This Row],[Date]]&gt;=Calculation!$E$3,CCData[[#This Row],[Date]]&lt;Calculation!$E$3+7)</f>
        <v>0</v>
      </c>
    </row>
    <row r="1023" spans="1:10">
      <c r="A1023" t="s">
        <v>1022</v>
      </c>
      <c r="B1023" s="2">
        <v>42022.720999999998</v>
      </c>
      <c r="C1023" s="3" t="s">
        <v>5004</v>
      </c>
      <c r="D1023" t="s">
        <v>5014</v>
      </c>
      <c r="E1023" t="s">
        <v>5018</v>
      </c>
      <c r="F1023" t="s">
        <v>5018</v>
      </c>
      <c r="G1023">
        <v>101</v>
      </c>
      <c r="H1023" s="5">
        <v>3.1141919194019462E-3</v>
      </c>
      <c r="I1023">
        <v>4</v>
      </c>
      <c r="J1023" t="b">
        <f>AND(CCData[[#This Row],[Date]]&gt;=Calculation!$E$3,CCData[[#This Row],[Date]]&lt;Calculation!$E$3+7)</f>
        <v>0</v>
      </c>
    </row>
    <row r="1024" spans="1:10">
      <c r="A1024" t="s">
        <v>1023</v>
      </c>
      <c r="B1024" s="2">
        <v>42022.726000000002</v>
      </c>
      <c r="C1024" s="3" t="s">
        <v>5009</v>
      </c>
      <c r="D1024" t="s">
        <v>5016</v>
      </c>
      <c r="E1024" t="s">
        <v>5018</v>
      </c>
      <c r="F1024" t="s">
        <v>5018</v>
      </c>
      <c r="G1024">
        <v>46</v>
      </c>
      <c r="H1024" s="5">
        <v>1.4735233080576985E-3</v>
      </c>
      <c r="I1024">
        <v>3</v>
      </c>
      <c r="J1024" t="b">
        <f>AND(CCData[[#This Row],[Date]]&gt;=Calculation!$E$3,CCData[[#This Row],[Date]]&lt;Calculation!$E$3+7)</f>
        <v>0</v>
      </c>
    </row>
    <row r="1025" spans="1:10">
      <c r="A1025" t="s">
        <v>1024</v>
      </c>
      <c r="B1025" s="2">
        <v>42022.726000000002</v>
      </c>
      <c r="C1025" s="3" t="s">
        <v>5004</v>
      </c>
      <c r="D1025" t="s">
        <v>5013</v>
      </c>
      <c r="E1025" t="s">
        <v>5018</v>
      </c>
      <c r="F1025" t="s">
        <v>5018</v>
      </c>
      <c r="G1025">
        <v>45</v>
      </c>
      <c r="H1025" s="5">
        <v>4.8005177121640341E-3</v>
      </c>
      <c r="I1025">
        <v>3</v>
      </c>
      <c r="J1025" t="b">
        <f>AND(CCData[[#This Row],[Date]]&gt;=Calculation!$E$3,CCData[[#This Row],[Date]]&lt;Calculation!$E$3+7)</f>
        <v>0</v>
      </c>
    </row>
    <row r="1026" spans="1:10">
      <c r="A1026" t="s">
        <v>1025</v>
      </c>
      <c r="B1026" s="2">
        <v>42022.726999999999</v>
      </c>
      <c r="C1026" s="3" t="s">
        <v>5009</v>
      </c>
      <c r="D1026" t="s">
        <v>5013</v>
      </c>
      <c r="E1026" t="s">
        <v>5018</v>
      </c>
      <c r="F1026" t="s">
        <v>5018</v>
      </c>
      <c r="G1026">
        <v>45</v>
      </c>
      <c r="H1026" s="5">
        <v>3.7644774141042067E-3</v>
      </c>
      <c r="I1026">
        <v>4</v>
      </c>
      <c r="J1026" t="b">
        <f>AND(CCData[[#This Row],[Date]]&gt;=Calculation!$E$3,CCData[[#This Row],[Date]]&lt;Calculation!$E$3+7)</f>
        <v>0</v>
      </c>
    </row>
    <row r="1027" spans="1:10">
      <c r="A1027" t="s">
        <v>1026</v>
      </c>
      <c r="B1027" s="2">
        <v>42022.726999999999</v>
      </c>
      <c r="C1027" s="3" t="s">
        <v>5007</v>
      </c>
      <c r="D1027" t="s">
        <v>5015</v>
      </c>
      <c r="E1027" t="s">
        <v>5018</v>
      </c>
      <c r="F1027" t="s">
        <v>5018</v>
      </c>
      <c r="G1027">
        <v>30</v>
      </c>
      <c r="H1027" s="5">
        <v>3.4527020289314438E-3</v>
      </c>
      <c r="I1027">
        <v>5</v>
      </c>
      <c r="J1027" t="b">
        <f>AND(CCData[[#This Row],[Date]]&gt;=Calculation!$E$3,CCData[[#This Row],[Date]]&lt;Calculation!$E$3+7)</f>
        <v>0</v>
      </c>
    </row>
    <row r="1028" spans="1:10">
      <c r="A1028" t="s">
        <v>1027</v>
      </c>
      <c r="B1028" s="2">
        <v>42022.737999999998</v>
      </c>
      <c r="C1028" s="3" t="s">
        <v>5006</v>
      </c>
      <c r="D1028" t="s">
        <v>5013</v>
      </c>
      <c r="E1028" t="s">
        <v>5018</v>
      </c>
      <c r="F1028" t="s">
        <v>5018</v>
      </c>
      <c r="G1028">
        <v>105</v>
      </c>
      <c r="H1028" s="5">
        <v>3.4081806198059429E-3</v>
      </c>
      <c r="I1028">
        <v>4</v>
      </c>
      <c r="J1028" t="b">
        <f>AND(CCData[[#This Row],[Date]]&gt;=Calculation!$E$3,CCData[[#This Row],[Date]]&lt;Calculation!$E$3+7)</f>
        <v>0</v>
      </c>
    </row>
    <row r="1029" spans="1:10">
      <c r="A1029" t="s">
        <v>1028</v>
      </c>
      <c r="B1029" s="2">
        <v>42022.737999999998</v>
      </c>
      <c r="C1029" s="3" t="s">
        <v>5007</v>
      </c>
      <c r="D1029" t="s">
        <v>5014</v>
      </c>
      <c r="E1029" t="s">
        <v>5018</v>
      </c>
      <c r="F1029" t="s">
        <v>5018</v>
      </c>
      <c r="G1029">
        <v>102</v>
      </c>
      <c r="H1029" s="5">
        <v>3.3970251622184992E-3</v>
      </c>
      <c r="I1029">
        <v>4</v>
      </c>
      <c r="J1029" t="b">
        <f>AND(CCData[[#This Row],[Date]]&gt;=Calculation!$E$3,CCData[[#This Row],[Date]]&lt;Calculation!$E$3+7)</f>
        <v>0</v>
      </c>
    </row>
    <row r="1030" spans="1:10">
      <c r="A1030" t="s">
        <v>1029</v>
      </c>
      <c r="B1030" s="2">
        <v>42022.747000000003</v>
      </c>
      <c r="C1030" s="3" t="s">
        <v>5006</v>
      </c>
      <c r="D1030" t="s">
        <v>5014</v>
      </c>
      <c r="E1030" t="s">
        <v>5018</v>
      </c>
      <c r="F1030" t="s">
        <v>5018</v>
      </c>
      <c r="G1030">
        <v>46</v>
      </c>
      <c r="H1030" s="5">
        <v>3.4826093391521241E-3</v>
      </c>
      <c r="I1030">
        <v>3</v>
      </c>
      <c r="J1030" t="b">
        <f>AND(CCData[[#This Row],[Date]]&gt;=Calculation!$E$3,CCData[[#This Row],[Date]]&lt;Calculation!$E$3+7)</f>
        <v>0</v>
      </c>
    </row>
    <row r="1031" spans="1:10">
      <c r="A1031" t="s">
        <v>1030</v>
      </c>
      <c r="B1031" s="2">
        <v>42022.747000000003</v>
      </c>
      <c r="C1031" s="3" t="s">
        <v>5005</v>
      </c>
      <c r="D1031" t="s">
        <v>5015</v>
      </c>
      <c r="E1031" t="s">
        <v>5018</v>
      </c>
      <c r="F1031" t="s">
        <v>5018</v>
      </c>
      <c r="G1031">
        <v>11</v>
      </c>
      <c r="H1031" s="5">
        <v>6.069346750330459E-4</v>
      </c>
      <c r="I1031">
        <v>1</v>
      </c>
      <c r="J1031" t="b">
        <f>AND(CCData[[#This Row],[Date]]&gt;=Calculation!$E$3,CCData[[#This Row],[Date]]&lt;Calculation!$E$3+7)</f>
        <v>0</v>
      </c>
    </row>
    <row r="1032" spans="1:10">
      <c r="A1032" t="s">
        <v>1031</v>
      </c>
      <c r="B1032" s="2">
        <v>42023.377</v>
      </c>
      <c r="C1032" s="3" t="s">
        <v>5010</v>
      </c>
      <c r="D1032" t="s">
        <v>5014</v>
      </c>
      <c r="E1032" t="s">
        <v>5018</v>
      </c>
      <c r="F1032" t="s">
        <v>5018</v>
      </c>
      <c r="G1032">
        <v>125</v>
      </c>
      <c r="H1032" s="5">
        <v>4.199044796369923E-3</v>
      </c>
      <c r="I1032">
        <v>3</v>
      </c>
      <c r="J1032" t="b">
        <f>AND(CCData[[#This Row],[Date]]&gt;=Calculation!$E$3,CCData[[#This Row],[Date]]&lt;Calculation!$E$3+7)</f>
        <v>0</v>
      </c>
    </row>
    <row r="1033" spans="1:10">
      <c r="A1033" t="s">
        <v>1032</v>
      </c>
      <c r="B1033" s="2">
        <v>42023.377</v>
      </c>
      <c r="C1033" s="3" t="s">
        <v>5005</v>
      </c>
      <c r="D1033" t="s">
        <v>5015</v>
      </c>
      <c r="E1033" t="s">
        <v>5018</v>
      </c>
      <c r="F1033" t="s">
        <v>5018</v>
      </c>
      <c r="G1033">
        <v>112</v>
      </c>
      <c r="H1033" s="5">
        <v>1.3104128789981672E-3</v>
      </c>
      <c r="I1033">
        <v>3</v>
      </c>
      <c r="J1033" t="b">
        <f>AND(CCData[[#This Row],[Date]]&gt;=Calculation!$E$3,CCData[[#This Row],[Date]]&lt;Calculation!$E$3+7)</f>
        <v>0</v>
      </c>
    </row>
    <row r="1034" spans="1:10">
      <c r="A1034" t="s">
        <v>1033</v>
      </c>
      <c r="B1034" s="2">
        <v>42023.385999999999</v>
      </c>
      <c r="C1034" s="3" t="s">
        <v>5004</v>
      </c>
      <c r="D1034" t="s">
        <v>5013</v>
      </c>
      <c r="E1034" t="s">
        <v>5018</v>
      </c>
      <c r="F1034" t="s">
        <v>5018</v>
      </c>
      <c r="G1034">
        <v>14</v>
      </c>
      <c r="H1034" s="5">
        <v>1.3446815056000602E-3</v>
      </c>
      <c r="I1034">
        <v>3</v>
      </c>
      <c r="J1034" t="b">
        <f>AND(CCData[[#This Row],[Date]]&gt;=Calculation!$E$3,CCData[[#This Row],[Date]]&lt;Calculation!$E$3+7)</f>
        <v>0</v>
      </c>
    </row>
    <row r="1035" spans="1:10">
      <c r="A1035" t="s">
        <v>1034</v>
      </c>
      <c r="B1035" s="2">
        <v>42023.385999999999</v>
      </c>
      <c r="C1035" s="3" t="s">
        <v>5008</v>
      </c>
      <c r="D1035" t="s">
        <v>5012</v>
      </c>
      <c r="E1035" t="s">
        <v>5018</v>
      </c>
      <c r="F1035" t="s">
        <v>5019</v>
      </c>
      <c r="G1035">
        <v>10</v>
      </c>
      <c r="H1035" s="5">
        <v>3.2733274720423053E-3</v>
      </c>
      <c r="I1035">
        <v>4</v>
      </c>
      <c r="J1035" t="b">
        <f>AND(CCData[[#This Row],[Date]]&gt;=Calculation!$E$3,CCData[[#This Row],[Date]]&lt;Calculation!$E$3+7)</f>
        <v>0</v>
      </c>
    </row>
    <row r="1036" spans="1:10">
      <c r="A1036" t="s">
        <v>1035</v>
      </c>
      <c r="B1036" s="2">
        <v>42023.387999999999</v>
      </c>
      <c r="C1036" s="3" t="s">
        <v>5009</v>
      </c>
      <c r="D1036" t="s">
        <v>5012</v>
      </c>
      <c r="E1036" t="s">
        <v>5018</v>
      </c>
      <c r="F1036" t="s">
        <v>5018</v>
      </c>
      <c r="G1036">
        <v>60</v>
      </c>
      <c r="H1036" s="5">
        <v>3.6623618781012822E-4</v>
      </c>
      <c r="I1036">
        <v>3</v>
      </c>
      <c r="J1036" t="b">
        <f>AND(CCData[[#This Row],[Date]]&gt;=Calculation!$E$3,CCData[[#This Row],[Date]]&lt;Calculation!$E$3+7)</f>
        <v>0</v>
      </c>
    </row>
    <row r="1037" spans="1:10">
      <c r="A1037" t="s">
        <v>1036</v>
      </c>
      <c r="B1037" s="2">
        <v>42023.387999999999</v>
      </c>
      <c r="C1037" s="3" t="s">
        <v>5003</v>
      </c>
      <c r="D1037" t="s">
        <v>5016</v>
      </c>
      <c r="E1037" t="s">
        <v>5018</v>
      </c>
      <c r="F1037" t="s">
        <v>5018</v>
      </c>
      <c r="G1037">
        <v>59</v>
      </c>
      <c r="H1037" s="5">
        <v>3.4933574532410214E-3</v>
      </c>
      <c r="I1037">
        <v>5</v>
      </c>
      <c r="J1037" t="b">
        <f>AND(CCData[[#This Row],[Date]]&gt;=Calculation!$E$3,CCData[[#This Row],[Date]]&lt;Calculation!$E$3+7)</f>
        <v>0</v>
      </c>
    </row>
    <row r="1038" spans="1:10">
      <c r="A1038" t="s">
        <v>1037</v>
      </c>
      <c r="B1038" s="2">
        <v>42023.4</v>
      </c>
      <c r="C1038" s="3" t="s">
        <v>5005</v>
      </c>
      <c r="D1038" t="s">
        <v>5013</v>
      </c>
      <c r="E1038" t="s">
        <v>5018</v>
      </c>
      <c r="F1038" t="s">
        <v>5018</v>
      </c>
      <c r="G1038">
        <v>87</v>
      </c>
      <c r="H1038" s="5">
        <v>2.5840176869904117E-3</v>
      </c>
      <c r="I1038">
        <v>5</v>
      </c>
      <c r="J1038" t="b">
        <f>AND(CCData[[#This Row],[Date]]&gt;=Calculation!$E$3,CCData[[#This Row],[Date]]&lt;Calculation!$E$3+7)</f>
        <v>0</v>
      </c>
    </row>
    <row r="1039" spans="1:10">
      <c r="A1039" t="s">
        <v>1038</v>
      </c>
      <c r="B1039" s="2">
        <v>42023.4</v>
      </c>
      <c r="C1039" s="3" t="s">
        <v>5009</v>
      </c>
      <c r="D1039" t="s">
        <v>5012</v>
      </c>
      <c r="E1039" t="s">
        <v>5018</v>
      </c>
      <c r="F1039" t="s">
        <v>5018</v>
      </c>
      <c r="G1039">
        <v>111</v>
      </c>
      <c r="H1039" s="5">
        <v>2.1565070989511279E-3</v>
      </c>
      <c r="I1039">
        <v>5</v>
      </c>
      <c r="J1039" t="b">
        <f>AND(CCData[[#This Row],[Date]]&gt;=Calculation!$E$3,CCData[[#This Row],[Date]]&lt;Calculation!$E$3+7)</f>
        <v>0</v>
      </c>
    </row>
    <row r="1040" spans="1:10">
      <c r="A1040" t="s">
        <v>1039</v>
      </c>
      <c r="B1040" s="2">
        <v>42023.406000000003</v>
      </c>
      <c r="C1040" s="3" t="s">
        <v>5008</v>
      </c>
      <c r="D1040" t="s">
        <v>5012</v>
      </c>
      <c r="E1040" t="s">
        <v>5019</v>
      </c>
      <c r="F1040" t="s">
        <v>5019</v>
      </c>
      <c r="G1040" t="s">
        <v>5022</v>
      </c>
      <c r="H1040" s="5" t="s">
        <v>5022</v>
      </c>
      <c r="I1040" t="s">
        <v>5022</v>
      </c>
      <c r="J1040" t="b">
        <f>AND(CCData[[#This Row],[Date]]&gt;=Calculation!$E$3,CCData[[#This Row],[Date]]&lt;Calculation!$E$3+7)</f>
        <v>0</v>
      </c>
    </row>
    <row r="1041" spans="1:10">
      <c r="A1041" t="s">
        <v>1040</v>
      </c>
      <c r="B1041" s="2">
        <v>42023.406000000003</v>
      </c>
      <c r="C1041" s="3" t="s">
        <v>5004</v>
      </c>
      <c r="D1041" t="s">
        <v>5014</v>
      </c>
      <c r="E1041" t="s">
        <v>5018</v>
      </c>
      <c r="F1041" t="s">
        <v>5018</v>
      </c>
      <c r="G1041">
        <v>10</v>
      </c>
      <c r="H1041" s="5">
        <v>2.2065856979001032E-3</v>
      </c>
      <c r="I1041">
        <v>2</v>
      </c>
      <c r="J1041" t="b">
        <f>AND(CCData[[#This Row],[Date]]&gt;=Calculation!$E$3,CCData[[#This Row],[Date]]&lt;Calculation!$E$3+7)</f>
        <v>0</v>
      </c>
    </row>
    <row r="1042" spans="1:10">
      <c r="A1042" t="s">
        <v>1041</v>
      </c>
      <c r="B1042" s="2">
        <v>42023.425999999999</v>
      </c>
      <c r="C1042" s="3" t="s">
        <v>5008</v>
      </c>
      <c r="D1042" t="s">
        <v>5013</v>
      </c>
      <c r="E1042" t="s">
        <v>5019</v>
      </c>
      <c r="F1042" t="s">
        <v>5019</v>
      </c>
      <c r="G1042" t="s">
        <v>5022</v>
      </c>
      <c r="H1042" s="5" t="s">
        <v>5022</v>
      </c>
      <c r="I1042" t="s">
        <v>5022</v>
      </c>
      <c r="J1042" t="b">
        <f>AND(CCData[[#This Row],[Date]]&gt;=Calculation!$E$3,CCData[[#This Row],[Date]]&lt;Calculation!$E$3+7)</f>
        <v>0</v>
      </c>
    </row>
    <row r="1043" spans="1:10">
      <c r="A1043" t="s">
        <v>1042</v>
      </c>
      <c r="B1043" s="2">
        <v>42023.425999999999</v>
      </c>
      <c r="C1043" s="3" t="s">
        <v>5008</v>
      </c>
      <c r="D1043" t="s">
        <v>5016</v>
      </c>
      <c r="E1043" t="s">
        <v>5019</v>
      </c>
      <c r="F1043" t="s">
        <v>5019</v>
      </c>
      <c r="G1043" t="s">
        <v>5022</v>
      </c>
      <c r="H1043" s="5" t="s">
        <v>5022</v>
      </c>
      <c r="I1043" t="s">
        <v>5022</v>
      </c>
      <c r="J1043" t="b">
        <f>AND(CCData[[#This Row],[Date]]&gt;=Calculation!$E$3,CCData[[#This Row],[Date]]&lt;Calculation!$E$3+7)</f>
        <v>0</v>
      </c>
    </row>
    <row r="1044" spans="1:10">
      <c r="A1044" t="s">
        <v>1043</v>
      </c>
      <c r="B1044" s="2">
        <v>42023.43</v>
      </c>
      <c r="C1044" s="3" t="s">
        <v>5006</v>
      </c>
      <c r="D1044" t="s">
        <v>5014</v>
      </c>
      <c r="E1044" t="s">
        <v>5018</v>
      </c>
      <c r="F1044" t="s">
        <v>5018</v>
      </c>
      <c r="G1044">
        <v>116</v>
      </c>
      <c r="H1044" s="5">
        <v>4.0332520409538924E-3</v>
      </c>
      <c r="I1044">
        <v>5</v>
      </c>
      <c r="J1044" t="b">
        <f>AND(CCData[[#This Row],[Date]]&gt;=Calculation!$E$3,CCData[[#This Row],[Date]]&lt;Calculation!$E$3+7)</f>
        <v>0</v>
      </c>
    </row>
    <row r="1045" spans="1:10">
      <c r="A1045" t="s">
        <v>1044</v>
      </c>
      <c r="B1045" s="2">
        <v>42023.43</v>
      </c>
      <c r="C1045" s="3" t="s">
        <v>5003</v>
      </c>
      <c r="D1045" t="s">
        <v>5015</v>
      </c>
      <c r="E1045" t="s">
        <v>5018</v>
      </c>
      <c r="F1045" t="s">
        <v>5019</v>
      </c>
      <c r="G1045">
        <v>89</v>
      </c>
      <c r="H1045" s="5">
        <v>2.3161490524080423E-3</v>
      </c>
      <c r="I1045">
        <v>3</v>
      </c>
      <c r="J1045" t="b">
        <f>AND(CCData[[#This Row],[Date]]&gt;=Calculation!$E$3,CCData[[#This Row],[Date]]&lt;Calculation!$E$3+7)</f>
        <v>0</v>
      </c>
    </row>
    <row r="1046" spans="1:10">
      <c r="A1046" t="s">
        <v>1045</v>
      </c>
      <c r="B1046" s="2">
        <v>42023.44</v>
      </c>
      <c r="C1046" s="3" t="s">
        <v>5004</v>
      </c>
      <c r="D1046" t="s">
        <v>5012</v>
      </c>
      <c r="E1046" t="s">
        <v>5019</v>
      </c>
      <c r="F1046" t="s">
        <v>5019</v>
      </c>
      <c r="G1046" t="s">
        <v>5022</v>
      </c>
      <c r="H1046" s="5" t="s">
        <v>5022</v>
      </c>
      <c r="I1046" t="s">
        <v>5022</v>
      </c>
      <c r="J1046" t="b">
        <f>AND(CCData[[#This Row],[Date]]&gt;=Calculation!$E$3,CCData[[#This Row],[Date]]&lt;Calculation!$E$3+7)</f>
        <v>0</v>
      </c>
    </row>
    <row r="1047" spans="1:10">
      <c r="A1047" t="s">
        <v>1046</v>
      </c>
      <c r="B1047" s="2">
        <v>42023.44</v>
      </c>
      <c r="C1047" s="3" t="s">
        <v>5008</v>
      </c>
      <c r="D1047" t="s">
        <v>5012</v>
      </c>
      <c r="E1047" t="s">
        <v>5018</v>
      </c>
      <c r="F1047" t="s">
        <v>5019</v>
      </c>
      <c r="G1047">
        <v>106</v>
      </c>
      <c r="H1047" s="5">
        <v>2.6909355118824238E-3</v>
      </c>
      <c r="I1047">
        <v>4</v>
      </c>
      <c r="J1047" t="b">
        <f>AND(CCData[[#This Row],[Date]]&gt;=Calculation!$E$3,CCData[[#This Row],[Date]]&lt;Calculation!$E$3+7)</f>
        <v>0</v>
      </c>
    </row>
    <row r="1048" spans="1:10">
      <c r="A1048" t="s">
        <v>1047</v>
      </c>
      <c r="B1048" s="2">
        <v>42023.453000000001</v>
      </c>
      <c r="C1048" s="3" t="s">
        <v>5005</v>
      </c>
      <c r="D1048" t="s">
        <v>5016</v>
      </c>
      <c r="E1048" t="s">
        <v>5019</v>
      </c>
      <c r="F1048" t="s">
        <v>5019</v>
      </c>
      <c r="G1048" t="s">
        <v>5022</v>
      </c>
      <c r="H1048" s="5" t="s">
        <v>5022</v>
      </c>
      <c r="I1048" t="s">
        <v>5022</v>
      </c>
      <c r="J1048" t="b">
        <f>AND(CCData[[#This Row],[Date]]&gt;=Calculation!$E$3,CCData[[#This Row],[Date]]&lt;Calculation!$E$3+7)</f>
        <v>0</v>
      </c>
    </row>
    <row r="1049" spans="1:10">
      <c r="A1049" t="s">
        <v>1048</v>
      </c>
      <c r="B1049" s="2">
        <v>42023.453000000001</v>
      </c>
      <c r="C1049" s="3" t="s">
        <v>5009</v>
      </c>
      <c r="D1049" t="s">
        <v>5016</v>
      </c>
      <c r="E1049" t="s">
        <v>5018</v>
      </c>
      <c r="F1049" t="s">
        <v>5018</v>
      </c>
      <c r="G1049">
        <v>81</v>
      </c>
      <c r="H1049" s="5">
        <v>1.0029014394540925E-3</v>
      </c>
      <c r="I1049">
        <v>4</v>
      </c>
      <c r="J1049" t="b">
        <f>AND(CCData[[#This Row],[Date]]&gt;=Calculation!$E$3,CCData[[#This Row],[Date]]&lt;Calculation!$E$3+7)</f>
        <v>0</v>
      </c>
    </row>
    <row r="1050" spans="1:10">
      <c r="A1050" t="s">
        <v>1049</v>
      </c>
      <c r="B1050" s="2">
        <v>42023.476000000002</v>
      </c>
      <c r="C1050" s="3" t="s">
        <v>5010</v>
      </c>
      <c r="D1050" t="s">
        <v>5012</v>
      </c>
      <c r="E1050" t="s">
        <v>5019</v>
      </c>
      <c r="F1050" t="s">
        <v>5019</v>
      </c>
      <c r="G1050" t="s">
        <v>5022</v>
      </c>
      <c r="H1050" s="5" t="s">
        <v>5022</v>
      </c>
      <c r="I1050" t="s">
        <v>5022</v>
      </c>
      <c r="J1050" t="b">
        <f>AND(CCData[[#This Row],[Date]]&gt;=Calculation!$E$3,CCData[[#This Row],[Date]]&lt;Calculation!$E$3+7)</f>
        <v>0</v>
      </c>
    </row>
    <row r="1051" spans="1:10">
      <c r="A1051" t="s">
        <v>1050</v>
      </c>
      <c r="B1051" s="2">
        <v>42023.476000000002</v>
      </c>
      <c r="C1051" s="3" t="s">
        <v>5007</v>
      </c>
      <c r="D1051" t="s">
        <v>5015</v>
      </c>
      <c r="E1051" t="s">
        <v>5018</v>
      </c>
      <c r="F1051" t="s">
        <v>5018</v>
      </c>
      <c r="G1051">
        <v>96</v>
      </c>
      <c r="H1051" s="5">
        <v>3.9278947456412531E-3</v>
      </c>
      <c r="I1051">
        <v>5</v>
      </c>
      <c r="J1051" t="b">
        <f>AND(CCData[[#This Row],[Date]]&gt;=Calculation!$E$3,CCData[[#This Row],[Date]]&lt;Calculation!$E$3+7)</f>
        <v>0</v>
      </c>
    </row>
    <row r="1052" spans="1:10">
      <c r="A1052" t="s">
        <v>1051</v>
      </c>
      <c r="B1052" s="2">
        <v>42023.489000000001</v>
      </c>
      <c r="C1052" s="3" t="s">
        <v>5007</v>
      </c>
      <c r="D1052" t="s">
        <v>5014</v>
      </c>
      <c r="E1052" t="s">
        <v>5018</v>
      </c>
      <c r="F1052" t="s">
        <v>5018</v>
      </c>
      <c r="G1052">
        <v>64</v>
      </c>
      <c r="H1052" s="5">
        <v>4.2410399818103043E-3</v>
      </c>
      <c r="I1052">
        <v>5</v>
      </c>
      <c r="J1052" t="b">
        <f>AND(CCData[[#This Row],[Date]]&gt;=Calculation!$E$3,CCData[[#This Row],[Date]]&lt;Calculation!$E$3+7)</f>
        <v>0</v>
      </c>
    </row>
    <row r="1053" spans="1:10">
      <c r="A1053" t="s">
        <v>1052</v>
      </c>
      <c r="B1053" s="2">
        <v>42023.489000000001</v>
      </c>
      <c r="C1053" s="3" t="s">
        <v>5007</v>
      </c>
      <c r="D1053" t="s">
        <v>5012</v>
      </c>
      <c r="E1053" t="s">
        <v>5018</v>
      </c>
      <c r="F1053" t="s">
        <v>5019</v>
      </c>
      <c r="G1053">
        <v>79</v>
      </c>
      <c r="H1053" s="5">
        <v>4.7285451194717587E-3</v>
      </c>
      <c r="I1053">
        <v>1</v>
      </c>
      <c r="J1053" t="b">
        <f>AND(CCData[[#This Row],[Date]]&gt;=Calculation!$E$3,CCData[[#This Row],[Date]]&lt;Calculation!$E$3+7)</f>
        <v>0</v>
      </c>
    </row>
    <row r="1054" spans="1:10">
      <c r="A1054" t="s">
        <v>1053</v>
      </c>
      <c r="B1054" s="2">
        <v>42023.497000000003</v>
      </c>
      <c r="C1054" s="3" t="s">
        <v>5007</v>
      </c>
      <c r="D1054" t="s">
        <v>5014</v>
      </c>
      <c r="E1054" t="s">
        <v>5018</v>
      </c>
      <c r="F1054" t="s">
        <v>5018</v>
      </c>
      <c r="G1054">
        <v>98</v>
      </c>
      <c r="H1054" s="5">
        <v>1.6569651798027008E-3</v>
      </c>
      <c r="I1054">
        <v>1</v>
      </c>
      <c r="J1054" t="b">
        <f>AND(CCData[[#This Row],[Date]]&gt;=Calculation!$E$3,CCData[[#This Row],[Date]]&lt;Calculation!$E$3+7)</f>
        <v>0</v>
      </c>
    </row>
    <row r="1055" spans="1:10">
      <c r="A1055" t="s">
        <v>1054</v>
      </c>
      <c r="B1055" s="2">
        <v>42023.497000000003</v>
      </c>
      <c r="C1055" s="3" t="s">
        <v>5008</v>
      </c>
      <c r="D1055" t="s">
        <v>5015</v>
      </c>
      <c r="E1055" t="s">
        <v>5018</v>
      </c>
      <c r="F1055" t="s">
        <v>5018</v>
      </c>
      <c r="G1055">
        <v>91</v>
      </c>
      <c r="H1055" s="5">
        <v>2.7769537734004543E-3</v>
      </c>
      <c r="I1055">
        <v>5</v>
      </c>
      <c r="J1055" t="b">
        <f>AND(CCData[[#This Row],[Date]]&gt;=Calculation!$E$3,CCData[[#This Row],[Date]]&lt;Calculation!$E$3+7)</f>
        <v>0</v>
      </c>
    </row>
    <row r="1056" spans="1:10">
      <c r="A1056" t="s">
        <v>1055</v>
      </c>
      <c r="B1056" s="2">
        <v>42023.519999999997</v>
      </c>
      <c r="C1056" s="3" t="s">
        <v>5009</v>
      </c>
      <c r="D1056" t="s">
        <v>5016</v>
      </c>
      <c r="E1056" t="s">
        <v>5019</v>
      </c>
      <c r="F1056" t="s">
        <v>5019</v>
      </c>
      <c r="G1056" t="s">
        <v>5022</v>
      </c>
      <c r="H1056" s="5" t="s">
        <v>5022</v>
      </c>
      <c r="I1056" t="s">
        <v>5022</v>
      </c>
      <c r="J1056" t="b">
        <f>AND(CCData[[#This Row],[Date]]&gt;=Calculation!$E$3,CCData[[#This Row],[Date]]&lt;Calculation!$E$3+7)</f>
        <v>0</v>
      </c>
    </row>
    <row r="1057" spans="1:10">
      <c r="A1057" t="s">
        <v>1056</v>
      </c>
      <c r="B1057" s="2">
        <v>42023.519999999997</v>
      </c>
      <c r="C1057" s="3" t="s">
        <v>5005</v>
      </c>
      <c r="D1057" t="s">
        <v>5012</v>
      </c>
      <c r="E1057" t="s">
        <v>5018</v>
      </c>
      <c r="F1057" t="s">
        <v>5018</v>
      </c>
      <c r="G1057">
        <v>84</v>
      </c>
      <c r="H1057" s="5">
        <v>4.6734978508868562E-3</v>
      </c>
      <c r="I1057">
        <v>2</v>
      </c>
      <c r="J1057" t="b">
        <f>AND(CCData[[#This Row],[Date]]&gt;=Calculation!$E$3,CCData[[#This Row],[Date]]&lt;Calculation!$E$3+7)</f>
        <v>0</v>
      </c>
    </row>
    <row r="1058" spans="1:10">
      <c r="A1058" t="s">
        <v>1057</v>
      </c>
      <c r="B1058" s="2">
        <v>42023.527999999998</v>
      </c>
      <c r="C1058" s="3" t="s">
        <v>5008</v>
      </c>
      <c r="D1058" t="s">
        <v>5013</v>
      </c>
      <c r="E1058" t="s">
        <v>5018</v>
      </c>
      <c r="F1058" t="s">
        <v>5018</v>
      </c>
      <c r="G1058">
        <v>47</v>
      </c>
      <c r="H1058" s="5">
        <v>4.1386871934469913E-3</v>
      </c>
      <c r="I1058">
        <v>5</v>
      </c>
      <c r="J1058" t="b">
        <f>AND(CCData[[#This Row],[Date]]&gt;=Calculation!$E$3,CCData[[#This Row],[Date]]&lt;Calculation!$E$3+7)</f>
        <v>0</v>
      </c>
    </row>
    <row r="1059" spans="1:10">
      <c r="A1059" t="s">
        <v>1058</v>
      </c>
      <c r="B1059" s="2">
        <v>42023.527999999998</v>
      </c>
      <c r="C1059" s="3" t="s">
        <v>5009</v>
      </c>
      <c r="D1059" t="s">
        <v>5014</v>
      </c>
      <c r="E1059" t="s">
        <v>5018</v>
      </c>
      <c r="F1059" t="s">
        <v>5018</v>
      </c>
      <c r="G1059">
        <v>42</v>
      </c>
      <c r="H1059" s="5">
        <v>1.4624200680172384E-3</v>
      </c>
      <c r="I1059">
        <v>5</v>
      </c>
      <c r="J1059" t="b">
        <f>AND(CCData[[#This Row],[Date]]&gt;=Calculation!$E$3,CCData[[#This Row],[Date]]&lt;Calculation!$E$3+7)</f>
        <v>0</v>
      </c>
    </row>
    <row r="1060" spans="1:10">
      <c r="A1060" t="s">
        <v>1059</v>
      </c>
      <c r="B1060" s="2">
        <v>42023.540999999997</v>
      </c>
      <c r="C1060" s="3" t="s">
        <v>5010</v>
      </c>
      <c r="D1060" t="s">
        <v>5016</v>
      </c>
      <c r="E1060" t="s">
        <v>5018</v>
      </c>
      <c r="F1060" t="s">
        <v>5019</v>
      </c>
      <c r="G1060">
        <v>45</v>
      </c>
      <c r="H1060" s="5">
        <v>2.5947583111442757E-3</v>
      </c>
      <c r="I1060">
        <v>4</v>
      </c>
      <c r="J1060" t="b">
        <f>AND(CCData[[#This Row],[Date]]&gt;=Calculation!$E$3,CCData[[#This Row],[Date]]&lt;Calculation!$E$3+7)</f>
        <v>0</v>
      </c>
    </row>
    <row r="1061" spans="1:10">
      <c r="A1061" t="s">
        <v>1060</v>
      </c>
      <c r="B1061" s="2">
        <v>42023.540999999997</v>
      </c>
      <c r="C1061" s="3" t="s">
        <v>5010</v>
      </c>
      <c r="D1061" t="s">
        <v>5013</v>
      </c>
      <c r="E1061" t="s">
        <v>5019</v>
      </c>
      <c r="F1061" t="s">
        <v>5019</v>
      </c>
      <c r="G1061" t="s">
        <v>5022</v>
      </c>
      <c r="H1061" s="5" t="s">
        <v>5022</v>
      </c>
      <c r="I1061" t="s">
        <v>5022</v>
      </c>
      <c r="J1061" t="b">
        <f>AND(CCData[[#This Row],[Date]]&gt;=Calculation!$E$3,CCData[[#This Row],[Date]]&lt;Calculation!$E$3+7)</f>
        <v>0</v>
      </c>
    </row>
    <row r="1062" spans="1:10">
      <c r="A1062" t="s">
        <v>1061</v>
      </c>
      <c r="B1062" s="2">
        <v>42023.552000000003</v>
      </c>
      <c r="C1062" s="3" t="s">
        <v>5007</v>
      </c>
      <c r="D1062" t="s">
        <v>5014</v>
      </c>
      <c r="E1062" t="s">
        <v>5018</v>
      </c>
      <c r="F1062" t="s">
        <v>5018</v>
      </c>
      <c r="G1062">
        <v>19</v>
      </c>
      <c r="H1062" s="5">
        <v>1.1075916249895642E-3</v>
      </c>
      <c r="I1062">
        <v>5</v>
      </c>
      <c r="J1062" t="b">
        <f>AND(CCData[[#This Row],[Date]]&gt;=Calculation!$E$3,CCData[[#This Row],[Date]]&lt;Calculation!$E$3+7)</f>
        <v>0</v>
      </c>
    </row>
    <row r="1063" spans="1:10">
      <c r="A1063" t="s">
        <v>1062</v>
      </c>
      <c r="B1063" s="2">
        <v>42023.552000000003</v>
      </c>
      <c r="C1063" s="3" t="s">
        <v>5006</v>
      </c>
      <c r="D1063" t="s">
        <v>5012</v>
      </c>
      <c r="E1063" t="s">
        <v>5018</v>
      </c>
      <c r="F1063" t="s">
        <v>5018</v>
      </c>
      <c r="G1063">
        <v>114</v>
      </c>
      <c r="H1063" s="5">
        <v>9.7879291578137546E-4</v>
      </c>
      <c r="I1063">
        <v>3</v>
      </c>
      <c r="J1063" t="b">
        <f>AND(CCData[[#This Row],[Date]]&gt;=Calculation!$E$3,CCData[[#This Row],[Date]]&lt;Calculation!$E$3+7)</f>
        <v>0</v>
      </c>
    </row>
    <row r="1064" spans="1:10">
      <c r="A1064" t="s">
        <v>1063</v>
      </c>
      <c r="B1064" s="2">
        <v>42023.557000000001</v>
      </c>
      <c r="C1064" s="3" t="s">
        <v>5007</v>
      </c>
      <c r="D1064" t="s">
        <v>5015</v>
      </c>
      <c r="E1064" t="s">
        <v>5018</v>
      </c>
      <c r="F1064" t="s">
        <v>5018</v>
      </c>
      <c r="G1064">
        <v>94</v>
      </c>
      <c r="H1064" s="5">
        <v>6.6135889477803998E-4</v>
      </c>
      <c r="I1064">
        <v>5</v>
      </c>
      <c r="J1064" t="b">
        <f>AND(CCData[[#This Row],[Date]]&gt;=Calculation!$E$3,CCData[[#This Row],[Date]]&lt;Calculation!$E$3+7)</f>
        <v>0</v>
      </c>
    </row>
    <row r="1065" spans="1:10">
      <c r="A1065" t="s">
        <v>1064</v>
      </c>
      <c r="B1065" s="2">
        <v>42023.557000000001</v>
      </c>
      <c r="C1065" s="3" t="s">
        <v>5010</v>
      </c>
      <c r="D1065" t="s">
        <v>5014</v>
      </c>
      <c r="E1065" t="s">
        <v>5019</v>
      </c>
      <c r="F1065" t="s">
        <v>5019</v>
      </c>
      <c r="G1065" t="s">
        <v>5022</v>
      </c>
      <c r="H1065" s="5" t="s">
        <v>5022</v>
      </c>
      <c r="I1065" t="s">
        <v>5022</v>
      </c>
      <c r="J1065" t="b">
        <f>AND(CCData[[#This Row],[Date]]&gt;=Calculation!$E$3,CCData[[#This Row],[Date]]&lt;Calculation!$E$3+7)</f>
        <v>0</v>
      </c>
    </row>
    <row r="1066" spans="1:10">
      <c r="A1066" t="s">
        <v>1065</v>
      </c>
      <c r="B1066" s="2">
        <v>42023.56</v>
      </c>
      <c r="C1066" s="3" t="s">
        <v>5003</v>
      </c>
      <c r="D1066" t="s">
        <v>5016</v>
      </c>
      <c r="E1066" t="s">
        <v>5018</v>
      </c>
      <c r="F1066" t="s">
        <v>5018</v>
      </c>
      <c r="G1066">
        <v>99</v>
      </c>
      <c r="H1066" s="5">
        <v>1.5753430927179994E-3</v>
      </c>
      <c r="I1066">
        <v>5</v>
      </c>
      <c r="J1066" t="b">
        <f>AND(CCData[[#This Row],[Date]]&gt;=Calculation!$E$3,CCData[[#This Row],[Date]]&lt;Calculation!$E$3+7)</f>
        <v>0</v>
      </c>
    </row>
    <row r="1067" spans="1:10">
      <c r="A1067" t="s">
        <v>1066</v>
      </c>
      <c r="B1067" s="2">
        <v>42023.56</v>
      </c>
      <c r="C1067" s="3" t="s">
        <v>5003</v>
      </c>
      <c r="D1067" t="s">
        <v>5016</v>
      </c>
      <c r="E1067" t="s">
        <v>5018</v>
      </c>
      <c r="F1067" t="s">
        <v>5018</v>
      </c>
      <c r="G1067">
        <v>23</v>
      </c>
      <c r="H1067" s="5">
        <v>3.1529212267605192E-3</v>
      </c>
      <c r="I1067">
        <v>4</v>
      </c>
      <c r="J1067" t="b">
        <f>AND(CCData[[#This Row],[Date]]&gt;=Calculation!$E$3,CCData[[#This Row],[Date]]&lt;Calculation!$E$3+7)</f>
        <v>0</v>
      </c>
    </row>
    <row r="1068" spans="1:10">
      <c r="A1068" t="s">
        <v>1067</v>
      </c>
      <c r="B1068" s="2">
        <v>42023.567000000003</v>
      </c>
      <c r="C1068" s="3" t="s">
        <v>5006</v>
      </c>
      <c r="D1068" t="s">
        <v>5013</v>
      </c>
      <c r="E1068" t="s">
        <v>5019</v>
      </c>
      <c r="F1068" t="s">
        <v>5019</v>
      </c>
      <c r="G1068" t="s">
        <v>5022</v>
      </c>
      <c r="H1068" s="5" t="s">
        <v>5022</v>
      </c>
      <c r="I1068" t="s">
        <v>5022</v>
      </c>
      <c r="J1068" t="b">
        <f>AND(CCData[[#This Row],[Date]]&gt;=Calculation!$E$3,CCData[[#This Row],[Date]]&lt;Calculation!$E$3+7)</f>
        <v>0</v>
      </c>
    </row>
    <row r="1069" spans="1:10">
      <c r="A1069" t="s">
        <v>1068</v>
      </c>
      <c r="B1069" s="2">
        <v>42023.567000000003</v>
      </c>
      <c r="C1069" s="3" t="s">
        <v>5010</v>
      </c>
      <c r="D1069" t="s">
        <v>5015</v>
      </c>
      <c r="E1069" t="s">
        <v>5018</v>
      </c>
      <c r="F1069" t="s">
        <v>5018</v>
      </c>
      <c r="G1069">
        <v>80</v>
      </c>
      <c r="H1069" s="5">
        <v>3.3793561635049227E-3</v>
      </c>
      <c r="I1069">
        <v>5</v>
      </c>
      <c r="J1069" t="b">
        <f>AND(CCData[[#This Row],[Date]]&gt;=Calculation!$E$3,CCData[[#This Row],[Date]]&lt;Calculation!$E$3+7)</f>
        <v>0</v>
      </c>
    </row>
    <row r="1070" spans="1:10">
      <c r="A1070" t="s">
        <v>1069</v>
      </c>
      <c r="B1070" s="2">
        <v>42023.567999999999</v>
      </c>
      <c r="C1070" s="3" t="s">
        <v>5005</v>
      </c>
      <c r="D1070" t="s">
        <v>5014</v>
      </c>
      <c r="E1070" t="s">
        <v>5018</v>
      </c>
      <c r="F1070" t="s">
        <v>5018</v>
      </c>
      <c r="G1070">
        <v>18</v>
      </c>
      <c r="H1070" s="5">
        <v>3.6916560525329838E-3</v>
      </c>
      <c r="I1070">
        <v>3</v>
      </c>
      <c r="J1070" t="b">
        <f>AND(CCData[[#This Row],[Date]]&gt;=Calculation!$E$3,CCData[[#This Row],[Date]]&lt;Calculation!$E$3+7)</f>
        <v>0</v>
      </c>
    </row>
    <row r="1071" spans="1:10">
      <c r="A1071" t="s">
        <v>1070</v>
      </c>
      <c r="B1071" s="2">
        <v>42023.567999999999</v>
      </c>
      <c r="C1071" s="3" t="s">
        <v>5003</v>
      </c>
      <c r="D1071" t="s">
        <v>5012</v>
      </c>
      <c r="E1071" t="s">
        <v>5019</v>
      </c>
      <c r="F1071" t="s">
        <v>5019</v>
      </c>
      <c r="G1071" t="s">
        <v>5022</v>
      </c>
      <c r="H1071" s="5" t="s">
        <v>5022</v>
      </c>
      <c r="I1071" t="s">
        <v>5022</v>
      </c>
      <c r="J1071" t="b">
        <f>AND(CCData[[#This Row],[Date]]&gt;=Calculation!$E$3,CCData[[#This Row],[Date]]&lt;Calculation!$E$3+7)</f>
        <v>0</v>
      </c>
    </row>
    <row r="1072" spans="1:10">
      <c r="A1072" t="s">
        <v>1071</v>
      </c>
      <c r="B1072" s="2">
        <v>42023.572999999997</v>
      </c>
      <c r="C1072" s="3" t="s">
        <v>5009</v>
      </c>
      <c r="D1072" t="s">
        <v>5014</v>
      </c>
      <c r="E1072" t="s">
        <v>5018</v>
      </c>
      <c r="F1072" t="s">
        <v>5018</v>
      </c>
      <c r="G1072">
        <v>104</v>
      </c>
      <c r="H1072" s="5">
        <v>2.4676183295761489E-3</v>
      </c>
      <c r="I1072">
        <v>4</v>
      </c>
      <c r="J1072" t="b">
        <f>AND(CCData[[#This Row],[Date]]&gt;=Calculation!$E$3,CCData[[#This Row],[Date]]&lt;Calculation!$E$3+7)</f>
        <v>0</v>
      </c>
    </row>
    <row r="1073" spans="1:10">
      <c r="A1073" t="s">
        <v>1072</v>
      </c>
      <c r="B1073" s="2">
        <v>42023.572999999997</v>
      </c>
      <c r="C1073" s="3" t="s">
        <v>5009</v>
      </c>
      <c r="D1073" t="s">
        <v>5014</v>
      </c>
      <c r="E1073" t="s">
        <v>5018</v>
      </c>
      <c r="F1073" t="s">
        <v>5018</v>
      </c>
      <c r="G1073">
        <v>116</v>
      </c>
      <c r="H1073" s="5">
        <v>3.9873079579228459E-3</v>
      </c>
      <c r="I1073">
        <v>3</v>
      </c>
      <c r="J1073" t="b">
        <f>AND(CCData[[#This Row],[Date]]&gt;=Calculation!$E$3,CCData[[#This Row],[Date]]&lt;Calculation!$E$3+7)</f>
        <v>0</v>
      </c>
    </row>
    <row r="1074" spans="1:10">
      <c r="A1074" t="s">
        <v>1073</v>
      </c>
      <c r="B1074" s="2">
        <v>42023.599000000002</v>
      </c>
      <c r="C1074" s="3" t="s">
        <v>5005</v>
      </c>
      <c r="D1074" t="s">
        <v>5016</v>
      </c>
      <c r="E1074" t="s">
        <v>5018</v>
      </c>
      <c r="F1074" t="s">
        <v>5018</v>
      </c>
      <c r="G1074">
        <v>44</v>
      </c>
      <c r="H1074" s="5">
        <v>4.2757236722920419E-3</v>
      </c>
      <c r="I1074">
        <v>5</v>
      </c>
      <c r="J1074" t="b">
        <f>AND(CCData[[#This Row],[Date]]&gt;=Calculation!$E$3,CCData[[#This Row],[Date]]&lt;Calculation!$E$3+7)</f>
        <v>0</v>
      </c>
    </row>
    <row r="1075" spans="1:10">
      <c r="A1075" t="s">
        <v>1074</v>
      </c>
      <c r="B1075" s="2">
        <v>42023.599000000002</v>
      </c>
      <c r="C1075" s="3" t="s">
        <v>5008</v>
      </c>
      <c r="D1075" t="s">
        <v>5014</v>
      </c>
      <c r="E1075" t="s">
        <v>5018</v>
      </c>
      <c r="F1075" t="s">
        <v>5018</v>
      </c>
      <c r="G1075">
        <v>91</v>
      </c>
      <c r="H1075" s="5">
        <v>4.6602682665229586E-3</v>
      </c>
      <c r="I1075">
        <v>4</v>
      </c>
      <c r="J1075" t="b">
        <f>AND(CCData[[#This Row],[Date]]&gt;=Calculation!$E$3,CCData[[#This Row],[Date]]&lt;Calculation!$E$3+7)</f>
        <v>0</v>
      </c>
    </row>
    <row r="1076" spans="1:10">
      <c r="A1076" t="s">
        <v>1075</v>
      </c>
      <c r="B1076" s="2">
        <v>42023.625</v>
      </c>
      <c r="C1076" s="3" t="s">
        <v>5006</v>
      </c>
      <c r="D1076" t="s">
        <v>5012</v>
      </c>
      <c r="E1076" t="s">
        <v>5019</v>
      </c>
      <c r="F1076" t="s">
        <v>5019</v>
      </c>
      <c r="G1076" t="s">
        <v>5022</v>
      </c>
      <c r="H1076" s="5" t="s">
        <v>5022</v>
      </c>
      <c r="I1076" t="s">
        <v>5022</v>
      </c>
      <c r="J1076" t="b">
        <f>AND(CCData[[#This Row],[Date]]&gt;=Calculation!$E$3,CCData[[#This Row],[Date]]&lt;Calculation!$E$3+7)</f>
        <v>0</v>
      </c>
    </row>
    <row r="1077" spans="1:10">
      <c r="A1077" t="s">
        <v>1076</v>
      </c>
      <c r="B1077" s="2">
        <v>42023.625</v>
      </c>
      <c r="C1077" s="3" t="s">
        <v>5009</v>
      </c>
      <c r="D1077" t="s">
        <v>5013</v>
      </c>
      <c r="E1077" t="s">
        <v>5018</v>
      </c>
      <c r="F1077" t="s">
        <v>5018</v>
      </c>
      <c r="G1077">
        <v>122</v>
      </c>
      <c r="H1077" s="5">
        <v>2.952396971539682E-3</v>
      </c>
      <c r="I1077">
        <v>3</v>
      </c>
      <c r="J1077" t="b">
        <f>AND(CCData[[#This Row],[Date]]&gt;=Calculation!$E$3,CCData[[#This Row],[Date]]&lt;Calculation!$E$3+7)</f>
        <v>0</v>
      </c>
    </row>
    <row r="1078" spans="1:10">
      <c r="A1078" t="s">
        <v>1077</v>
      </c>
      <c r="B1078" s="2">
        <v>42023.646000000001</v>
      </c>
      <c r="C1078" s="3" t="s">
        <v>5004</v>
      </c>
      <c r="D1078" t="s">
        <v>5016</v>
      </c>
      <c r="E1078" t="s">
        <v>5018</v>
      </c>
      <c r="F1078" t="s">
        <v>5018</v>
      </c>
      <c r="G1078">
        <v>103</v>
      </c>
      <c r="H1078" s="5">
        <v>1.9590276079960479E-3</v>
      </c>
      <c r="I1078">
        <v>3</v>
      </c>
      <c r="J1078" t="b">
        <f>AND(CCData[[#This Row],[Date]]&gt;=Calculation!$E$3,CCData[[#This Row],[Date]]&lt;Calculation!$E$3+7)</f>
        <v>0</v>
      </c>
    </row>
    <row r="1079" spans="1:10">
      <c r="A1079" t="s">
        <v>1078</v>
      </c>
      <c r="B1079" s="2">
        <v>42023.646000000001</v>
      </c>
      <c r="C1079" s="3" t="s">
        <v>5004</v>
      </c>
      <c r="D1079" t="s">
        <v>5013</v>
      </c>
      <c r="E1079" t="s">
        <v>5018</v>
      </c>
      <c r="F1079" t="s">
        <v>5018</v>
      </c>
      <c r="G1079">
        <v>18</v>
      </c>
      <c r="H1079" s="5">
        <v>1.400053102890891E-3</v>
      </c>
      <c r="I1079">
        <v>5</v>
      </c>
      <c r="J1079" t="b">
        <f>AND(CCData[[#This Row],[Date]]&gt;=Calculation!$E$3,CCData[[#This Row],[Date]]&lt;Calculation!$E$3+7)</f>
        <v>0</v>
      </c>
    </row>
    <row r="1080" spans="1:10">
      <c r="A1080" t="s">
        <v>1079</v>
      </c>
      <c r="B1080" s="2">
        <v>42023.648999999998</v>
      </c>
      <c r="C1080" s="3" t="s">
        <v>5007</v>
      </c>
      <c r="D1080" t="s">
        <v>5012</v>
      </c>
      <c r="E1080" t="s">
        <v>5018</v>
      </c>
      <c r="F1080" t="s">
        <v>5018</v>
      </c>
      <c r="G1080">
        <v>20</v>
      </c>
      <c r="H1080" s="5">
        <v>1.6992162384382695E-3</v>
      </c>
      <c r="I1080">
        <v>4</v>
      </c>
      <c r="J1080" t="b">
        <f>AND(CCData[[#This Row],[Date]]&gt;=Calculation!$E$3,CCData[[#This Row],[Date]]&lt;Calculation!$E$3+7)</f>
        <v>0</v>
      </c>
    </row>
    <row r="1081" spans="1:10">
      <c r="A1081" t="s">
        <v>1080</v>
      </c>
      <c r="B1081" s="2">
        <v>42023.648999999998</v>
      </c>
      <c r="C1081" s="3" t="s">
        <v>5006</v>
      </c>
      <c r="D1081" t="s">
        <v>5014</v>
      </c>
      <c r="E1081" t="s">
        <v>5018</v>
      </c>
      <c r="F1081" t="s">
        <v>5018</v>
      </c>
      <c r="G1081">
        <v>93</v>
      </c>
      <c r="H1081" s="5">
        <v>1.1704512537828091E-3</v>
      </c>
      <c r="I1081">
        <v>2</v>
      </c>
      <c r="J1081" t="b">
        <f>AND(CCData[[#This Row],[Date]]&gt;=Calculation!$E$3,CCData[[#This Row],[Date]]&lt;Calculation!$E$3+7)</f>
        <v>0</v>
      </c>
    </row>
    <row r="1082" spans="1:10">
      <c r="A1082" t="s">
        <v>1081</v>
      </c>
      <c r="B1082" s="2">
        <v>42023.663</v>
      </c>
      <c r="C1082" s="3" t="s">
        <v>5004</v>
      </c>
      <c r="D1082" t="s">
        <v>5015</v>
      </c>
      <c r="E1082" t="s">
        <v>5019</v>
      </c>
      <c r="F1082" t="s">
        <v>5019</v>
      </c>
      <c r="G1082" t="s">
        <v>5022</v>
      </c>
      <c r="H1082" s="5" t="s">
        <v>5022</v>
      </c>
      <c r="I1082" t="s">
        <v>5022</v>
      </c>
      <c r="J1082" t="b">
        <f>AND(CCData[[#This Row],[Date]]&gt;=Calculation!$E$3,CCData[[#This Row],[Date]]&lt;Calculation!$E$3+7)</f>
        <v>0</v>
      </c>
    </row>
    <row r="1083" spans="1:10">
      <c r="A1083" t="s">
        <v>1082</v>
      </c>
      <c r="B1083" s="2">
        <v>42023.663</v>
      </c>
      <c r="C1083" s="3" t="s">
        <v>5008</v>
      </c>
      <c r="D1083" t="s">
        <v>5013</v>
      </c>
      <c r="E1083" t="s">
        <v>5018</v>
      </c>
      <c r="F1083" t="s">
        <v>5018</v>
      </c>
      <c r="G1083">
        <v>63</v>
      </c>
      <c r="H1083" s="5">
        <v>3.0068472464175487E-3</v>
      </c>
      <c r="I1083">
        <v>4</v>
      </c>
      <c r="J1083" t="b">
        <f>AND(CCData[[#This Row],[Date]]&gt;=Calculation!$E$3,CCData[[#This Row],[Date]]&lt;Calculation!$E$3+7)</f>
        <v>0</v>
      </c>
    </row>
    <row r="1084" spans="1:10">
      <c r="A1084" t="s">
        <v>1083</v>
      </c>
      <c r="B1084" s="2">
        <v>42023.673000000003</v>
      </c>
      <c r="C1084" s="3" t="s">
        <v>5006</v>
      </c>
      <c r="D1084" t="s">
        <v>5012</v>
      </c>
      <c r="E1084" t="s">
        <v>5018</v>
      </c>
      <c r="F1084" t="s">
        <v>5018</v>
      </c>
      <c r="G1084">
        <v>90</v>
      </c>
      <c r="H1084" s="5">
        <v>4.5345370852130614E-3</v>
      </c>
      <c r="I1084">
        <v>4</v>
      </c>
      <c r="J1084" t="b">
        <f>AND(CCData[[#This Row],[Date]]&gt;=Calculation!$E$3,CCData[[#This Row],[Date]]&lt;Calculation!$E$3+7)</f>
        <v>0</v>
      </c>
    </row>
    <row r="1085" spans="1:10">
      <c r="A1085" t="s">
        <v>1084</v>
      </c>
      <c r="B1085" s="2">
        <v>42023.673000000003</v>
      </c>
      <c r="C1085" s="3" t="s">
        <v>5010</v>
      </c>
      <c r="D1085" t="s">
        <v>5012</v>
      </c>
      <c r="E1085" t="s">
        <v>5018</v>
      </c>
      <c r="F1085" t="s">
        <v>5018</v>
      </c>
      <c r="G1085">
        <v>43</v>
      </c>
      <c r="H1085" s="5">
        <v>2.7761697433188815E-3</v>
      </c>
      <c r="I1085">
        <v>4</v>
      </c>
      <c r="J1085" t="b">
        <f>AND(CCData[[#This Row],[Date]]&gt;=Calculation!$E$3,CCData[[#This Row],[Date]]&lt;Calculation!$E$3+7)</f>
        <v>0</v>
      </c>
    </row>
    <row r="1086" spans="1:10">
      <c r="A1086" t="s">
        <v>1085</v>
      </c>
      <c r="B1086" s="2">
        <v>42023.695</v>
      </c>
      <c r="C1086" s="3" t="s">
        <v>5007</v>
      </c>
      <c r="D1086" t="s">
        <v>5012</v>
      </c>
      <c r="E1086" t="s">
        <v>5018</v>
      </c>
      <c r="F1086" t="s">
        <v>5019</v>
      </c>
      <c r="G1086">
        <v>105</v>
      </c>
      <c r="H1086" s="5">
        <v>1.2708707963529457E-3</v>
      </c>
      <c r="I1086">
        <v>4</v>
      </c>
      <c r="J1086" t="b">
        <f>AND(CCData[[#This Row],[Date]]&gt;=Calculation!$E$3,CCData[[#This Row],[Date]]&lt;Calculation!$E$3+7)</f>
        <v>0</v>
      </c>
    </row>
    <row r="1087" spans="1:10">
      <c r="A1087" t="s">
        <v>1086</v>
      </c>
      <c r="B1087" s="2">
        <v>42023.695</v>
      </c>
      <c r="C1087" s="3" t="s">
        <v>5008</v>
      </c>
      <c r="D1087" t="s">
        <v>5012</v>
      </c>
      <c r="E1087" t="s">
        <v>5018</v>
      </c>
      <c r="F1087" t="s">
        <v>5018</v>
      </c>
      <c r="G1087">
        <v>59</v>
      </c>
      <c r="H1087" s="5">
        <v>3.5926904153006389E-3</v>
      </c>
      <c r="I1087">
        <v>5</v>
      </c>
      <c r="J1087" t="b">
        <f>AND(CCData[[#This Row],[Date]]&gt;=Calculation!$E$3,CCData[[#This Row],[Date]]&lt;Calculation!$E$3+7)</f>
        <v>0</v>
      </c>
    </row>
    <row r="1088" spans="1:10">
      <c r="A1088" t="s">
        <v>1087</v>
      </c>
      <c r="B1088" s="2">
        <v>42023.705999999998</v>
      </c>
      <c r="C1088" s="3" t="s">
        <v>5008</v>
      </c>
      <c r="D1088" t="s">
        <v>5015</v>
      </c>
      <c r="E1088" t="s">
        <v>5018</v>
      </c>
      <c r="F1088" t="s">
        <v>5018</v>
      </c>
      <c r="G1088">
        <v>115</v>
      </c>
      <c r="H1088" s="5">
        <v>4.7071955412059593E-3</v>
      </c>
      <c r="I1088">
        <v>4</v>
      </c>
      <c r="J1088" t="b">
        <f>AND(CCData[[#This Row],[Date]]&gt;=Calculation!$E$3,CCData[[#This Row],[Date]]&lt;Calculation!$E$3+7)</f>
        <v>0</v>
      </c>
    </row>
    <row r="1089" spans="1:10">
      <c r="A1089" t="s">
        <v>1088</v>
      </c>
      <c r="B1089" s="2">
        <v>42023.705999999998</v>
      </c>
      <c r="C1089" s="3" t="s">
        <v>5010</v>
      </c>
      <c r="D1089" t="s">
        <v>5014</v>
      </c>
      <c r="E1089" t="s">
        <v>5018</v>
      </c>
      <c r="F1089" t="s">
        <v>5018</v>
      </c>
      <c r="G1089">
        <v>106</v>
      </c>
      <c r="H1089" s="5">
        <v>1.2795144083502551E-3</v>
      </c>
      <c r="I1089">
        <v>4</v>
      </c>
      <c r="J1089" t="b">
        <f>AND(CCData[[#This Row],[Date]]&gt;=Calculation!$E$3,CCData[[#This Row],[Date]]&lt;Calculation!$E$3+7)</f>
        <v>0</v>
      </c>
    </row>
    <row r="1090" spans="1:10">
      <c r="A1090" t="s">
        <v>1089</v>
      </c>
      <c r="B1090" s="2">
        <v>42023.718999999997</v>
      </c>
      <c r="C1090" s="3" t="s">
        <v>5004</v>
      </c>
      <c r="D1090" t="s">
        <v>5016</v>
      </c>
      <c r="E1090" t="s">
        <v>5018</v>
      </c>
      <c r="F1090" t="s">
        <v>5018</v>
      </c>
      <c r="G1090">
        <v>35</v>
      </c>
      <c r="H1090" s="5">
        <v>6.8758754335215692E-4</v>
      </c>
      <c r="I1090">
        <v>3</v>
      </c>
      <c r="J1090" t="b">
        <f>AND(CCData[[#This Row],[Date]]&gt;=Calculation!$E$3,CCData[[#This Row],[Date]]&lt;Calculation!$E$3+7)</f>
        <v>0</v>
      </c>
    </row>
    <row r="1091" spans="1:10">
      <c r="A1091" t="s">
        <v>1090</v>
      </c>
      <c r="B1091" s="2">
        <v>42023.718999999997</v>
      </c>
      <c r="C1091" s="3" t="s">
        <v>5003</v>
      </c>
      <c r="D1091" t="s">
        <v>5012</v>
      </c>
      <c r="E1091" t="s">
        <v>5018</v>
      </c>
      <c r="F1091" t="s">
        <v>5018</v>
      </c>
      <c r="G1091">
        <v>48</v>
      </c>
      <c r="H1091" s="5">
        <v>4.5687627115991829E-3</v>
      </c>
      <c r="I1091">
        <v>4</v>
      </c>
      <c r="J1091" t="b">
        <f>AND(CCData[[#This Row],[Date]]&gt;=Calculation!$E$3,CCData[[#This Row],[Date]]&lt;Calculation!$E$3+7)</f>
        <v>0</v>
      </c>
    </row>
    <row r="1092" spans="1:10">
      <c r="A1092" t="s">
        <v>1091</v>
      </c>
      <c r="B1092" s="2">
        <v>42023.724999999999</v>
      </c>
      <c r="C1092" s="3" t="s">
        <v>5007</v>
      </c>
      <c r="D1092" t="s">
        <v>5012</v>
      </c>
      <c r="E1092" t="s">
        <v>5019</v>
      </c>
      <c r="F1092" t="s">
        <v>5019</v>
      </c>
      <c r="G1092" t="s">
        <v>5022</v>
      </c>
      <c r="H1092" s="5" t="s">
        <v>5022</v>
      </c>
      <c r="I1092" t="s">
        <v>5022</v>
      </c>
      <c r="J1092" t="b">
        <f>AND(CCData[[#This Row],[Date]]&gt;=Calculation!$E$3,CCData[[#This Row],[Date]]&lt;Calculation!$E$3+7)</f>
        <v>0</v>
      </c>
    </row>
    <row r="1093" spans="1:10">
      <c r="A1093" t="s">
        <v>1092</v>
      </c>
      <c r="B1093" s="2">
        <v>42023.724999999999</v>
      </c>
      <c r="C1093" s="3" t="s">
        <v>5007</v>
      </c>
      <c r="D1093" t="s">
        <v>5013</v>
      </c>
      <c r="E1093" t="s">
        <v>5018</v>
      </c>
      <c r="F1093" t="s">
        <v>5018</v>
      </c>
      <c r="G1093">
        <v>56</v>
      </c>
      <c r="H1093" s="5">
        <v>4.6010317030705647E-3</v>
      </c>
      <c r="I1093">
        <v>4</v>
      </c>
      <c r="J1093" t="b">
        <f>AND(CCData[[#This Row],[Date]]&gt;=Calculation!$E$3,CCData[[#This Row],[Date]]&lt;Calculation!$E$3+7)</f>
        <v>0</v>
      </c>
    </row>
    <row r="1094" spans="1:10">
      <c r="A1094" t="s">
        <v>1093</v>
      </c>
      <c r="B1094" s="2">
        <v>42024.379000000001</v>
      </c>
      <c r="C1094" s="3" t="s">
        <v>5005</v>
      </c>
      <c r="D1094" t="s">
        <v>5013</v>
      </c>
      <c r="E1094" t="s">
        <v>5019</v>
      </c>
      <c r="F1094" t="s">
        <v>5019</v>
      </c>
      <c r="G1094" t="s">
        <v>5022</v>
      </c>
      <c r="H1094" s="5" t="s">
        <v>5022</v>
      </c>
      <c r="I1094" t="s">
        <v>5022</v>
      </c>
      <c r="J1094" t="b">
        <f>AND(CCData[[#This Row],[Date]]&gt;=Calculation!$E$3,CCData[[#This Row],[Date]]&lt;Calculation!$E$3+7)</f>
        <v>0</v>
      </c>
    </row>
    <row r="1095" spans="1:10">
      <c r="A1095" t="s">
        <v>1094</v>
      </c>
      <c r="B1095" s="2">
        <v>42024.379000000001</v>
      </c>
      <c r="C1095" s="3" t="s">
        <v>5005</v>
      </c>
      <c r="D1095" t="s">
        <v>5015</v>
      </c>
      <c r="E1095" t="s">
        <v>5018</v>
      </c>
      <c r="F1095" t="s">
        <v>5018</v>
      </c>
      <c r="G1095">
        <v>99</v>
      </c>
      <c r="H1095" s="5">
        <v>3.2344251231931813E-3</v>
      </c>
      <c r="I1095">
        <v>4</v>
      </c>
      <c r="J1095" t="b">
        <f>AND(CCData[[#This Row],[Date]]&gt;=Calculation!$E$3,CCData[[#This Row],[Date]]&lt;Calculation!$E$3+7)</f>
        <v>0</v>
      </c>
    </row>
    <row r="1096" spans="1:10">
      <c r="A1096" t="s">
        <v>1095</v>
      </c>
      <c r="B1096" s="2">
        <v>42024.406999999999</v>
      </c>
      <c r="C1096" s="3" t="s">
        <v>5008</v>
      </c>
      <c r="D1096" t="s">
        <v>5015</v>
      </c>
      <c r="E1096" t="s">
        <v>5018</v>
      </c>
      <c r="F1096" t="s">
        <v>5018</v>
      </c>
      <c r="G1096">
        <v>71</v>
      </c>
      <c r="H1096" s="5">
        <v>1.8667411250879245E-3</v>
      </c>
      <c r="I1096">
        <v>3</v>
      </c>
      <c r="J1096" t="b">
        <f>AND(CCData[[#This Row],[Date]]&gt;=Calculation!$E$3,CCData[[#This Row],[Date]]&lt;Calculation!$E$3+7)</f>
        <v>0</v>
      </c>
    </row>
    <row r="1097" spans="1:10">
      <c r="A1097" t="s">
        <v>1096</v>
      </c>
      <c r="B1097" s="2">
        <v>42024.406999999999</v>
      </c>
      <c r="C1097" s="3" t="s">
        <v>5005</v>
      </c>
      <c r="D1097" t="s">
        <v>5014</v>
      </c>
      <c r="E1097" t="s">
        <v>5018</v>
      </c>
      <c r="F1097" t="s">
        <v>5018</v>
      </c>
      <c r="G1097">
        <v>54</v>
      </c>
      <c r="H1097" s="5">
        <v>3.0568619279678936E-3</v>
      </c>
      <c r="I1097">
        <v>4</v>
      </c>
      <c r="J1097" t="b">
        <f>AND(CCData[[#This Row],[Date]]&gt;=Calculation!$E$3,CCData[[#This Row],[Date]]&lt;Calculation!$E$3+7)</f>
        <v>0</v>
      </c>
    </row>
    <row r="1098" spans="1:10">
      <c r="A1098" t="s">
        <v>1097</v>
      </c>
      <c r="B1098" s="2">
        <v>42024.406999999999</v>
      </c>
      <c r="C1098" s="3" t="s">
        <v>5006</v>
      </c>
      <c r="D1098" t="s">
        <v>5015</v>
      </c>
      <c r="E1098" t="s">
        <v>5019</v>
      </c>
      <c r="F1098" t="s">
        <v>5019</v>
      </c>
      <c r="G1098" t="s">
        <v>5022</v>
      </c>
      <c r="H1098" s="5" t="s">
        <v>5022</v>
      </c>
      <c r="I1098" t="s">
        <v>5022</v>
      </c>
      <c r="J1098" t="b">
        <f>AND(CCData[[#This Row],[Date]]&gt;=Calculation!$E$3,CCData[[#This Row],[Date]]&lt;Calculation!$E$3+7)</f>
        <v>0</v>
      </c>
    </row>
    <row r="1099" spans="1:10">
      <c r="A1099" t="s">
        <v>1098</v>
      </c>
      <c r="B1099" s="2">
        <v>42024.406999999999</v>
      </c>
      <c r="C1099" s="3" t="s">
        <v>5010</v>
      </c>
      <c r="D1099" t="s">
        <v>5014</v>
      </c>
      <c r="E1099" t="s">
        <v>5019</v>
      </c>
      <c r="F1099" t="s">
        <v>5019</v>
      </c>
      <c r="G1099" t="s">
        <v>5022</v>
      </c>
      <c r="H1099" s="5" t="s">
        <v>5022</v>
      </c>
      <c r="I1099" t="s">
        <v>5022</v>
      </c>
      <c r="J1099" t="b">
        <f>AND(CCData[[#This Row],[Date]]&gt;=Calculation!$E$3,CCData[[#This Row],[Date]]&lt;Calculation!$E$3+7)</f>
        <v>0</v>
      </c>
    </row>
    <row r="1100" spans="1:10">
      <c r="A1100" t="s">
        <v>1099</v>
      </c>
      <c r="B1100" s="2">
        <v>42024.406999999999</v>
      </c>
      <c r="C1100" s="3" t="s">
        <v>5007</v>
      </c>
      <c r="D1100" t="s">
        <v>5016</v>
      </c>
      <c r="E1100" t="s">
        <v>5018</v>
      </c>
      <c r="F1100" t="s">
        <v>5018</v>
      </c>
      <c r="G1100">
        <v>54</v>
      </c>
      <c r="H1100" s="5">
        <v>9.9445284763428551E-4</v>
      </c>
      <c r="I1100">
        <v>4</v>
      </c>
      <c r="J1100" t="b">
        <f>AND(CCData[[#This Row],[Date]]&gt;=Calculation!$E$3,CCData[[#This Row],[Date]]&lt;Calculation!$E$3+7)</f>
        <v>0</v>
      </c>
    </row>
    <row r="1101" spans="1:10">
      <c r="A1101" t="s">
        <v>1100</v>
      </c>
      <c r="B1101" s="2">
        <v>42024.406999999999</v>
      </c>
      <c r="C1101" s="3" t="s">
        <v>5008</v>
      </c>
      <c r="D1101" t="s">
        <v>5013</v>
      </c>
      <c r="E1101" t="s">
        <v>5018</v>
      </c>
      <c r="F1101" t="s">
        <v>5018</v>
      </c>
      <c r="G1101">
        <v>62</v>
      </c>
      <c r="H1101" s="5">
        <v>1.2564405553808402E-3</v>
      </c>
      <c r="I1101">
        <v>2</v>
      </c>
      <c r="J1101" t="b">
        <f>AND(CCData[[#This Row],[Date]]&gt;=Calculation!$E$3,CCData[[#This Row],[Date]]&lt;Calculation!$E$3+7)</f>
        <v>0</v>
      </c>
    </row>
    <row r="1102" spans="1:10">
      <c r="A1102" t="s">
        <v>1101</v>
      </c>
      <c r="B1102" s="2">
        <v>42024.432000000001</v>
      </c>
      <c r="C1102" s="3" t="s">
        <v>5005</v>
      </c>
      <c r="D1102" t="s">
        <v>5014</v>
      </c>
      <c r="E1102" t="s">
        <v>5018</v>
      </c>
      <c r="F1102" t="s">
        <v>5018</v>
      </c>
      <c r="G1102">
        <v>24</v>
      </c>
      <c r="H1102" s="5">
        <v>2.8741308566310776E-3</v>
      </c>
      <c r="I1102">
        <v>4</v>
      </c>
      <c r="J1102" t="b">
        <f>AND(CCData[[#This Row],[Date]]&gt;=Calculation!$E$3,CCData[[#This Row],[Date]]&lt;Calculation!$E$3+7)</f>
        <v>0</v>
      </c>
    </row>
    <row r="1103" spans="1:10">
      <c r="A1103" t="s">
        <v>1102</v>
      </c>
      <c r="B1103" s="2">
        <v>42024.432000000001</v>
      </c>
      <c r="C1103" s="3" t="s">
        <v>5007</v>
      </c>
      <c r="D1103" t="s">
        <v>5015</v>
      </c>
      <c r="E1103" t="s">
        <v>5018</v>
      </c>
      <c r="F1103" t="s">
        <v>5018</v>
      </c>
      <c r="G1103">
        <v>94</v>
      </c>
      <c r="H1103" s="5">
        <v>2.8982280092008103E-3</v>
      </c>
      <c r="I1103">
        <v>5</v>
      </c>
      <c r="J1103" t="b">
        <f>AND(CCData[[#This Row],[Date]]&gt;=Calculation!$E$3,CCData[[#This Row],[Date]]&lt;Calculation!$E$3+7)</f>
        <v>0</v>
      </c>
    </row>
    <row r="1104" spans="1:10">
      <c r="A1104" t="s">
        <v>1103</v>
      </c>
      <c r="B1104" s="2">
        <v>42024.474999999999</v>
      </c>
      <c r="C1104" s="3" t="s">
        <v>5004</v>
      </c>
      <c r="D1104" t="s">
        <v>5014</v>
      </c>
      <c r="E1104" t="s">
        <v>5018</v>
      </c>
      <c r="F1104" t="s">
        <v>5018</v>
      </c>
      <c r="G1104">
        <v>43</v>
      </c>
      <c r="H1104" s="5">
        <v>6.4420581163005973E-4</v>
      </c>
      <c r="I1104">
        <v>3</v>
      </c>
      <c r="J1104" t="b">
        <f>AND(CCData[[#This Row],[Date]]&gt;=Calculation!$E$3,CCData[[#This Row],[Date]]&lt;Calculation!$E$3+7)</f>
        <v>0</v>
      </c>
    </row>
    <row r="1105" spans="1:10">
      <c r="A1105" t="s">
        <v>1104</v>
      </c>
      <c r="B1105" s="2">
        <v>42024.474999999999</v>
      </c>
      <c r="C1105" s="3" t="s">
        <v>5009</v>
      </c>
      <c r="D1105" t="s">
        <v>5016</v>
      </c>
      <c r="E1105" t="s">
        <v>5019</v>
      </c>
      <c r="F1105" t="s">
        <v>5019</v>
      </c>
      <c r="G1105" t="s">
        <v>5022</v>
      </c>
      <c r="H1105" s="5" t="s">
        <v>5022</v>
      </c>
      <c r="I1105" t="s">
        <v>5022</v>
      </c>
      <c r="J1105" t="b">
        <f>AND(CCData[[#This Row],[Date]]&gt;=Calculation!$E$3,CCData[[#This Row],[Date]]&lt;Calculation!$E$3+7)</f>
        <v>0</v>
      </c>
    </row>
    <row r="1106" spans="1:10">
      <c r="A1106" t="s">
        <v>1105</v>
      </c>
      <c r="B1106" s="2">
        <v>42024.5</v>
      </c>
      <c r="C1106" s="3" t="s">
        <v>5008</v>
      </c>
      <c r="D1106" t="s">
        <v>5016</v>
      </c>
      <c r="E1106" t="s">
        <v>5018</v>
      </c>
      <c r="F1106" t="s">
        <v>5018</v>
      </c>
      <c r="G1106">
        <v>58</v>
      </c>
      <c r="H1106" s="5">
        <v>2.943356214900876E-3</v>
      </c>
      <c r="I1106">
        <v>5</v>
      </c>
      <c r="J1106" t="b">
        <f>AND(CCData[[#This Row],[Date]]&gt;=Calculation!$E$3,CCData[[#This Row],[Date]]&lt;Calculation!$E$3+7)</f>
        <v>0</v>
      </c>
    </row>
    <row r="1107" spans="1:10">
      <c r="A1107" t="s">
        <v>1106</v>
      </c>
      <c r="B1107" s="2">
        <v>42024.5</v>
      </c>
      <c r="C1107" s="3" t="s">
        <v>5006</v>
      </c>
      <c r="D1107" t="s">
        <v>5014</v>
      </c>
      <c r="E1107" t="s">
        <v>5018</v>
      </c>
      <c r="F1107" t="s">
        <v>5018</v>
      </c>
      <c r="G1107">
        <v>15</v>
      </c>
      <c r="H1107" s="5">
        <v>4.5732608947833871E-3</v>
      </c>
      <c r="I1107">
        <v>1</v>
      </c>
      <c r="J1107" t="b">
        <f>AND(CCData[[#This Row],[Date]]&gt;=Calculation!$E$3,CCData[[#This Row],[Date]]&lt;Calculation!$E$3+7)</f>
        <v>0</v>
      </c>
    </row>
    <row r="1108" spans="1:10">
      <c r="A1108" t="s">
        <v>1107</v>
      </c>
      <c r="B1108" s="2">
        <v>42024.504999999997</v>
      </c>
      <c r="C1108" s="3" t="s">
        <v>5004</v>
      </c>
      <c r="D1108" t="s">
        <v>5012</v>
      </c>
      <c r="E1108" t="s">
        <v>5018</v>
      </c>
      <c r="F1108" t="s">
        <v>5018</v>
      </c>
      <c r="G1108">
        <v>102</v>
      </c>
      <c r="H1108" s="5">
        <v>8.8236903981928256E-4</v>
      </c>
      <c r="I1108">
        <v>1</v>
      </c>
      <c r="J1108" t="b">
        <f>AND(CCData[[#This Row],[Date]]&gt;=Calculation!$E$3,CCData[[#This Row],[Date]]&lt;Calculation!$E$3+7)</f>
        <v>0</v>
      </c>
    </row>
    <row r="1109" spans="1:10">
      <c r="A1109" t="s">
        <v>1108</v>
      </c>
      <c r="B1109" s="2">
        <v>42024.504999999997</v>
      </c>
      <c r="C1109" s="3" t="s">
        <v>5006</v>
      </c>
      <c r="D1109" t="s">
        <v>5012</v>
      </c>
      <c r="E1109" t="s">
        <v>5018</v>
      </c>
      <c r="F1109" t="s">
        <v>5018</v>
      </c>
      <c r="G1109">
        <v>40</v>
      </c>
      <c r="H1109" s="5">
        <v>3.7231902857645222E-3</v>
      </c>
      <c r="I1109">
        <v>2</v>
      </c>
      <c r="J1109" t="b">
        <f>AND(CCData[[#This Row],[Date]]&gt;=Calculation!$E$3,CCData[[#This Row],[Date]]&lt;Calculation!$E$3+7)</f>
        <v>0</v>
      </c>
    </row>
    <row r="1110" spans="1:10">
      <c r="A1110" t="s">
        <v>1109</v>
      </c>
      <c r="B1110" s="2">
        <v>42024.519</v>
      </c>
      <c r="C1110" s="3" t="s">
        <v>5003</v>
      </c>
      <c r="D1110" t="s">
        <v>5013</v>
      </c>
      <c r="E1110" t="s">
        <v>5018</v>
      </c>
      <c r="F1110" t="s">
        <v>5018</v>
      </c>
      <c r="G1110">
        <v>63</v>
      </c>
      <c r="H1110" s="5">
        <v>3.3511493100236646E-3</v>
      </c>
      <c r="I1110">
        <v>2</v>
      </c>
      <c r="J1110" t="b">
        <f>AND(CCData[[#This Row],[Date]]&gt;=Calculation!$E$3,CCData[[#This Row],[Date]]&lt;Calculation!$E$3+7)</f>
        <v>0</v>
      </c>
    </row>
    <row r="1111" spans="1:10">
      <c r="A1111" t="s">
        <v>1110</v>
      </c>
      <c r="B1111" s="2">
        <v>42024.519</v>
      </c>
      <c r="C1111" s="3" t="s">
        <v>5009</v>
      </c>
      <c r="D1111" t="s">
        <v>5016</v>
      </c>
      <c r="E1111" t="s">
        <v>5018</v>
      </c>
      <c r="F1111" t="s">
        <v>5018</v>
      </c>
      <c r="G1111">
        <v>77</v>
      </c>
      <c r="H1111" s="5">
        <v>4.4227446270027285E-3</v>
      </c>
      <c r="I1111">
        <v>4</v>
      </c>
      <c r="J1111" t="b">
        <f>AND(CCData[[#This Row],[Date]]&gt;=Calculation!$E$3,CCData[[#This Row],[Date]]&lt;Calculation!$E$3+7)</f>
        <v>0</v>
      </c>
    </row>
    <row r="1112" spans="1:10">
      <c r="A1112" t="s">
        <v>1111</v>
      </c>
      <c r="B1112" s="2">
        <v>42024.540999999997</v>
      </c>
      <c r="C1112" s="3" t="s">
        <v>5009</v>
      </c>
      <c r="D1112" t="s">
        <v>5013</v>
      </c>
      <c r="E1112" t="s">
        <v>5018</v>
      </c>
      <c r="F1112" t="s">
        <v>5018</v>
      </c>
      <c r="G1112">
        <v>93</v>
      </c>
      <c r="H1112" s="5">
        <v>3.8206276326350182E-3</v>
      </c>
      <c r="I1112">
        <v>4</v>
      </c>
      <c r="J1112" t="b">
        <f>AND(CCData[[#This Row],[Date]]&gt;=Calculation!$E$3,CCData[[#This Row],[Date]]&lt;Calculation!$E$3+7)</f>
        <v>0</v>
      </c>
    </row>
    <row r="1113" spans="1:10">
      <c r="A1113" t="s">
        <v>1112</v>
      </c>
      <c r="B1113" s="2">
        <v>42024.540999999997</v>
      </c>
      <c r="C1113" s="3" t="s">
        <v>5004</v>
      </c>
      <c r="D1113" t="s">
        <v>5016</v>
      </c>
      <c r="E1113" t="s">
        <v>5018</v>
      </c>
      <c r="F1113" t="s">
        <v>5018</v>
      </c>
      <c r="G1113">
        <v>101</v>
      </c>
      <c r="H1113" s="5">
        <v>2.3366956370682959E-3</v>
      </c>
      <c r="I1113">
        <v>5</v>
      </c>
      <c r="J1113" t="b">
        <f>AND(CCData[[#This Row],[Date]]&gt;=Calculation!$E$3,CCData[[#This Row],[Date]]&lt;Calculation!$E$3+7)</f>
        <v>0</v>
      </c>
    </row>
    <row r="1114" spans="1:10">
      <c r="A1114" t="s">
        <v>1113</v>
      </c>
      <c r="B1114" s="2">
        <v>42024.542000000001</v>
      </c>
      <c r="C1114" s="3" t="s">
        <v>5005</v>
      </c>
      <c r="D1114" t="s">
        <v>5014</v>
      </c>
      <c r="E1114" t="s">
        <v>5018</v>
      </c>
      <c r="F1114" t="s">
        <v>5018</v>
      </c>
      <c r="G1114">
        <v>34</v>
      </c>
      <c r="H1114" s="5">
        <v>3.9336159223794066E-4</v>
      </c>
      <c r="I1114">
        <v>5</v>
      </c>
      <c r="J1114" t="b">
        <f>AND(CCData[[#This Row],[Date]]&gt;=Calculation!$E$3,CCData[[#This Row],[Date]]&lt;Calculation!$E$3+7)</f>
        <v>0</v>
      </c>
    </row>
    <row r="1115" spans="1:10">
      <c r="A1115" t="s">
        <v>1114</v>
      </c>
      <c r="B1115" s="2">
        <v>42024.542000000001</v>
      </c>
      <c r="C1115" s="3" t="s">
        <v>5005</v>
      </c>
      <c r="D1115" t="s">
        <v>5014</v>
      </c>
      <c r="E1115" t="s">
        <v>5018</v>
      </c>
      <c r="F1115" t="s">
        <v>5018</v>
      </c>
      <c r="G1115">
        <v>64</v>
      </c>
      <c r="H1115" s="5">
        <v>1.0878664138240185E-3</v>
      </c>
      <c r="I1115">
        <v>5</v>
      </c>
      <c r="J1115" t="b">
        <f>AND(CCData[[#This Row],[Date]]&gt;=Calculation!$E$3,CCData[[#This Row],[Date]]&lt;Calculation!$E$3+7)</f>
        <v>0</v>
      </c>
    </row>
    <row r="1116" spans="1:10">
      <c r="A1116" t="s">
        <v>1115</v>
      </c>
      <c r="B1116" s="2">
        <v>42024.56</v>
      </c>
      <c r="C1116" s="3" t="s">
        <v>5006</v>
      </c>
      <c r="D1116" t="s">
        <v>5013</v>
      </c>
      <c r="E1116" t="s">
        <v>5018</v>
      </c>
      <c r="F1116" t="s">
        <v>5019</v>
      </c>
      <c r="G1116">
        <v>25</v>
      </c>
      <c r="H1116" s="5">
        <v>4.5375867165866213E-3</v>
      </c>
      <c r="I1116">
        <v>3</v>
      </c>
      <c r="J1116" t="b">
        <f>AND(CCData[[#This Row],[Date]]&gt;=Calculation!$E$3,CCData[[#This Row],[Date]]&lt;Calculation!$E$3+7)</f>
        <v>0</v>
      </c>
    </row>
    <row r="1117" spans="1:10">
      <c r="A1117" t="s">
        <v>1116</v>
      </c>
      <c r="B1117" s="2">
        <v>42024.56</v>
      </c>
      <c r="C1117" s="3" t="s">
        <v>5007</v>
      </c>
      <c r="D1117" t="s">
        <v>5015</v>
      </c>
      <c r="E1117" t="s">
        <v>5018</v>
      </c>
      <c r="F1117" t="s">
        <v>5018</v>
      </c>
      <c r="G1117">
        <v>122</v>
      </c>
      <c r="H1117" s="5">
        <v>1.5338565619627167E-3</v>
      </c>
      <c r="I1117">
        <v>4</v>
      </c>
      <c r="J1117" t="b">
        <f>AND(CCData[[#This Row],[Date]]&gt;=Calculation!$E$3,CCData[[#This Row],[Date]]&lt;Calculation!$E$3+7)</f>
        <v>0</v>
      </c>
    </row>
    <row r="1118" spans="1:10">
      <c r="A1118" t="s">
        <v>1117</v>
      </c>
      <c r="B1118" s="2">
        <v>42024.56</v>
      </c>
      <c r="C1118" s="3" t="s">
        <v>5005</v>
      </c>
      <c r="D1118" t="s">
        <v>5016</v>
      </c>
      <c r="E1118" t="s">
        <v>5018</v>
      </c>
      <c r="F1118" t="s">
        <v>5018</v>
      </c>
      <c r="G1118">
        <v>36</v>
      </c>
      <c r="H1118" s="5">
        <v>7.0874542026595517E-4</v>
      </c>
      <c r="I1118">
        <v>4</v>
      </c>
      <c r="J1118" t="b">
        <f>AND(CCData[[#This Row],[Date]]&gt;=Calculation!$E$3,CCData[[#This Row],[Date]]&lt;Calculation!$E$3+7)</f>
        <v>0</v>
      </c>
    </row>
    <row r="1119" spans="1:10">
      <c r="A1119" t="s">
        <v>1118</v>
      </c>
      <c r="B1119" s="2">
        <v>42024.56</v>
      </c>
      <c r="C1119" s="3" t="s">
        <v>5005</v>
      </c>
      <c r="D1119" t="s">
        <v>5012</v>
      </c>
      <c r="E1119" t="s">
        <v>5018</v>
      </c>
      <c r="F1119" t="s">
        <v>5018</v>
      </c>
      <c r="G1119">
        <v>37</v>
      </c>
      <c r="H1119" s="5">
        <v>1.0856142124612094E-3</v>
      </c>
      <c r="I1119">
        <v>3</v>
      </c>
      <c r="J1119" t="b">
        <f>AND(CCData[[#This Row],[Date]]&gt;=Calculation!$E$3,CCData[[#This Row],[Date]]&lt;Calculation!$E$3+7)</f>
        <v>0</v>
      </c>
    </row>
    <row r="1120" spans="1:10">
      <c r="A1120" t="s">
        <v>1119</v>
      </c>
      <c r="B1120" s="2">
        <v>42024.582999999999</v>
      </c>
      <c r="C1120" s="3" t="s">
        <v>5008</v>
      </c>
      <c r="D1120" t="s">
        <v>5016</v>
      </c>
      <c r="E1120" t="s">
        <v>5018</v>
      </c>
      <c r="F1120" t="s">
        <v>5018</v>
      </c>
      <c r="G1120">
        <v>112</v>
      </c>
      <c r="H1120" s="5">
        <v>4.6981461010701352E-3</v>
      </c>
      <c r="I1120">
        <v>3</v>
      </c>
      <c r="J1120" t="b">
        <f>AND(CCData[[#This Row],[Date]]&gt;=Calculation!$E$3,CCData[[#This Row],[Date]]&lt;Calculation!$E$3+7)</f>
        <v>0</v>
      </c>
    </row>
    <row r="1121" spans="1:10">
      <c r="A1121" t="s">
        <v>1120</v>
      </c>
      <c r="B1121" s="2">
        <v>42024.582999999999</v>
      </c>
      <c r="C1121" s="3" t="s">
        <v>5003</v>
      </c>
      <c r="D1121" t="s">
        <v>5014</v>
      </c>
      <c r="E1121" t="s">
        <v>5019</v>
      </c>
      <c r="F1121" t="s">
        <v>5019</v>
      </c>
      <c r="G1121" t="s">
        <v>5022</v>
      </c>
      <c r="H1121" s="5" t="s">
        <v>5022</v>
      </c>
      <c r="I1121" t="s">
        <v>5022</v>
      </c>
      <c r="J1121" t="b">
        <f>AND(CCData[[#This Row],[Date]]&gt;=Calculation!$E$3,CCData[[#This Row],[Date]]&lt;Calculation!$E$3+7)</f>
        <v>0</v>
      </c>
    </row>
    <row r="1122" spans="1:10">
      <c r="A1122" t="s">
        <v>1121</v>
      </c>
      <c r="B1122" s="2">
        <v>42024.586000000003</v>
      </c>
      <c r="C1122" s="3" t="s">
        <v>5007</v>
      </c>
      <c r="D1122" t="s">
        <v>5015</v>
      </c>
      <c r="E1122" t="s">
        <v>5018</v>
      </c>
      <c r="F1122" t="s">
        <v>5018</v>
      </c>
      <c r="G1122">
        <v>57</v>
      </c>
      <c r="H1122" s="5">
        <v>3.3886172546903157E-3</v>
      </c>
      <c r="I1122">
        <v>3</v>
      </c>
      <c r="J1122" t="b">
        <f>AND(CCData[[#This Row],[Date]]&gt;=Calculation!$E$3,CCData[[#This Row],[Date]]&lt;Calculation!$E$3+7)</f>
        <v>0</v>
      </c>
    </row>
    <row r="1123" spans="1:10">
      <c r="A1123" t="s">
        <v>1122</v>
      </c>
      <c r="B1123" s="2">
        <v>42024.586000000003</v>
      </c>
      <c r="C1123" s="3" t="s">
        <v>5007</v>
      </c>
      <c r="D1123" t="s">
        <v>5015</v>
      </c>
      <c r="E1123" t="s">
        <v>5018</v>
      </c>
      <c r="F1123" t="s">
        <v>5018</v>
      </c>
      <c r="G1123">
        <v>14</v>
      </c>
      <c r="H1123" s="5">
        <v>1.714300237434448E-3</v>
      </c>
      <c r="I1123">
        <v>3</v>
      </c>
      <c r="J1123" t="b">
        <f>AND(CCData[[#This Row],[Date]]&gt;=Calculation!$E$3,CCData[[#This Row],[Date]]&lt;Calculation!$E$3+7)</f>
        <v>0</v>
      </c>
    </row>
    <row r="1124" spans="1:10">
      <c r="A1124" t="s">
        <v>1123</v>
      </c>
      <c r="B1124" s="2">
        <v>42024.667000000001</v>
      </c>
      <c r="C1124" s="3" t="s">
        <v>5004</v>
      </c>
      <c r="D1124" t="s">
        <v>5015</v>
      </c>
      <c r="E1124" t="s">
        <v>5018</v>
      </c>
      <c r="F1124" t="s">
        <v>5018</v>
      </c>
      <c r="G1124">
        <v>72</v>
      </c>
      <c r="H1124" s="5">
        <v>2.9092513806176731E-3</v>
      </c>
      <c r="I1124">
        <v>2</v>
      </c>
      <c r="J1124" t="b">
        <f>AND(CCData[[#This Row],[Date]]&gt;=Calculation!$E$3,CCData[[#This Row],[Date]]&lt;Calculation!$E$3+7)</f>
        <v>0</v>
      </c>
    </row>
    <row r="1125" spans="1:10">
      <c r="A1125" t="s">
        <v>1124</v>
      </c>
      <c r="B1125" s="2">
        <v>42024.667000000001</v>
      </c>
      <c r="C1125" s="3" t="s">
        <v>5004</v>
      </c>
      <c r="D1125" t="s">
        <v>5015</v>
      </c>
      <c r="E1125" t="s">
        <v>5018</v>
      </c>
      <c r="F1125" t="s">
        <v>5018</v>
      </c>
      <c r="G1125">
        <v>60</v>
      </c>
      <c r="H1125" s="5">
        <v>4.53689974119721E-3</v>
      </c>
      <c r="I1125">
        <v>3</v>
      </c>
      <c r="J1125" t="b">
        <f>AND(CCData[[#This Row],[Date]]&gt;=Calculation!$E$3,CCData[[#This Row],[Date]]&lt;Calculation!$E$3+7)</f>
        <v>0</v>
      </c>
    </row>
    <row r="1126" spans="1:10">
      <c r="A1126" t="s">
        <v>1125</v>
      </c>
      <c r="B1126" s="2">
        <v>42024.680999999997</v>
      </c>
      <c r="C1126" s="3" t="s">
        <v>5004</v>
      </c>
      <c r="D1126" t="s">
        <v>5014</v>
      </c>
      <c r="E1126" t="s">
        <v>5018</v>
      </c>
      <c r="F1126" t="s">
        <v>5018</v>
      </c>
      <c r="G1126">
        <v>52</v>
      </c>
      <c r="H1126" s="5">
        <v>2.0469220470516782E-3</v>
      </c>
      <c r="I1126">
        <v>5</v>
      </c>
      <c r="J1126" t="b">
        <f>AND(CCData[[#This Row],[Date]]&gt;=Calculation!$E$3,CCData[[#This Row],[Date]]&lt;Calculation!$E$3+7)</f>
        <v>0</v>
      </c>
    </row>
    <row r="1127" spans="1:10">
      <c r="A1127" t="s">
        <v>1126</v>
      </c>
      <c r="B1127" s="2">
        <v>42024.680999999997</v>
      </c>
      <c r="C1127" s="3" t="s">
        <v>5005</v>
      </c>
      <c r="D1127" t="s">
        <v>5012</v>
      </c>
      <c r="E1127" t="s">
        <v>5019</v>
      </c>
      <c r="F1127" t="s">
        <v>5019</v>
      </c>
      <c r="G1127" t="s">
        <v>5022</v>
      </c>
      <c r="H1127" s="5" t="s">
        <v>5022</v>
      </c>
      <c r="I1127" t="s">
        <v>5022</v>
      </c>
      <c r="J1127" t="b">
        <f>AND(CCData[[#This Row],[Date]]&gt;=Calculation!$E$3,CCData[[#This Row],[Date]]&lt;Calculation!$E$3+7)</f>
        <v>0</v>
      </c>
    </row>
    <row r="1128" spans="1:10">
      <c r="A1128" t="s">
        <v>1127</v>
      </c>
      <c r="B1128" s="2">
        <v>42024.737999999998</v>
      </c>
      <c r="C1128" s="3" t="s">
        <v>5008</v>
      </c>
      <c r="D1128" t="s">
        <v>5016</v>
      </c>
      <c r="E1128" t="s">
        <v>5018</v>
      </c>
      <c r="F1128" t="s">
        <v>5018</v>
      </c>
      <c r="G1128">
        <v>73</v>
      </c>
      <c r="H1128" s="5">
        <v>5.2330564582309103E-4</v>
      </c>
      <c r="I1128">
        <v>3</v>
      </c>
      <c r="J1128" t="b">
        <f>AND(CCData[[#This Row],[Date]]&gt;=Calculation!$E$3,CCData[[#This Row],[Date]]&lt;Calculation!$E$3+7)</f>
        <v>0</v>
      </c>
    </row>
    <row r="1129" spans="1:10">
      <c r="A1129" t="s">
        <v>1128</v>
      </c>
      <c r="B1129" s="2">
        <v>42024.737999999998</v>
      </c>
      <c r="C1129" s="3" t="s">
        <v>5004</v>
      </c>
      <c r="D1129" t="s">
        <v>5012</v>
      </c>
      <c r="E1129" t="s">
        <v>5018</v>
      </c>
      <c r="F1129" t="s">
        <v>5018</v>
      </c>
      <c r="G1129">
        <v>108</v>
      </c>
      <c r="H1129" s="5">
        <v>1.6156069579817663E-3</v>
      </c>
      <c r="I1129">
        <v>4</v>
      </c>
      <c r="J1129" t="b">
        <f>AND(CCData[[#This Row],[Date]]&gt;=Calculation!$E$3,CCData[[#This Row],[Date]]&lt;Calculation!$E$3+7)</f>
        <v>0</v>
      </c>
    </row>
    <row r="1130" spans="1:10">
      <c r="A1130" t="s">
        <v>1129</v>
      </c>
      <c r="B1130" s="2">
        <v>42024.747000000003</v>
      </c>
      <c r="C1130" s="3" t="s">
        <v>5008</v>
      </c>
      <c r="D1130" t="s">
        <v>5016</v>
      </c>
      <c r="E1130" t="s">
        <v>5018</v>
      </c>
      <c r="F1130" t="s">
        <v>5018</v>
      </c>
      <c r="G1130">
        <v>50</v>
      </c>
      <c r="H1130" s="5">
        <v>1.2543205742605716E-3</v>
      </c>
      <c r="I1130">
        <v>4</v>
      </c>
      <c r="J1130" t="b">
        <f>AND(CCData[[#This Row],[Date]]&gt;=Calculation!$E$3,CCData[[#This Row],[Date]]&lt;Calculation!$E$3+7)</f>
        <v>0</v>
      </c>
    </row>
    <row r="1131" spans="1:10">
      <c r="A1131" t="s">
        <v>1130</v>
      </c>
      <c r="B1131" s="2">
        <v>42024.747000000003</v>
      </c>
      <c r="C1131" s="3" t="s">
        <v>5005</v>
      </c>
      <c r="D1131" t="s">
        <v>5013</v>
      </c>
      <c r="E1131" t="s">
        <v>5019</v>
      </c>
      <c r="F1131" t="s">
        <v>5019</v>
      </c>
      <c r="G1131" t="s">
        <v>5022</v>
      </c>
      <c r="H1131" s="5" t="s">
        <v>5022</v>
      </c>
      <c r="I1131" t="s">
        <v>5022</v>
      </c>
      <c r="J1131" t="b">
        <f>AND(CCData[[#This Row],[Date]]&gt;=Calculation!$E$3,CCData[[#This Row],[Date]]&lt;Calculation!$E$3+7)</f>
        <v>0</v>
      </c>
    </row>
    <row r="1132" spans="1:10">
      <c r="A1132" t="s">
        <v>1131</v>
      </c>
      <c r="B1132" s="2">
        <v>42024.748</v>
      </c>
      <c r="C1132" s="3" t="s">
        <v>5008</v>
      </c>
      <c r="D1132" t="s">
        <v>5015</v>
      </c>
      <c r="E1132" t="s">
        <v>5018</v>
      </c>
      <c r="F1132" t="s">
        <v>5019</v>
      </c>
      <c r="G1132">
        <v>100</v>
      </c>
      <c r="H1132" s="5">
        <v>2.8258014630727028E-3</v>
      </c>
      <c r="I1132">
        <v>2</v>
      </c>
      <c r="J1132" t="b">
        <f>AND(CCData[[#This Row],[Date]]&gt;=Calculation!$E$3,CCData[[#This Row],[Date]]&lt;Calculation!$E$3+7)</f>
        <v>0</v>
      </c>
    </row>
    <row r="1133" spans="1:10">
      <c r="A1133" t="s">
        <v>1132</v>
      </c>
      <c r="B1133" s="2">
        <v>42024.748</v>
      </c>
      <c r="C1133" s="3" t="s">
        <v>5008</v>
      </c>
      <c r="D1133" t="s">
        <v>5013</v>
      </c>
      <c r="E1133" t="s">
        <v>5018</v>
      </c>
      <c r="F1133" t="s">
        <v>5018</v>
      </c>
      <c r="G1133">
        <v>69</v>
      </c>
      <c r="H1133" s="5">
        <v>9.4476018808533789E-4</v>
      </c>
      <c r="I1133">
        <v>3</v>
      </c>
      <c r="J1133" t="b">
        <f>AND(CCData[[#This Row],[Date]]&gt;=Calculation!$E$3,CCData[[#This Row],[Date]]&lt;Calculation!$E$3+7)</f>
        <v>0</v>
      </c>
    </row>
    <row r="1134" spans="1:10">
      <c r="A1134" t="s">
        <v>1133</v>
      </c>
      <c r="B1134" s="2">
        <v>42025.389000000003</v>
      </c>
      <c r="C1134" s="3" t="s">
        <v>5004</v>
      </c>
      <c r="D1134" t="s">
        <v>5016</v>
      </c>
      <c r="E1134" t="s">
        <v>5018</v>
      </c>
      <c r="F1134" t="s">
        <v>5018</v>
      </c>
      <c r="G1134">
        <v>39</v>
      </c>
      <c r="H1134" s="5">
        <v>1.5175451864367386E-3</v>
      </c>
      <c r="I1134">
        <v>1</v>
      </c>
      <c r="J1134" t="b">
        <f>AND(CCData[[#This Row],[Date]]&gt;=Calculation!$E$3,CCData[[#This Row],[Date]]&lt;Calculation!$E$3+7)</f>
        <v>0</v>
      </c>
    </row>
    <row r="1135" spans="1:10">
      <c r="A1135" t="s">
        <v>1134</v>
      </c>
      <c r="B1135" s="2">
        <v>42025.389000000003</v>
      </c>
      <c r="C1135" s="3" t="s">
        <v>5007</v>
      </c>
      <c r="D1135" t="s">
        <v>5013</v>
      </c>
      <c r="E1135" t="s">
        <v>5018</v>
      </c>
      <c r="F1135" t="s">
        <v>5018</v>
      </c>
      <c r="G1135">
        <v>71</v>
      </c>
      <c r="H1135" s="5">
        <v>2.0183129260452517E-3</v>
      </c>
      <c r="I1135">
        <v>5</v>
      </c>
      <c r="J1135" t="b">
        <f>AND(CCData[[#This Row],[Date]]&gt;=Calculation!$E$3,CCData[[#This Row],[Date]]&lt;Calculation!$E$3+7)</f>
        <v>0</v>
      </c>
    </row>
    <row r="1136" spans="1:10">
      <c r="A1136" t="s">
        <v>1135</v>
      </c>
      <c r="B1136" s="2">
        <v>42025.400999999998</v>
      </c>
      <c r="C1136" s="3" t="s">
        <v>5010</v>
      </c>
      <c r="D1136" t="s">
        <v>5016</v>
      </c>
      <c r="E1136" t="s">
        <v>5019</v>
      </c>
      <c r="F1136" t="s">
        <v>5019</v>
      </c>
      <c r="G1136" t="s">
        <v>5022</v>
      </c>
      <c r="H1136" s="5" t="s">
        <v>5022</v>
      </c>
      <c r="I1136" t="s">
        <v>5022</v>
      </c>
      <c r="J1136" t="b">
        <f>AND(CCData[[#This Row],[Date]]&gt;=Calculation!$E$3,CCData[[#This Row],[Date]]&lt;Calculation!$E$3+7)</f>
        <v>0</v>
      </c>
    </row>
    <row r="1137" spans="1:10">
      <c r="A1137" t="s">
        <v>1136</v>
      </c>
      <c r="B1137" s="2">
        <v>42025.400999999998</v>
      </c>
      <c r="C1137" s="3" t="s">
        <v>5006</v>
      </c>
      <c r="D1137" t="s">
        <v>5013</v>
      </c>
      <c r="E1137" t="s">
        <v>5018</v>
      </c>
      <c r="F1137" t="s">
        <v>5018</v>
      </c>
      <c r="G1137">
        <v>79</v>
      </c>
      <c r="H1137" s="5">
        <v>9.1384992642940162E-4</v>
      </c>
      <c r="I1137">
        <v>5</v>
      </c>
      <c r="J1137" t="b">
        <f>AND(CCData[[#This Row],[Date]]&gt;=Calculation!$E$3,CCData[[#This Row],[Date]]&lt;Calculation!$E$3+7)</f>
        <v>0</v>
      </c>
    </row>
    <row r="1138" spans="1:10">
      <c r="A1138" t="s">
        <v>1137</v>
      </c>
      <c r="B1138" s="2">
        <v>42025.413999999997</v>
      </c>
      <c r="C1138" s="3" t="s">
        <v>5009</v>
      </c>
      <c r="D1138" t="s">
        <v>5012</v>
      </c>
      <c r="E1138" t="s">
        <v>5018</v>
      </c>
      <c r="F1138" t="s">
        <v>5018</v>
      </c>
      <c r="G1138">
        <v>57</v>
      </c>
      <c r="H1138" s="5">
        <v>3.7529077660481695E-3</v>
      </c>
      <c r="I1138">
        <v>3</v>
      </c>
      <c r="J1138" t="b">
        <f>AND(CCData[[#This Row],[Date]]&gt;=Calculation!$E$3,CCData[[#This Row],[Date]]&lt;Calculation!$E$3+7)</f>
        <v>0</v>
      </c>
    </row>
    <row r="1139" spans="1:10">
      <c r="A1139" t="s">
        <v>1138</v>
      </c>
      <c r="B1139" s="2">
        <v>42025.413999999997</v>
      </c>
      <c r="C1139" s="3" t="s">
        <v>5003</v>
      </c>
      <c r="D1139" t="s">
        <v>5015</v>
      </c>
      <c r="E1139" t="s">
        <v>5018</v>
      </c>
      <c r="F1139" t="s">
        <v>5018</v>
      </c>
      <c r="G1139">
        <v>82</v>
      </c>
      <c r="H1139" s="5">
        <v>3.3862558387387763E-3</v>
      </c>
      <c r="I1139">
        <v>4</v>
      </c>
      <c r="J1139" t="b">
        <f>AND(CCData[[#This Row],[Date]]&gt;=Calculation!$E$3,CCData[[#This Row],[Date]]&lt;Calculation!$E$3+7)</f>
        <v>0</v>
      </c>
    </row>
    <row r="1140" spans="1:10">
      <c r="A1140" t="s">
        <v>1139</v>
      </c>
      <c r="B1140" s="2">
        <v>42025.427000000003</v>
      </c>
      <c r="C1140" s="3" t="s">
        <v>5007</v>
      </c>
      <c r="D1140" t="s">
        <v>5012</v>
      </c>
      <c r="E1140" t="s">
        <v>5018</v>
      </c>
      <c r="F1140" t="s">
        <v>5018</v>
      </c>
      <c r="G1140">
        <v>73</v>
      </c>
      <c r="H1140" s="5">
        <v>2.2315155930603169E-3</v>
      </c>
      <c r="I1140">
        <v>1</v>
      </c>
      <c r="J1140" t="b">
        <f>AND(CCData[[#This Row],[Date]]&gt;=Calculation!$E$3,CCData[[#This Row],[Date]]&lt;Calculation!$E$3+7)</f>
        <v>0</v>
      </c>
    </row>
    <row r="1141" spans="1:10">
      <c r="A1141" t="s">
        <v>1140</v>
      </c>
      <c r="B1141" s="2">
        <v>42025.427000000003</v>
      </c>
      <c r="C1141" s="3" t="s">
        <v>5007</v>
      </c>
      <c r="D1141" t="s">
        <v>5013</v>
      </c>
      <c r="E1141" t="s">
        <v>5018</v>
      </c>
      <c r="F1141" t="s">
        <v>5018</v>
      </c>
      <c r="G1141">
        <v>110</v>
      </c>
      <c r="H1141" s="5">
        <v>1.5121905869158374E-3</v>
      </c>
      <c r="I1141">
        <v>5</v>
      </c>
      <c r="J1141" t="b">
        <f>AND(CCData[[#This Row],[Date]]&gt;=Calculation!$E$3,CCData[[#This Row],[Date]]&lt;Calculation!$E$3+7)</f>
        <v>0</v>
      </c>
    </row>
    <row r="1142" spans="1:10">
      <c r="A1142" t="s">
        <v>1141</v>
      </c>
      <c r="B1142" s="2">
        <v>42025.43</v>
      </c>
      <c r="C1142" s="3" t="s">
        <v>5009</v>
      </c>
      <c r="D1142" t="s">
        <v>5015</v>
      </c>
      <c r="E1142" t="s">
        <v>5018</v>
      </c>
      <c r="F1142" t="s">
        <v>5018</v>
      </c>
      <c r="G1142">
        <v>106</v>
      </c>
      <c r="H1142" s="5">
        <v>1.261035255864452E-3</v>
      </c>
      <c r="I1142">
        <v>5</v>
      </c>
      <c r="J1142" t="b">
        <f>AND(CCData[[#This Row],[Date]]&gt;=Calculation!$E$3,CCData[[#This Row],[Date]]&lt;Calculation!$E$3+7)</f>
        <v>0</v>
      </c>
    </row>
    <row r="1143" spans="1:10">
      <c r="A1143" t="s">
        <v>1142</v>
      </c>
      <c r="B1143" s="2">
        <v>42025.43</v>
      </c>
      <c r="C1143" s="3" t="s">
        <v>5007</v>
      </c>
      <c r="D1143" t="s">
        <v>5016</v>
      </c>
      <c r="E1143" t="s">
        <v>5018</v>
      </c>
      <c r="F1143" t="s">
        <v>5018</v>
      </c>
      <c r="G1143">
        <v>92</v>
      </c>
      <c r="H1143" s="5">
        <v>1.5364325799901689E-3</v>
      </c>
      <c r="I1143">
        <v>4</v>
      </c>
      <c r="J1143" t="b">
        <f>AND(CCData[[#This Row],[Date]]&gt;=Calculation!$E$3,CCData[[#This Row],[Date]]&lt;Calculation!$E$3+7)</f>
        <v>0</v>
      </c>
    </row>
    <row r="1144" spans="1:10">
      <c r="A1144" t="s">
        <v>1143</v>
      </c>
      <c r="B1144" s="2">
        <v>42025.434000000001</v>
      </c>
      <c r="C1144" s="3" t="s">
        <v>5006</v>
      </c>
      <c r="D1144" t="s">
        <v>5016</v>
      </c>
      <c r="E1144" t="s">
        <v>5018</v>
      </c>
      <c r="F1144" t="s">
        <v>5018</v>
      </c>
      <c r="G1144">
        <v>28</v>
      </c>
      <c r="H1144" s="5">
        <v>4.1714441511690563E-3</v>
      </c>
      <c r="I1144">
        <v>4</v>
      </c>
      <c r="J1144" t="b">
        <f>AND(CCData[[#This Row],[Date]]&gt;=Calculation!$E$3,CCData[[#This Row],[Date]]&lt;Calculation!$E$3+7)</f>
        <v>0</v>
      </c>
    </row>
    <row r="1145" spans="1:10">
      <c r="A1145" t="s">
        <v>1144</v>
      </c>
      <c r="B1145" s="2">
        <v>42025.434000000001</v>
      </c>
      <c r="C1145" s="3" t="s">
        <v>5009</v>
      </c>
      <c r="D1145" t="s">
        <v>5012</v>
      </c>
      <c r="E1145" t="s">
        <v>5018</v>
      </c>
      <c r="F1145" t="s">
        <v>5018</v>
      </c>
      <c r="G1145">
        <v>108</v>
      </c>
      <c r="H1145" s="5">
        <v>4.1954112143018944E-3</v>
      </c>
      <c r="I1145">
        <v>1</v>
      </c>
      <c r="J1145" t="b">
        <f>AND(CCData[[#This Row],[Date]]&gt;=Calculation!$E$3,CCData[[#This Row],[Date]]&lt;Calculation!$E$3+7)</f>
        <v>0</v>
      </c>
    </row>
    <row r="1146" spans="1:10">
      <c r="A1146" t="s">
        <v>1145</v>
      </c>
      <c r="B1146" s="2">
        <v>42025.453999999998</v>
      </c>
      <c r="C1146" s="3" t="s">
        <v>5004</v>
      </c>
      <c r="D1146" t="s">
        <v>5016</v>
      </c>
      <c r="E1146" t="s">
        <v>5018</v>
      </c>
      <c r="F1146" t="s">
        <v>5018</v>
      </c>
      <c r="G1146">
        <v>57</v>
      </c>
      <c r="H1146" s="5">
        <v>1.2372761907050174E-3</v>
      </c>
      <c r="I1146">
        <v>4</v>
      </c>
      <c r="J1146" t="b">
        <f>AND(CCData[[#This Row],[Date]]&gt;=Calculation!$E$3,CCData[[#This Row],[Date]]&lt;Calculation!$E$3+7)</f>
        <v>0</v>
      </c>
    </row>
    <row r="1147" spans="1:10">
      <c r="A1147" t="s">
        <v>1146</v>
      </c>
      <c r="B1147" s="2">
        <v>42025.453999999998</v>
      </c>
      <c r="C1147" s="3" t="s">
        <v>5009</v>
      </c>
      <c r="D1147" t="s">
        <v>5012</v>
      </c>
      <c r="E1147" t="s">
        <v>5018</v>
      </c>
      <c r="F1147" t="s">
        <v>5018</v>
      </c>
      <c r="G1147">
        <v>109</v>
      </c>
      <c r="H1147" s="5">
        <v>4.1232095438557166E-3</v>
      </c>
      <c r="I1147">
        <v>3</v>
      </c>
      <c r="J1147" t="b">
        <f>AND(CCData[[#This Row],[Date]]&gt;=Calculation!$E$3,CCData[[#This Row],[Date]]&lt;Calculation!$E$3+7)</f>
        <v>0</v>
      </c>
    </row>
    <row r="1148" spans="1:10">
      <c r="A1148" t="s">
        <v>1147</v>
      </c>
      <c r="B1148" s="2">
        <v>42025.457999999999</v>
      </c>
      <c r="C1148" s="3" t="s">
        <v>5006</v>
      </c>
      <c r="D1148" t="s">
        <v>5012</v>
      </c>
      <c r="E1148" t="s">
        <v>5018</v>
      </c>
      <c r="F1148" t="s">
        <v>5018</v>
      </c>
      <c r="G1148">
        <v>55</v>
      </c>
      <c r="H1148" s="5">
        <v>1.1259534874804302E-3</v>
      </c>
      <c r="I1148">
        <v>2</v>
      </c>
      <c r="J1148" t="b">
        <f>AND(CCData[[#This Row],[Date]]&gt;=Calculation!$E$3,CCData[[#This Row],[Date]]&lt;Calculation!$E$3+7)</f>
        <v>0</v>
      </c>
    </row>
    <row r="1149" spans="1:10">
      <c r="A1149" t="s">
        <v>1148</v>
      </c>
      <c r="B1149" s="2">
        <v>42025.457999999999</v>
      </c>
      <c r="C1149" s="3" t="s">
        <v>5009</v>
      </c>
      <c r="D1149" t="s">
        <v>5013</v>
      </c>
      <c r="E1149" t="s">
        <v>5019</v>
      </c>
      <c r="F1149" t="s">
        <v>5019</v>
      </c>
      <c r="G1149" t="s">
        <v>5022</v>
      </c>
      <c r="H1149" s="5" t="s">
        <v>5022</v>
      </c>
      <c r="I1149" t="s">
        <v>5022</v>
      </c>
      <c r="J1149" t="b">
        <f>AND(CCData[[#This Row],[Date]]&gt;=Calculation!$E$3,CCData[[#This Row],[Date]]&lt;Calculation!$E$3+7)</f>
        <v>0</v>
      </c>
    </row>
    <row r="1150" spans="1:10">
      <c r="A1150" t="s">
        <v>1149</v>
      </c>
      <c r="B1150" s="2">
        <v>42025.468999999997</v>
      </c>
      <c r="C1150" s="3" t="s">
        <v>5010</v>
      </c>
      <c r="D1150" t="s">
        <v>5014</v>
      </c>
      <c r="E1150" t="s">
        <v>5018</v>
      </c>
      <c r="F1150" t="s">
        <v>5018</v>
      </c>
      <c r="G1150">
        <v>68</v>
      </c>
      <c r="H1150" s="5">
        <v>4.7757732509042883E-3</v>
      </c>
      <c r="I1150">
        <v>1</v>
      </c>
      <c r="J1150" t="b">
        <f>AND(CCData[[#This Row],[Date]]&gt;=Calculation!$E$3,CCData[[#This Row],[Date]]&lt;Calculation!$E$3+7)</f>
        <v>0</v>
      </c>
    </row>
    <row r="1151" spans="1:10">
      <c r="A1151" t="s">
        <v>1150</v>
      </c>
      <c r="B1151" s="2">
        <v>42025.468999999997</v>
      </c>
      <c r="C1151" s="3" t="s">
        <v>5007</v>
      </c>
      <c r="D1151" t="s">
        <v>5015</v>
      </c>
      <c r="E1151" t="s">
        <v>5018</v>
      </c>
      <c r="F1151" t="s">
        <v>5019</v>
      </c>
      <c r="G1151">
        <v>46</v>
      </c>
      <c r="H1151" s="5">
        <v>3.9551089911251086E-4</v>
      </c>
      <c r="I1151">
        <v>3</v>
      </c>
      <c r="J1151" t="b">
        <f>AND(CCData[[#This Row],[Date]]&gt;=Calculation!$E$3,CCData[[#This Row],[Date]]&lt;Calculation!$E$3+7)</f>
        <v>0</v>
      </c>
    </row>
    <row r="1152" spans="1:10">
      <c r="A1152" t="s">
        <v>1151</v>
      </c>
      <c r="B1152" s="2">
        <v>42025.502</v>
      </c>
      <c r="C1152" s="3" t="s">
        <v>5007</v>
      </c>
      <c r="D1152" t="s">
        <v>5013</v>
      </c>
      <c r="E1152" t="s">
        <v>5018</v>
      </c>
      <c r="F1152" t="s">
        <v>5018</v>
      </c>
      <c r="G1152">
        <v>30</v>
      </c>
      <c r="H1152" s="5">
        <v>3.4549812178760147E-3</v>
      </c>
      <c r="I1152">
        <v>3</v>
      </c>
      <c r="J1152" t="b">
        <f>AND(CCData[[#This Row],[Date]]&gt;=Calculation!$E$3,CCData[[#This Row],[Date]]&lt;Calculation!$E$3+7)</f>
        <v>0</v>
      </c>
    </row>
    <row r="1153" spans="1:10">
      <c r="A1153" t="s">
        <v>1152</v>
      </c>
      <c r="B1153" s="2">
        <v>42025.502</v>
      </c>
      <c r="C1153" s="3" t="s">
        <v>5009</v>
      </c>
      <c r="D1153" t="s">
        <v>5015</v>
      </c>
      <c r="E1153" t="s">
        <v>5018</v>
      </c>
      <c r="F1153" t="s">
        <v>5018</v>
      </c>
      <c r="G1153">
        <v>107</v>
      </c>
      <c r="H1153" s="5">
        <v>5.7693148908933678E-4</v>
      </c>
      <c r="I1153">
        <v>4</v>
      </c>
      <c r="J1153" t="b">
        <f>AND(CCData[[#This Row],[Date]]&gt;=Calculation!$E$3,CCData[[#This Row],[Date]]&lt;Calculation!$E$3+7)</f>
        <v>0</v>
      </c>
    </row>
    <row r="1154" spans="1:10">
      <c r="A1154" t="s">
        <v>1153</v>
      </c>
      <c r="B1154" s="2">
        <v>42025.502</v>
      </c>
      <c r="C1154" s="3" t="s">
        <v>5006</v>
      </c>
      <c r="D1154" t="s">
        <v>5013</v>
      </c>
      <c r="E1154" t="s">
        <v>5018</v>
      </c>
      <c r="F1154" t="s">
        <v>5018</v>
      </c>
      <c r="G1154">
        <v>122</v>
      </c>
      <c r="H1154" s="5">
        <v>4.4544187771245591E-3</v>
      </c>
      <c r="I1154">
        <v>5</v>
      </c>
      <c r="J1154" t="b">
        <f>AND(CCData[[#This Row],[Date]]&gt;=Calculation!$E$3,CCData[[#This Row],[Date]]&lt;Calculation!$E$3+7)</f>
        <v>0</v>
      </c>
    </row>
    <row r="1155" spans="1:10">
      <c r="A1155" t="s">
        <v>1154</v>
      </c>
      <c r="B1155" s="2">
        <v>42025.502</v>
      </c>
      <c r="C1155" s="3" t="s">
        <v>5009</v>
      </c>
      <c r="D1155" t="s">
        <v>5015</v>
      </c>
      <c r="E1155" t="s">
        <v>5019</v>
      </c>
      <c r="F1155" t="s">
        <v>5019</v>
      </c>
      <c r="G1155" t="s">
        <v>5022</v>
      </c>
      <c r="H1155" s="5" t="s">
        <v>5022</v>
      </c>
      <c r="I1155" t="s">
        <v>5022</v>
      </c>
      <c r="J1155" t="b">
        <f>AND(CCData[[#This Row],[Date]]&gt;=Calculation!$E$3,CCData[[#This Row],[Date]]&lt;Calculation!$E$3+7)</f>
        <v>0</v>
      </c>
    </row>
    <row r="1156" spans="1:10">
      <c r="A1156" t="s">
        <v>1155</v>
      </c>
      <c r="B1156" s="2">
        <v>42025.504999999997</v>
      </c>
      <c r="C1156" s="3" t="s">
        <v>5005</v>
      </c>
      <c r="D1156" t="s">
        <v>5013</v>
      </c>
      <c r="E1156" t="s">
        <v>5018</v>
      </c>
      <c r="F1156" t="s">
        <v>5018</v>
      </c>
      <c r="G1156">
        <v>18</v>
      </c>
      <c r="H1156" s="5">
        <v>4.2723622787432954E-4</v>
      </c>
      <c r="I1156">
        <v>5</v>
      </c>
      <c r="J1156" t="b">
        <f>AND(CCData[[#This Row],[Date]]&gt;=Calculation!$E$3,CCData[[#This Row],[Date]]&lt;Calculation!$E$3+7)</f>
        <v>0</v>
      </c>
    </row>
    <row r="1157" spans="1:10">
      <c r="A1157" t="s">
        <v>1156</v>
      </c>
      <c r="B1157" s="2">
        <v>42025.504999999997</v>
      </c>
      <c r="C1157" s="3" t="s">
        <v>5008</v>
      </c>
      <c r="D1157" t="s">
        <v>5016</v>
      </c>
      <c r="E1157" t="s">
        <v>5019</v>
      </c>
      <c r="F1157" t="s">
        <v>5019</v>
      </c>
      <c r="G1157" t="s">
        <v>5022</v>
      </c>
      <c r="H1157" s="5" t="s">
        <v>5022</v>
      </c>
      <c r="I1157" t="s">
        <v>5022</v>
      </c>
      <c r="J1157" t="b">
        <f>AND(CCData[[#This Row],[Date]]&gt;=Calculation!$E$3,CCData[[#This Row],[Date]]&lt;Calculation!$E$3+7)</f>
        <v>0</v>
      </c>
    </row>
    <row r="1158" spans="1:10">
      <c r="A1158" t="s">
        <v>1157</v>
      </c>
      <c r="B1158" s="2">
        <v>42025.658000000003</v>
      </c>
      <c r="C1158" s="3" t="s">
        <v>5008</v>
      </c>
      <c r="D1158" t="s">
        <v>5014</v>
      </c>
      <c r="E1158" t="s">
        <v>5019</v>
      </c>
      <c r="F1158" t="s">
        <v>5019</v>
      </c>
      <c r="G1158" t="s">
        <v>5022</v>
      </c>
      <c r="H1158" s="5" t="s">
        <v>5022</v>
      </c>
      <c r="I1158" t="s">
        <v>5022</v>
      </c>
      <c r="J1158" t="b">
        <f>AND(CCData[[#This Row],[Date]]&gt;=Calculation!$E$3,CCData[[#This Row],[Date]]&lt;Calculation!$E$3+7)</f>
        <v>0</v>
      </c>
    </row>
    <row r="1159" spans="1:10">
      <c r="A1159" t="s">
        <v>1158</v>
      </c>
      <c r="B1159" s="2">
        <v>42025.658000000003</v>
      </c>
      <c r="C1159" s="3" t="s">
        <v>5008</v>
      </c>
      <c r="D1159" t="s">
        <v>5013</v>
      </c>
      <c r="E1159" t="s">
        <v>5019</v>
      </c>
      <c r="F1159" t="s">
        <v>5019</v>
      </c>
      <c r="G1159" t="s">
        <v>5022</v>
      </c>
      <c r="H1159" s="5" t="s">
        <v>5022</v>
      </c>
      <c r="I1159" t="s">
        <v>5022</v>
      </c>
      <c r="J1159" t="b">
        <f>AND(CCData[[#This Row],[Date]]&gt;=Calculation!$E$3,CCData[[#This Row],[Date]]&lt;Calculation!$E$3+7)</f>
        <v>0</v>
      </c>
    </row>
    <row r="1160" spans="1:10">
      <c r="A1160" t="s">
        <v>1159</v>
      </c>
      <c r="B1160" s="2">
        <v>42025.659</v>
      </c>
      <c r="C1160" s="3" t="s">
        <v>5009</v>
      </c>
      <c r="D1160" t="s">
        <v>5013</v>
      </c>
      <c r="E1160" t="s">
        <v>5019</v>
      </c>
      <c r="F1160" t="s">
        <v>5019</v>
      </c>
      <c r="G1160" t="s">
        <v>5022</v>
      </c>
      <c r="H1160" s="5" t="s">
        <v>5022</v>
      </c>
      <c r="I1160" t="s">
        <v>5022</v>
      </c>
      <c r="J1160" t="b">
        <f>AND(CCData[[#This Row],[Date]]&gt;=Calculation!$E$3,CCData[[#This Row],[Date]]&lt;Calculation!$E$3+7)</f>
        <v>0</v>
      </c>
    </row>
    <row r="1161" spans="1:10">
      <c r="A1161" t="s">
        <v>1160</v>
      </c>
      <c r="B1161" s="2">
        <v>42025.659</v>
      </c>
      <c r="C1161" s="3" t="s">
        <v>5005</v>
      </c>
      <c r="D1161" t="s">
        <v>5016</v>
      </c>
      <c r="E1161" t="s">
        <v>5018</v>
      </c>
      <c r="F1161" t="s">
        <v>5018</v>
      </c>
      <c r="G1161">
        <v>99</v>
      </c>
      <c r="H1161" s="5">
        <v>1.5494426243246318E-3</v>
      </c>
      <c r="I1161">
        <v>4</v>
      </c>
      <c r="J1161" t="b">
        <f>AND(CCData[[#This Row],[Date]]&gt;=Calculation!$E$3,CCData[[#This Row],[Date]]&lt;Calculation!$E$3+7)</f>
        <v>0</v>
      </c>
    </row>
    <row r="1162" spans="1:10">
      <c r="A1162" t="s">
        <v>1161</v>
      </c>
      <c r="B1162" s="2">
        <v>42025.669000000002</v>
      </c>
      <c r="C1162" s="3" t="s">
        <v>5010</v>
      </c>
      <c r="D1162" t="s">
        <v>5012</v>
      </c>
      <c r="E1162" t="s">
        <v>5018</v>
      </c>
      <c r="F1162" t="s">
        <v>5018</v>
      </c>
      <c r="G1162">
        <v>52</v>
      </c>
      <c r="H1162" s="5">
        <v>1.2413302587727406E-3</v>
      </c>
      <c r="I1162">
        <v>2</v>
      </c>
      <c r="J1162" t="b">
        <f>AND(CCData[[#This Row],[Date]]&gt;=Calculation!$E$3,CCData[[#This Row],[Date]]&lt;Calculation!$E$3+7)</f>
        <v>0</v>
      </c>
    </row>
    <row r="1163" spans="1:10">
      <c r="A1163" t="s">
        <v>1162</v>
      </c>
      <c r="B1163" s="2">
        <v>42025.669000000002</v>
      </c>
      <c r="C1163" s="3" t="s">
        <v>5009</v>
      </c>
      <c r="D1163" t="s">
        <v>5015</v>
      </c>
      <c r="E1163" t="s">
        <v>5019</v>
      </c>
      <c r="F1163" t="s">
        <v>5019</v>
      </c>
      <c r="G1163" t="s">
        <v>5022</v>
      </c>
      <c r="H1163" s="5" t="s">
        <v>5022</v>
      </c>
      <c r="I1163" t="s">
        <v>5022</v>
      </c>
      <c r="J1163" t="b">
        <f>AND(CCData[[#This Row],[Date]]&gt;=Calculation!$E$3,CCData[[#This Row],[Date]]&lt;Calculation!$E$3+7)</f>
        <v>0</v>
      </c>
    </row>
    <row r="1164" spans="1:10">
      <c r="A1164" t="s">
        <v>1163</v>
      </c>
      <c r="B1164" s="2">
        <v>42025.680999999997</v>
      </c>
      <c r="C1164" s="3" t="s">
        <v>5004</v>
      </c>
      <c r="D1164" t="s">
        <v>5014</v>
      </c>
      <c r="E1164" t="s">
        <v>5019</v>
      </c>
      <c r="F1164" t="s">
        <v>5019</v>
      </c>
      <c r="G1164" t="s">
        <v>5022</v>
      </c>
      <c r="H1164" s="5" t="s">
        <v>5022</v>
      </c>
      <c r="I1164" t="s">
        <v>5022</v>
      </c>
      <c r="J1164" t="b">
        <f>AND(CCData[[#This Row],[Date]]&gt;=Calculation!$E$3,CCData[[#This Row],[Date]]&lt;Calculation!$E$3+7)</f>
        <v>0</v>
      </c>
    </row>
    <row r="1165" spans="1:10">
      <c r="A1165" t="s">
        <v>1164</v>
      </c>
      <c r="B1165" s="2">
        <v>42025.680999999997</v>
      </c>
      <c r="C1165" s="3" t="s">
        <v>5007</v>
      </c>
      <c r="D1165" t="s">
        <v>5012</v>
      </c>
      <c r="E1165" t="s">
        <v>5018</v>
      </c>
      <c r="F1165" t="s">
        <v>5018</v>
      </c>
      <c r="G1165">
        <v>79</v>
      </c>
      <c r="H1165" s="5">
        <v>5.438843954059878E-4</v>
      </c>
      <c r="I1165">
        <v>3</v>
      </c>
      <c r="J1165" t="b">
        <f>AND(CCData[[#This Row],[Date]]&gt;=Calculation!$E$3,CCData[[#This Row],[Date]]&lt;Calculation!$E$3+7)</f>
        <v>0</v>
      </c>
    </row>
    <row r="1166" spans="1:10">
      <c r="A1166" t="s">
        <v>1165</v>
      </c>
      <c r="B1166" s="2">
        <v>42025.686999999998</v>
      </c>
      <c r="C1166" s="3" t="s">
        <v>5009</v>
      </c>
      <c r="D1166" t="s">
        <v>5016</v>
      </c>
      <c r="E1166" t="s">
        <v>5018</v>
      </c>
      <c r="F1166" t="s">
        <v>5018</v>
      </c>
      <c r="G1166">
        <v>112</v>
      </c>
      <c r="H1166" s="5">
        <v>1.9834091860252883E-3</v>
      </c>
      <c r="I1166">
        <v>5</v>
      </c>
      <c r="J1166" t="b">
        <f>AND(CCData[[#This Row],[Date]]&gt;=Calculation!$E$3,CCData[[#This Row],[Date]]&lt;Calculation!$E$3+7)</f>
        <v>0</v>
      </c>
    </row>
    <row r="1167" spans="1:10">
      <c r="A1167" t="s">
        <v>1166</v>
      </c>
      <c r="B1167" s="2">
        <v>42025.686999999998</v>
      </c>
      <c r="C1167" s="3" t="s">
        <v>5003</v>
      </c>
      <c r="D1167" t="s">
        <v>5014</v>
      </c>
      <c r="E1167" t="s">
        <v>5018</v>
      </c>
      <c r="F1167" t="s">
        <v>5018</v>
      </c>
      <c r="G1167">
        <v>16</v>
      </c>
      <c r="H1167" s="5">
        <v>3.047397530032091E-3</v>
      </c>
      <c r="I1167">
        <v>3</v>
      </c>
      <c r="J1167" t="b">
        <f>AND(CCData[[#This Row],[Date]]&gt;=Calculation!$E$3,CCData[[#This Row],[Date]]&lt;Calculation!$E$3+7)</f>
        <v>0</v>
      </c>
    </row>
    <row r="1168" spans="1:10">
      <c r="A1168" t="s">
        <v>1167</v>
      </c>
      <c r="B1168" s="2">
        <v>42025.699000000001</v>
      </c>
      <c r="C1168" s="3" t="s">
        <v>5008</v>
      </c>
      <c r="D1168" t="s">
        <v>5012</v>
      </c>
      <c r="E1168" t="s">
        <v>5018</v>
      </c>
      <c r="F1168" t="s">
        <v>5018</v>
      </c>
      <c r="G1168">
        <v>22</v>
      </c>
      <c r="H1168" s="5">
        <v>4.8331256962553387E-3</v>
      </c>
      <c r="I1168">
        <v>3</v>
      </c>
      <c r="J1168" t="b">
        <f>AND(CCData[[#This Row],[Date]]&gt;=Calculation!$E$3,CCData[[#This Row],[Date]]&lt;Calculation!$E$3+7)</f>
        <v>0</v>
      </c>
    </row>
    <row r="1169" spans="1:10">
      <c r="A1169" t="s">
        <v>1168</v>
      </c>
      <c r="B1169" s="2">
        <v>42025.699000000001</v>
      </c>
      <c r="C1169" s="3" t="s">
        <v>5010</v>
      </c>
      <c r="D1169" t="s">
        <v>5012</v>
      </c>
      <c r="E1169" t="s">
        <v>5018</v>
      </c>
      <c r="F1169" t="s">
        <v>5018</v>
      </c>
      <c r="G1169">
        <v>115</v>
      </c>
      <c r="H1169" s="5">
        <v>9.8123054409585066E-4</v>
      </c>
      <c r="I1169">
        <v>1</v>
      </c>
      <c r="J1169" t="b">
        <f>AND(CCData[[#This Row],[Date]]&gt;=Calculation!$E$3,CCData[[#This Row],[Date]]&lt;Calculation!$E$3+7)</f>
        <v>0</v>
      </c>
    </row>
    <row r="1170" spans="1:10">
      <c r="A1170" t="s">
        <v>1169</v>
      </c>
      <c r="B1170" s="2">
        <v>42025.716</v>
      </c>
      <c r="C1170" s="3" t="s">
        <v>5010</v>
      </c>
      <c r="D1170" t="s">
        <v>5013</v>
      </c>
      <c r="E1170" t="s">
        <v>5018</v>
      </c>
      <c r="F1170" t="s">
        <v>5018</v>
      </c>
      <c r="G1170">
        <v>125</v>
      </c>
      <c r="H1170" s="5">
        <v>3.2070150115108718E-3</v>
      </c>
      <c r="I1170">
        <v>4</v>
      </c>
      <c r="J1170" t="b">
        <f>AND(CCData[[#This Row],[Date]]&gt;=Calculation!$E$3,CCData[[#This Row],[Date]]&lt;Calculation!$E$3+7)</f>
        <v>0</v>
      </c>
    </row>
    <row r="1171" spans="1:10">
      <c r="A1171" t="s">
        <v>1170</v>
      </c>
      <c r="B1171" s="2">
        <v>42025.716</v>
      </c>
      <c r="C1171" s="3" t="s">
        <v>5009</v>
      </c>
      <c r="D1171" t="s">
        <v>5014</v>
      </c>
      <c r="E1171" t="s">
        <v>5018</v>
      </c>
      <c r="F1171" t="s">
        <v>5018</v>
      </c>
      <c r="G1171">
        <v>68</v>
      </c>
      <c r="H1171" s="5">
        <v>3.5461302549695106E-3</v>
      </c>
      <c r="I1171">
        <v>3</v>
      </c>
      <c r="J1171" t="b">
        <f>AND(CCData[[#This Row],[Date]]&gt;=Calculation!$E$3,CCData[[#This Row],[Date]]&lt;Calculation!$E$3+7)</f>
        <v>0</v>
      </c>
    </row>
    <row r="1172" spans="1:10">
      <c r="A1172" t="s">
        <v>1171</v>
      </c>
      <c r="B1172" s="2">
        <v>42025.726999999999</v>
      </c>
      <c r="C1172" s="3" t="s">
        <v>5007</v>
      </c>
      <c r="D1172" t="s">
        <v>5013</v>
      </c>
      <c r="E1172" t="s">
        <v>5018</v>
      </c>
      <c r="F1172" t="s">
        <v>5018</v>
      </c>
      <c r="G1172">
        <v>44</v>
      </c>
      <c r="H1172" s="5">
        <v>8.7391440316392894E-4</v>
      </c>
      <c r="I1172">
        <v>4</v>
      </c>
      <c r="J1172" t="b">
        <f>AND(CCData[[#This Row],[Date]]&gt;=Calculation!$E$3,CCData[[#This Row],[Date]]&lt;Calculation!$E$3+7)</f>
        <v>0</v>
      </c>
    </row>
    <row r="1173" spans="1:10">
      <c r="A1173" t="s">
        <v>1172</v>
      </c>
      <c r="B1173" s="2">
        <v>42025.726999999999</v>
      </c>
      <c r="C1173" s="3" t="s">
        <v>5004</v>
      </c>
      <c r="D1173" t="s">
        <v>5013</v>
      </c>
      <c r="E1173" t="s">
        <v>5019</v>
      </c>
      <c r="F1173" t="s">
        <v>5019</v>
      </c>
      <c r="G1173" t="s">
        <v>5022</v>
      </c>
      <c r="H1173" s="5" t="s">
        <v>5022</v>
      </c>
      <c r="I1173" t="s">
        <v>5022</v>
      </c>
      <c r="J1173" t="b">
        <f>AND(CCData[[#This Row],[Date]]&gt;=Calculation!$E$3,CCData[[#This Row],[Date]]&lt;Calculation!$E$3+7)</f>
        <v>0</v>
      </c>
    </row>
    <row r="1174" spans="1:10">
      <c r="A1174" t="s">
        <v>1173</v>
      </c>
      <c r="B1174" s="2">
        <v>42025.726999999999</v>
      </c>
      <c r="C1174" s="3" t="s">
        <v>5005</v>
      </c>
      <c r="D1174" t="s">
        <v>5016</v>
      </c>
      <c r="E1174" t="s">
        <v>5018</v>
      </c>
      <c r="F1174" t="s">
        <v>5018</v>
      </c>
      <c r="G1174">
        <v>119</v>
      </c>
      <c r="H1174" s="5">
        <v>4.8429974334104816E-4</v>
      </c>
      <c r="I1174">
        <v>4</v>
      </c>
      <c r="J1174" t="b">
        <f>AND(CCData[[#This Row],[Date]]&gt;=Calculation!$E$3,CCData[[#This Row],[Date]]&lt;Calculation!$E$3+7)</f>
        <v>0</v>
      </c>
    </row>
    <row r="1175" spans="1:10">
      <c r="A1175" t="s">
        <v>1174</v>
      </c>
      <c r="B1175" s="2">
        <v>42025.726999999999</v>
      </c>
      <c r="C1175" s="3" t="s">
        <v>5009</v>
      </c>
      <c r="D1175" t="s">
        <v>5016</v>
      </c>
      <c r="E1175" t="s">
        <v>5018</v>
      </c>
      <c r="F1175" t="s">
        <v>5018</v>
      </c>
      <c r="G1175">
        <v>62</v>
      </c>
      <c r="H1175" s="5">
        <v>6.28291639839382E-4</v>
      </c>
      <c r="I1175">
        <v>5</v>
      </c>
      <c r="J1175" t="b">
        <f>AND(CCData[[#This Row],[Date]]&gt;=Calculation!$E$3,CCData[[#This Row],[Date]]&lt;Calculation!$E$3+7)</f>
        <v>0</v>
      </c>
    </row>
    <row r="1176" spans="1:10">
      <c r="A1176" t="s">
        <v>1175</v>
      </c>
      <c r="B1176" s="2">
        <v>42025.726999999999</v>
      </c>
      <c r="C1176" s="3" t="s">
        <v>5006</v>
      </c>
      <c r="D1176" t="s">
        <v>5016</v>
      </c>
      <c r="E1176" t="s">
        <v>5018</v>
      </c>
      <c r="F1176" t="s">
        <v>5018</v>
      </c>
      <c r="G1176">
        <v>84</v>
      </c>
      <c r="H1176" s="5">
        <v>4.2159874160173525E-3</v>
      </c>
      <c r="I1176">
        <v>5</v>
      </c>
      <c r="J1176" t="b">
        <f>AND(CCData[[#This Row],[Date]]&gt;=Calculation!$E$3,CCData[[#This Row],[Date]]&lt;Calculation!$E$3+7)</f>
        <v>0</v>
      </c>
    </row>
    <row r="1177" spans="1:10">
      <c r="A1177" t="s">
        <v>1176</v>
      </c>
      <c r="B1177" s="2">
        <v>42025.726999999999</v>
      </c>
      <c r="C1177" s="3" t="s">
        <v>5009</v>
      </c>
      <c r="D1177" t="s">
        <v>5013</v>
      </c>
      <c r="E1177" t="s">
        <v>5019</v>
      </c>
      <c r="F1177" t="s">
        <v>5019</v>
      </c>
      <c r="G1177" t="s">
        <v>5022</v>
      </c>
      <c r="H1177" s="5" t="s">
        <v>5022</v>
      </c>
      <c r="I1177" t="s">
        <v>5022</v>
      </c>
      <c r="J1177" t="b">
        <f>AND(CCData[[#This Row],[Date]]&gt;=Calculation!$E$3,CCData[[#This Row],[Date]]&lt;Calculation!$E$3+7)</f>
        <v>0</v>
      </c>
    </row>
    <row r="1178" spans="1:10">
      <c r="A1178" t="s">
        <v>1177</v>
      </c>
      <c r="B1178" s="2">
        <v>42025.733999999997</v>
      </c>
      <c r="C1178" s="3" t="s">
        <v>5006</v>
      </c>
      <c r="D1178" t="s">
        <v>5016</v>
      </c>
      <c r="E1178" t="s">
        <v>5018</v>
      </c>
      <c r="F1178" t="s">
        <v>5018</v>
      </c>
      <c r="G1178">
        <v>75</v>
      </c>
      <c r="H1178" s="5">
        <v>4.4884619914817942E-3</v>
      </c>
      <c r="I1178">
        <v>4</v>
      </c>
      <c r="J1178" t="b">
        <f>AND(CCData[[#This Row],[Date]]&gt;=Calculation!$E$3,CCData[[#This Row],[Date]]&lt;Calculation!$E$3+7)</f>
        <v>0</v>
      </c>
    </row>
    <row r="1179" spans="1:10">
      <c r="A1179" t="s">
        <v>1178</v>
      </c>
      <c r="B1179" s="2">
        <v>42025.733999999997</v>
      </c>
      <c r="C1179" s="3" t="s">
        <v>5009</v>
      </c>
      <c r="D1179" t="s">
        <v>5014</v>
      </c>
      <c r="E1179" t="s">
        <v>5018</v>
      </c>
      <c r="F1179" t="s">
        <v>5018</v>
      </c>
      <c r="G1179">
        <v>114</v>
      </c>
      <c r="H1179" s="5">
        <v>2.0193970266129862E-3</v>
      </c>
      <c r="I1179">
        <v>4</v>
      </c>
      <c r="J1179" t="b">
        <f>AND(CCData[[#This Row],[Date]]&gt;=Calculation!$E$3,CCData[[#This Row],[Date]]&lt;Calculation!$E$3+7)</f>
        <v>0</v>
      </c>
    </row>
    <row r="1180" spans="1:10">
      <c r="A1180" t="s">
        <v>1179</v>
      </c>
      <c r="B1180" s="2">
        <v>42025.735000000001</v>
      </c>
      <c r="C1180" s="3" t="s">
        <v>5010</v>
      </c>
      <c r="D1180" t="s">
        <v>5013</v>
      </c>
      <c r="E1180" t="s">
        <v>5019</v>
      </c>
      <c r="F1180" t="s">
        <v>5019</v>
      </c>
      <c r="G1180" t="s">
        <v>5022</v>
      </c>
      <c r="H1180" s="5" t="s">
        <v>5022</v>
      </c>
      <c r="I1180" t="s">
        <v>5022</v>
      </c>
      <c r="J1180" t="b">
        <f>AND(CCData[[#This Row],[Date]]&gt;=Calculation!$E$3,CCData[[#This Row],[Date]]&lt;Calculation!$E$3+7)</f>
        <v>0</v>
      </c>
    </row>
    <row r="1181" spans="1:10">
      <c r="A1181" t="s">
        <v>1180</v>
      </c>
      <c r="B1181" s="2">
        <v>42025.735000000001</v>
      </c>
      <c r="C1181" s="3" t="s">
        <v>5005</v>
      </c>
      <c r="D1181" t="s">
        <v>5015</v>
      </c>
      <c r="E1181" t="s">
        <v>5018</v>
      </c>
      <c r="F1181" t="s">
        <v>5018</v>
      </c>
      <c r="G1181">
        <v>21</v>
      </c>
      <c r="H1181" s="5">
        <v>1.5001375548700326E-3</v>
      </c>
      <c r="I1181">
        <v>4</v>
      </c>
      <c r="J1181" t="b">
        <f>AND(CCData[[#This Row],[Date]]&gt;=Calculation!$E$3,CCData[[#This Row],[Date]]&lt;Calculation!$E$3+7)</f>
        <v>0</v>
      </c>
    </row>
    <row r="1182" spans="1:10">
      <c r="A1182" t="s">
        <v>1181</v>
      </c>
      <c r="B1182" s="2">
        <v>42026.383000000002</v>
      </c>
      <c r="C1182" s="3" t="s">
        <v>5005</v>
      </c>
      <c r="D1182" t="s">
        <v>5013</v>
      </c>
      <c r="E1182" t="s">
        <v>5019</v>
      </c>
      <c r="F1182" t="s">
        <v>5019</v>
      </c>
      <c r="G1182" t="s">
        <v>5022</v>
      </c>
      <c r="H1182" s="5" t="s">
        <v>5022</v>
      </c>
      <c r="I1182" t="s">
        <v>5022</v>
      </c>
      <c r="J1182" t="b">
        <f>AND(CCData[[#This Row],[Date]]&gt;=Calculation!$E$3,CCData[[#This Row],[Date]]&lt;Calculation!$E$3+7)</f>
        <v>0</v>
      </c>
    </row>
    <row r="1183" spans="1:10">
      <c r="A1183" t="s">
        <v>1182</v>
      </c>
      <c r="B1183" s="2">
        <v>42026.383000000002</v>
      </c>
      <c r="C1183" s="3" t="s">
        <v>5003</v>
      </c>
      <c r="D1183" t="s">
        <v>5015</v>
      </c>
      <c r="E1183" t="s">
        <v>5018</v>
      </c>
      <c r="F1183" t="s">
        <v>5018</v>
      </c>
      <c r="G1183">
        <v>20</v>
      </c>
      <c r="H1183" s="5">
        <v>7.8503181291579083E-4</v>
      </c>
      <c r="I1183">
        <v>3</v>
      </c>
      <c r="J1183" t="b">
        <f>AND(CCData[[#This Row],[Date]]&gt;=Calculation!$E$3,CCData[[#This Row],[Date]]&lt;Calculation!$E$3+7)</f>
        <v>0</v>
      </c>
    </row>
    <row r="1184" spans="1:10">
      <c r="A1184" t="s">
        <v>1183</v>
      </c>
      <c r="B1184" s="2">
        <v>42026.383000000002</v>
      </c>
      <c r="C1184" s="3" t="s">
        <v>5003</v>
      </c>
      <c r="D1184" t="s">
        <v>5013</v>
      </c>
      <c r="E1184" t="s">
        <v>5018</v>
      </c>
      <c r="F1184" t="s">
        <v>5018</v>
      </c>
      <c r="G1184">
        <v>112</v>
      </c>
      <c r="H1184" s="5">
        <v>2.5144934476066562E-3</v>
      </c>
      <c r="I1184">
        <v>1</v>
      </c>
      <c r="J1184" t="b">
        <f>AND(CCData[[#This Row],[Date]]&gt;=Calculation!$E$3,CCData[[#This Row],[Date]]&lt;Calculation!$E$3+7)</f>
        <v>0</v>
      </c>
    </row>
    <row r="1185" spans="1:10">
      <c r="A1185" t="s">
        <v>1184</v>
      </c>
      <c r="B1185" s="2">
        <v>42026.383000000002</v>
      </c>
      <c r="C1185" s="3" t="s">
        <v>5004</v>
      </c>
      <c r="D1185" t="s">
        <v>5016</v>
      </c>
      <c r="E1185" t="s">
        <v>5018</v>
      </c>
      <c r="F1185" t="s">
        <v>5018</v>
      </c>
      <c r="G1185">
        <v>85</v>
      </c>
      <c r="H1185" s="5">
        <v>3.7536627359669094E-3</v>
      </c>
      <c r="I1185">
        <v>4</v>
      </c>
      <c r="J1185" t="b">
        <f>AND(CCData[[#This Row],[Date]]&gt;=Calculation!$E$3,CCData[[#This Row],[Date]]&lt;Calculation!$E$3+7)</f>
        <v>0</v>
      </c>
    </row>
    <row r="1186" spans="1:10">
      <c r="A1186" t="s">
        <v>1185</v>
      </c>
      <c r="B1186" s="2">
        <v>42026.392</v>
      </c>
      <c r="C1186" s="3" t="s">
        <v>5009</v>
      </c>
      <c r="D1186" t="s">
        <v>5015</v>
      </c>
      <c r="E1186" t="s">
        <v>5018</v>
      </c>
      <c r="F1186" t="s">
        <v>5018</v>
      </c>
      <c r="G1186">
        <v>34</v>
      </c>
      <c r="H1186" s="5">
        <v>4.2449228948025887E-3</v>
      </c>
      <c r="I1186">
        <v>3</v>
      </c>
      <c r="J1186" t="b">
        <f>AND(CCData[[#This Row],[Date]]&gt;=Calculation!$E$3,CCData[[#This Row],[Date]]&lt;Calculation!$E$3+7)</f>
        <v>0</v>
      </c>
    </row>
    <row r="1187" spans="1:10">
      <c r="A1187" t="s">
        <v>1186</v>
      </c>
      <c r="B1187" s="2">
        <v>42026.392</v>
      </c>
      <c r="C1187" s="3" t="s">
        <v>5003</v>
      </c>
      <c r="D1187" t="s">
        <v>5016</v>
      </c>
      <c r="E1187" t="s">
        <v>5018</v>
      </c>
      <c r="F1187" t="s">
        <v>5018</v>
      </c>
      <c r="G1187">
        <v>53</v>
      </c>
      <c r="H1187" s="5">
        <v>3.5005301315012647E-3</v>
      </c>
      <c r="I1187">
        <v>4</v>
      </c>
      <c r="J1187" t="b">
        <f>AND(CCData[[#This Row],[Date]]&gt;=Calculation!$E$3,CCData[[#This Row],[Date]]&lt;Calculation!$E$3+7)</f>
        <v>0</v>
      </c>
    </row>
    <row r="1188" spans="1:10">
      <c r="A1188" t="s">
        <v>1187</v>
      </c>
      <c r="B1188" s="2">
        <v>42026.409</v>
      </c>
      <c r="C1188" s="3" t="s">
        <v>5009</v>
      </c>
      <c r="D1188" t="s">
        <v>5016</v>
      </c>
      <c r="E1188" t="s">
        <v>5018</v>
      </c>
      <c r="F1188" t="s">
        <v>5018</v>
      </c>
      <c r="G1188">
        <v>103</v>
      </c>
      <c r="H1188" s="5">
        <v>1.5561076348658037E-3</v>
      </c>
      <c r="I1188">
        <v>5</v>
      </c>
      <c r="J1188" t="b">
        <f>AND(CCData[[#This Row],[Date]]&gt;=Calculation!$E$3,CCData[[#This Row],[Date]]&lt;Calculation!$E$3+7)</f>
        <v>0</v>
      </c>
    </row>
    <row r="1189" spans="1:10">
      <c r="A1189" t="s">
        <v>1188</v>
      </c>
      <c r="B1189" s="2">
        <v>42026.409</v>
      </c>
      <c r="C1189" s="3" t="s">
        <v>5004</v>
      </c>
      <c r="D1189" t="s">
        <v>5012</v>
      </c>
      <c r="E1189" t="s">
        <v>5018</v>
      </c>
      <c r="F1189" t="s">
        <v>5018</v>
      </c>
      <c r="G1189">
        <v>98</v>
      </c>
      <c r="H1189" s="5">
        <v>4.7807763483048143E-3</v>
      </c>
      <c r="I1189">
        <v>4</v>
      </c>
      <c r="J1189" t="b">
        <f>AND(CCData[[#This Row],[Date]]&gt;=Calculation!$E$3,CCData[[#This Row],[Date]]&lt;Calculation!$E$3+7)</f>
        <v>0</v>
      </c>
    </row>
    <row r="1190" spans="1:10">
      <c r="A1190" t="s">
        <v>1189</v>
      </c>
      <c r="B1190" s="2">
        <v>42026.415999999997</v>
      </c>
      <c r="C1190" s="3" t="s">
        <v>5004</v>
      </c>
      <c r="D1190" t="s">
        <v>5013</v>
      </c>
      <c r="E1190" t="s">
        <v>5018</v>
      </c>
      <c r="F1190" t="s">
        <v>5018</v>
      </c>
      <c r="G1190">
        <v>23</v>
      </c>
      <c r="H1190" s="5">
        <v>3.281992438786894E-3</v>
      </c>
      <c r="I1190">
        <v>1</v>
      </c>
      <c r="J1190" t="b">
        <f>AND(CCData[[#This Row],[Date]]&gt;=Calculation!$E$3,CCData[[#This Row],[Date]]&lt;Calculation!$E$3+7)</f>
        <v>0</v>
      </c>
    </row>
    <row r="1191" spans="1:10">
      <c r="A1191" t="s">
        <v>1190</v>
      </c>
      <c r="B1191" s="2">
        <v>42026.415999999997</v>
      </c>
      <c r="C1191" s="3" t="s">
        <v>5009</v>
      </c>
      <c r="D1191" t="s">
        <v>5015</v>
      </c>
      <c r="E1191" t="s">
        <v>5018</v>
      </c>
      <c r="F1191" t="s">
        <v>5018</v>
      </c>
      <c r="G1191">
        <v>53</v>
      </c>
      <c r="H1191" s="5">
        <v>8.9008601573242556E-4</v>
      </c>
      <c r="I1191">
        <v>2</v>
      </c>
      <c r="J1191" t="b">
        <f>AND(CCData[[#This Row],[Date]]&gt;=Calculation!$E$3,CCData[[#This Row],[Date]]&lt;Calculation!$E$3+7)</f>
        <v>0</v>
      </c>
    </row>
    <row r="1192" spans="1:10">
      <c r="A1192" t="s">
        <v>1191</v>
      </c>
      <c r="B1192" s="2">
        <v>42026.442999999999</v>
      </c>
      <c r="C1192" s="3" t="s">
        <v>5004</v>
      </c>
      <c r="D1192" t="s">
        <v>5013</v>
      </c>
      <c r="E1192" t="s">
        <v>5019</v>
      </c>
      <c r="F1192" t="s">
        <v>5019</v>
      </c>
      <c r="G1192" t="s">
        <v>5022</v>
      </c>
      <c r="H1192" s="5" t="s">
        <v>5022</v>
      </c>
      <c r="I1192" t="s">
        <v>5022</v>
      </c>
      <c r="J1192" t="b">
        <f>AND(CCData[[#This Row],[Date]]&gt;=Calculation!$E$3,CCData[[#This Row],[Date]]&lt;Calculation!$E$3+7)</f>
        <v>0</v>
      </c>
    </row>
    <row r="1193" spans="1:10">
      <c r="A1193" t="s">
        <v>1192</v>
      </c>
      <c r="B1193" s="2">
        <v>42026.442999999999</v>
      </c>
      <c r="C1193" s="3" t="s">
        <v>5003</v>
      </c>
      <c r="D1193" t="s">
        <v>5012</v>
      </c>
      <c r="E1193" t="s">
        <v>5018</v>
      </c>
      <c r="F1193" t="s">
        <v>5019</v>
      </c>
      <c r="G1193">
        <v>55</v>
      </c>
      <c r="H1193" s="5">
        <v>3.2355248040394952E-3</v>
      </c>
      <c r="I1193">
        <v>4</v>
      </c>
      <c r="J1193" t="b">
        <f>AND(CCData[[#This Row],[Date]]&gt;=Calculation!$E$3,CCData[[#This Row],[Date]]&lt;Calculation!$E$3+7)</f>
        <v>0</v>
      </c>
    </row>
    <row r="1194" spans="1:10">
      <c r="A1194" t="s">
        <v>1193</v>
      </c>
      <c r="B1194" s="2">
        <v>42026.485999999997</v>
      </c>
      <c r="C1194" s="3" t="s">
        <v>5009</v>
      </c>
      <c r="D1194" t="s">
        <v>5015</v>
      </c>
      <c r="E1194" t="s">
        <v>5018</v>
      </c>
      <c r="F1194" t="s">
        <v>5018</v>
      </c>
      <c r="G1194">
        <v>77</v>
      </c>
      <c r="H1194" s="5">
        <v>3.4924828651943514E-3</v>
      </c>
      <c r="I1194">
        <v>5</v>
      </c>
      <c r="J1194" t="b">
        <f>AND(CCData[[#This Row],[Date]]&gt;=Calculation!$E$3,CCData[[#This Row],[Date]]&lt;Calculation!$E$3+7)</f>
        <v>0</v>
      </c>
    </row>
    <row r="1195" spans="1:10">
      <c r="A1195" t="s">
        <v>1194</v>
      </c>
      <c r="B1195" s="2">
        <v>42026.485999999997</v>
      </c>
      <c r="C1195" s="3" t="s">
        <v>5004</v>
      </c>
      <c r="D1195" t="s">
        <v>5013</v>
      </c>
      <c r="E1195" t="s">
        <v>5018</v>
      </c>
      <c r="F1195" t="s">
        <v>5018</v>
      </c>
      <c r="G1195">
        <v>46</v>
      </c>
      <c r="H1195" s="5">
        <v>4.2261558031748197E-3</v>
      </c>
      <c r="I1195">
        <v>3</v>
      </c>
      <c r="J1195" t="b">
        <f>AND(CCData[[#This Row],[Date]]&gt;=Calculation!$E$3,CCData[[#This Row],[Date]]&lt;Calculation!$E$3+7)</f>
        <v>0</v>
      </c>
    </row>
    <row r="1196" spans="1:10">
      <c r="A1196" t="s">
        <v>1195</v>
      </c>
      <c r="B1196" s="2">
        <v>42026.487999999998</v>
      </c>
      <c r="C1196" s="3" t="s">
        <v>5006</v>
      </c>
      <c r="D1196" t="s">
        <v>5013</v>
      </c>
      <c r="E1196" t="s">
        <v>5019</v>
      </c>
      <c r="F1196" t="s">
        <v>5019</v>
      </c>
      <c r="G1196" t="s">
        <v>5022</v>
      </c>
      <c r="H1196" s="5" t="s">
        <v>5022</v>
      </c>
      <c r="I1196" t="s">
        <v>5022</v>
      </c>
      <c r="J1196" t="b">
        <f>AND(CCData[[#This Row],[Date]]&gt;=Calculation!$E$3,CCData[[#This Row],[Date]]&lt;Calculation!$E$3+7)</f>
        <v>0</v>
      </c>
    </row>
    <row r="1197" spans="1:10">
      <c r="A1197" t="s">
        <v>1196</v>
      </c>
      <c r="B1197" s="2">
        <v>42026.487999999998</v>
      </c>
      <c r="C1197" s="3" t="s">
        <v>5009</v>
      </c>
      <c r="D1197" t="s">
        <v>5014</v>
      </c>
      <c r="E1197" t="s">
        <v>5018</v>
      </c>
      <c r="F1197" t="s">
        <v>5018</v>
      </c>
      <c r="G1197">
        <v>39</v>
      </c>
      <c r="H1197" s="5">
        <v>3.5281299319356654E-3</v>
      </c>
      <c r="I1197">
        <v>4</v>
      </c>
      <c r="J1197" t="b">
        <f>AND(CCData[[#This Row],[Date]]&gt;=Calculation!$E$3,CCData[[#This Row],[Date]]&lt;Calculation!$E$3+7)</f>
        <v>0</v>
      </c>
    </row>
    <row r="1198" spans="1:10">
      <c r="A1198" t="s">
        <v>1197</v>
      </c>
      <c r="B1198" s="2">
        <v>42026.497000000003</v>
      </c>
      <c r="C1198" s="3" t="s">
        <v>5006</v>
      </c>
      <c r="D1198" t="s">
        <v>5014</v>
      </c>
      <c r="E1198" t="s">
        <v>5018</v>
      </c>
      <c r="F1198" t="s">
        <v>5018</v>
      </c>
      <c r="G1198">
        <v>13</v>
      </c>
      <c r="H1198" s="5">
        <v>4.8606523959291931E-3</v>
      </c>
      <c r="I1198">
        <v>3</v>
      </c>
      <c r="J1198" t="b">
        <f>AND(CCData[[#This Row],[Date]]&gt;=Calculation!$E$3,CCData[[#This Row],[Date]]&lt;Calculation!$E$3+7)</f>
        <v>0</v>
      </c>
    </row>
    <row r="1199" spans="1:10">
      <c r="A1199" t="s">
        <v>1198</v>
      </c>
      <c r="B1199" s="2">
        <v>42026.497000000003</v>
      </c>
      <c r="C1199" s="3" t="s">
        <v>5007</v>
      </c>
      <c r="D1199" t="s">
        <v>5015</v>
      </c>
      <c r="E1199" t="s">
        <v>5018</v>
      </c>
      <c r="F1199" t="s">
        <v>5018</v>
      </c>
      <c r="G1199">
        <v>84</v>
      </c>
      <c r="H1199" s="5">
        <v>3.8625878523125051E-3</v>
      </c>
      <c r="I1199">
        <v>5</v>
      </c>
      <c r="J1199" t="b">
        <f>AND(CCData[[#This Row],[Date]]&gt;=Calculation!$E$3,CCData[[#This Row],[Date]]&lt;Calculation!$E$3+7)</f>
        <v>0</v>
      </c>
    </row>
    <row r="1200" spans="1:10">
      <c r="A1200" t="s">
        <v>1199</v>
      </c>
      <c r="B1200" s="2">
        <v>42026.497000000003</v>
      </c>
      <c r="C1200" s="3" t="s">
        <v>5010</v>
      </c>
      <c r="D1200" t="s">
        <v>5015</v>
      </c>
      <c r="E1200" t="s">
        <v>5018</v>
      </c>
      <c r="F1200" t="s">
        <v>5018</v>
      </c>
      <c r="G1200">
        <v>60</v>
      </c>
      <c r="H1200" s="5">
        <v>3.3145893594829479E-3</v>
      </c>
      <c r="I1200">
        <v>3</v>
      </c>
      <c r="J1200" t="b">
        <f>AND(CCData[[#This Row],[Date]]&gt;=Calculation!$E$3,CCData[[#This Row],[Date]]&lt;Calculation!$E$3+7)</f>
        <v>0</v>
      </c>
    </row>
    <row r="1201" spans="1:10">
      <c r="A1201" t="s">
        <v>1200</v>
      </c>
      <c r="B1201" s="2">
        <v>42026.497000000003</v>
      </c>
      <c r="C1201" s="3" t="s">
        <v>5010</v>
      </c>
      <c r="D1201" t="s">
        <v>5015</v>
      </c>
      <c r="E1201" t="s">
        <v>5018</v>
      </c>
      <c r="F1201" t="s">
        <v>5018</v>
      </c>
      <c r="G1201">
        <v>32</v>
      </c>
      <c r="H1201" s="5">
        <v>4.0505816327347392E-4</v>
      </c>
      <c r="I1201">
        <v>5</v>
      </c>
      <c r="J1201" t="b">
        <f>AND(CCData[[#This Row],[Date]]&gt;=Calculation!$E$3,CCData[[#This Row],[Date]]&lt;Calculation!$E$3+7)</f>
        <v>0</v>
      </c>
    </row>
    <row r="1202" spans="1:10">
      <c r="A1202" t="s">
        <v>1201</v>
      </c>
      <c r="B1202" s="2">
        <v>42026.533000000003</v>
      </c>
      <c r="C1202" s="3" t="s">
        <v>5005</v>
      </c>
      <c r="D1202" t="s">
        <v>5013</v>
      </c>
      <c r="E1202" t="s">
        <v>5019</v>
      </c>
      <c r="F1202" t="s">
        <v>5019</v>
      </c>
      <c r="G1202" t="s">
        <v>5022</v>
      </c>
      <c r="H1202" s="5" t="s">
        <v>5022</v>
      </c>
      <c r="I1202" t="s">
        <v>5022</v>
      </c>
      <c r="J1202" t="b">
        <f>AND(CCData[[#This Row],[Date]]&gt;=Calculation!$E$3,CCData[[#This Row],[Date]]&lt;Calculation!$E$3+7)</f>
        <v>0</v>
      </c>
    </row>
    <row r="1203" spans="1:10">
      <c r="A1203" t="s">
        <v>1202</v>
      </c>
      <c r="B1203" s="2">
        <v>42026.533000000003</v>
      </c>
      <c r="C1203" s="3" t="s">
        <v>5006</v>
      </c>
      <c r="D1203" t="s">
        <v>5012</v>
      </c>
      <c r="E1203" t="s">
        <v>5019</v>
      </c>
      <c r="F1203" t="s">
        <v>5019</v>
      </c>
      <c r="G1203" t="s">
        <v>5022</v>
      </c>
      <c r="H1203" s="5" t="s">
        <v>5022</v>
      </c>
      <c r="I1203" t="s">
        <v>5022</v>
      </c>
      <c r="J1203" t="b">
        <f>AND(CCData[[#This Row],[Date]]&gt;=Calculation!$E$3,CCData[[#This Row],[Date]]&lt;Calculation!$E$3+7)</f>
        <v>0</v>
      </c>
    </row>
    <row r="1204" spans="1:10">
      <c r="A1204" t="s">
        <v>1203</v>
      </c>
      <c r="B1204" s="2">
        <v>42026.597000000002</v>
      </c>
      <c r="C1204" s="3" t="s">
        <v>5008</v>
      </c>
      <c r="D1204" t="s">
        <v>5015</v>
      </c>
      <c r="E1204" t="s">
        <v>5019</v>
      </c>
      <c r="F1204" t="s">
        <v>5019</v>
      </c>
      <c r="G1204" t="s">
        <v>5022</v>
      </c>
      <c r="H1204" s="5" t="s">
        <v>5022</v>
      </c>
      <c r="I1204" t="s">
        <v>5022</v>
      </c>
      <c r="J1204" t="b">
        <f>AND(CCData[[#This Row],[Date]]&gt;=Calculation!$E$3,CCData[[#This Row],[Date]]&lt;Calculation!$E$3+7)</f>
        <v>0</v>
      </c>
    </row>
    <row r="1205" spans="1:10">
      <c r="A1205" t="s">
        <v>1204</v>
      </c>
      <c r="B1205" s="2">
        <v>42026.597000000002</v>
      </c>
      <c r="C1205" s="3" t="s">
        <v>5010</v>
      </c>
      <c r="D1205" t="s">
        <v>5014</v>
      </c>
      <c r="E1205" t="s">
        <v>5018</v>
      </c>
      <c r="F1205" t="s">
        <v>5018</v>
      </c>
      <c r="G1205">
        <v>67</v>
      </c>
      <c r="H1205" s="5">
        <v>4.6567959402865353E-3</v>
      </c>
      <c r="I1205">
        <v>4</v>
      </c>
      <c r="J1205" t="b">
        <f>AND(CCData[[#This Row],[Date]]&gt;=Calculation!$E$3,CCData[[#This Row],[Date]]&lt;Calculation!$E$3+7)</f>
        <v>0</v>
      </c>
    </row>
    <row r="1206" spans="1:10">
      <c r="A1206" t="s">
        <v>1205</v>
      </c>
      <c r="B1206" s="2">
        <v>42026.599000000002</v>
      </c>
      <c r="C1206" s="3" t="s">
        <v>5005</v>
      </c>
      <c r="D1206" t="s">
        <v>5016</v>
      </c>
      <c r="E1206" t="s">
        <v>5018</v>
      </c>
      <c r="F1206" t="s">
        <v>5019</v>
      </c>
      <c r="G1206">
        <v>94</v>
      </c>
      <c r="H1206" s="5">
        <v>2.7537309560418336E-3</v>
      </c>
      <c r="I1206">
        <v>4</v>
      </c>
      <c r="J1206" t="b">
        <f>AND(CCData[[#This Row],[Date]]&gt;=Calculation!$E$3,CCData[[#This Row],[Date]]&lt;Calculation!$E$3+7)</f>
        <v>0</v>
      </c>
    </row>
    <row r="1207" spans="1:10">
      <c r="A1207" t="s">
        <v>1206</v>
      </c>
      <c r="B1207" s="2">
        <v>42026.599000000002</v>
      </c>
      <c r="C1207" s="3" t="s">
        <v>5005</v>
      </c>
      <c r="D1207" t="s">
        <v>5016</v>
      </c>
      <c r="E1207" t="s">
        <v>5018</v>
      </c>
      <c r="F1207" t="s">
        <v>5018</v>
      </c>
      <c r="G1207">
        <v>92</v>
      </c>
      <c r="H1207" s="5">
        <v>4.2872714977361635E-3</v>
      </c>
      <c r="I1207">
        <v>1</v>
      </c>
      <c r="J1207" t="b">
        <f>AND(CCData[[#This Row],[Date]]&gt;=Calculation!$E$3,CCData[[#This Row],[Date]]&lt;Calculation!$E$3+7)</f>
        <v>0</v>
      </c>
    </row>
    <row r="1208" spans="1:10">
      <c r="A1208" t="s">
        <v>1207</v>
      </c>
      <c r="B1208" s="2">
        <v>42026.614000000001</v>
      </c>
      <c r="C1208" s="3" t="s">
        <v>5004</v>
      </c>
      <c r="D1208" t="s">
        <v>5016</v>
      </c>
      <c r="E1208" t="s">
        <v>5018</v>
      </c>
      <c r="F1208" t="s">
        <v>5018</v>
      </c>
      <c r="G1208">
        <v>35</v>
      </c>
      <c r="H1208" s="5">
        <v>8.079656230248586E-4</v>
      </c>
      <c r="I1208">
        <v>3</v>
      </c>
      <c r="J1208" t="b">
        <f>AND(CCData[[#This Row],[Date]]&gt;=Calculation!$E$3,CCData[[#This Row],[Date]]&lt;Calculation!$E$3+7)</f>
        <v>0</v>
      </c>
    </row>
    <row r="1209" spans="1:10">
      <c r="A1209" t="s">
        <v>1208</v>
      </c>
      <c r="B1209" s="2">
        <v>42026.614000000001</v>
      </c>
      <c r="C1209" s="3" t="s">
        <v>5003</v>
      </c>
      <c r="D1209" t="s">
        <v>5015</v>
      </c>
      <c r="E1209" t="s">
        <v>5018</v>
      </c>
      <c r="F1209" t="s">
        <v>5018</v>
      </c>
      <c r="G1209">
        <v>57</v>
      </c>
      <c r="H1209" s="5">
        <v>9.4167771273245588E-4</v>
      </c>
      <c r="I1209">
        <v>5</v>
      </c>
      <c r="J1209" t="b">
        <f>AND(CCData[[#This Row],[Date]]&gt;=Calculation!$E$3,CCData[[#This Row],[Date]]&lt;Calculation!$E$3+7)</f>
        <v>0</v>
      </c>
    </row>
    <row r="1210" spans="1:10">
      <c r="A1210" t="s">
        <v>1209</v>
      </c>
      <c r="B1210" s="2">
        <v>42026.616999999998</v>
      </c>
      <c r="C1210" s="3" t="s">
        <v>5005</v>
      </c>
      <c r="D1210" t="s">
        <v>5016</v>
      </c>
      <c r="E1210" t="s">
        <v>5019</v>
      </c>
      <c r="F1210" t="s">
        <v>5019</v>
      </c>
      <c r="G1210" t="s">
        <v>5022</v>
      </c>
      <c r="H1210" s="5" t="s">
        <v>5022</v>
      </c>
      <c r="I1210" t="s">
        <v>5022</v>
      </c>
      <c r="J1210" t="b">
        <f>AND(CCData[[#This Row],[Date]]&gt;=Calculation!$E$3,CCData[[#This Row],[Date]]&lt;Calculation!$E$3+7)</f>
        <v>0</v>
      </c>
    </row>
    <row r="1211" spans="1:10">
      <c r="A1211" t="s">
        <v>1210</v>
      </c>
      <c r="B1211" s="2">
        <v>42026.616999999998</v>
      </c>
      <c r="C1211" s="3" t="s">
        <v>5007</v>
      </c>
      <c r="D1211" t="s">
        <v>5015</v>
      </c>
      <c r="E1211" t="s">
        <v>5018</v>
      </c>
      <c r="F1211" t="s">
        <v>5018</v>
      </c>
      <c r="G1211">
        <v>15</v>
      </c>
      <c r="H1211" s="5">
        <v>3.411511444810441E-3</v>
      </c>
      <c r="I1211">
        <v>4</v>
      </c>
      <c r="J1211" t="b">
        <f>AND(CCData[[#This Row],[Date]]&gt;=Calculation!$E$3,CCData[[#This Row],[Date]]&lt;Calculation!$E$3+7)</f>
        <v>0</v>
      </c>
    </row>
    <row r="1212" spans="1:10">
      <c r="A1212" t="s">
        <v>1211</v>
      </c>
      <c r="B1212" s="2">
        <v>42026.618000000002</v>
      </c>
      <c r="C1212" s="3" t="s">
        <v>5004</v>
      </c>
      <c r="D1212" t="s">
        <v>5015</v>
      </c>
      <c r="E1212" t="s">
        <v>5018</v>
      </c>
      <c r="F1212" t="s">
        <v>5019</v>
      </c>
      <c r="G1212">
        <v>54</v>
      </c>
      <c r="H1212" s="5">
        <v>2.2620986465800986E-3</v>
      </c>
      <c r="I1212">
        <v>5</v>
      </c>
      <c r="J1212" t="b">
        <f>AND(CCData[[#This Row],[Date]]&gt;=Calculation!$E$3,CCData[[#This Row],[Date]]&lt;Calculation!$E$3+7)</f>
        <v>0</v>
      </c>
    </row>
    <row r="1213" spans="1:10">
      <c r="A1213" t="s">
        <v>1212</v>
      </c>
      <c r="B1213" s="2">
        <v>42026.618000000002</v>
      </c>
      <c r="C1213" s="3" t="s">
        <v>5006</v>
      </c>
      <c r="D1213" t="s">
        <v>5014</v>
      </c>
      <c r="E1213" t="s">
        <v>5018</v>
      </c>
      <c r="F1213" t="s">
        <v>5018</v>
      </c>
      <c r="G1213">
        <v>99</v>
      </c>
      <c r="H1213" s="5">
        <v>6.9554949142411056E-4</v>
      </c>
      <c r="I1213">
        <v>1</v>
      </c>
      <c r="J1213" t="b">
        <f>AND(CCData[[#This Row],[Date]]&gt;=Calculation!$E$3,CCData[[#This Row],[Date]]&lt;Calculation!$E$3+7)</f>
        <v>0</v>
      </c>
    </row>
    <row r="1214" spans="1:10">
      <c r="A1214" t="s">
        <v>1213</v>
      </c>
      <c r="B1214" s="2">
        <v>42026.646000000001</v>
      </c>
      <c r="C1214" s="3" t="s">
        <v>5009</v>
      </c>
      <c r="D1214" t="s">
        <v>5012</v>
      </c>
      <c r="E1214" t="s">
        <v>5019</v>
      </c>
      <c r="F1214" t="s">
        <v>5019</v>
      </c>
      <c r="G1214" t="s">
        <v>5022</v>
      </c>
      <c r="H1214" s="5" t="s">
        <v>5022</v>
      </c>
      <c r="I1214" t="s">
        <v>5022</v>
      </c>
      <c r="J1214" t="b">
        <f>AND(CCData[[#This Row],[Date]]&gt;=Calculation!$E$3,CCData[[#This Row],[Date]]&lt;Calculation!$E$3+7)</f>
        <v>0</v>
      </c>
    </row>
    <row r="1215" spans="1:10">
      <c r="A1215" t="s">
        <v>1214</v>
      </c>
      <c r="B1215" s="2">
        <v>42026.646000000001</v>
      </c>
      <c r="C1215" s="3" t="s">
        <v>5007</v>
      </c>
      <c r="D1215" t="s">
        <v>5016</v>
      </c>
      <c r="E1215" t="s">
        <v>5019</v>
      </c>
      <c r="F1215" t="s">
        <v>5019</v>
      </c>
      <c r="G1215" t="s">
        <v>5022</v>
      </c>
      <c r="H1215" s="5" t="s">
        <v>5022</v>
      </c>
      <c r="I1215" t="s">
        <v>5022</v>
      </c>
      <c r="J1215" t="b">
        <f>AND(CCData[[#This Row],[Date]]&gt;=Calculation!$E$3,CCData[[#This Row],[Date]]&lt;Calculation!$E$3+7)</f>
        <v>0</v>
      </c>
    </row>
    <row r="1216" spans="1:10">
      <c r="A1216" t="s">
        <v>1215</v>
      </c>
      <c r="B1216" s="2">
        <v>42026.663999999997</v>
      </c>
      <c r="C1216" s="3" t="s">
        <v>5009</v>
      </c>
      <c r="D1216" t="s">
        <v>5016</v>
      </c>
      <c r="E1216" t="s">
        <v>5019</v>
      </c>
      <c r="F1216" t="s">
        <v>5019</v>
      </c>
      <c r="G1216" t="s">
        <v>5022</v>
      </c>
      <c r="H1216" s="5" t="s">
        <v>5022</v>
      </c>
      <c r="I1216" t="s">
        <v>5022</v>
      </c>
      <c r="J1216" t="b">
        <f>AND(CCData[[#This Row],[Date]]&gt;=Calculation!$E$3,CCData[[#This Row],[Date]]&lt;Calculation!$E$3+7)</f>
        <v>0</v>
      </c>
    </row>
    <row r="1217" spans="1:10">
      <c r="A1217" t="s">
        <v>1216</v>
      </c>
      <c r="B1217" s="2">
        <v>42026.663999999997</v>
      </c>
      <c r="C1217" s="3" t="s">
        <v>5009</v>
      </c>
      <c r="D1217" t="s">
        <v>5015</v>
      </c>
      <c r="E1217" t="s">
        <v>5019</v>
      </c>
      <c r="F1217" t="s">
        <v>5019</v>
      </c>
      <c r="G1217" t="s">
        <v>5022</v>
      </c>
      <c r="H1217" s="5" t="s">
        <v>5022</v>
      </c>
      <c r="I1217" t="s">
        <v>5022</v>
      </c>
      <c r="J1217" t="b">
        <f>AND(CCData[[#This Row],[Date]]&gt;=Calculation!$E$3,CCData[[#This Row],[Date]]&lt;Calculation!$E$3+7)</f>
        <v>0</v>
      </c>
    </row>
    <row r="1218" spans="1:10">
      <c r="A1218" t="s">
        <v>1217</v>
      </c>
      <c r="B1218" s="2">
        <v>42026.667999999998</v>
      </c>
      <c r="C1218" s="3" t="s">
        <v>5009</v>
      </c>
      <c r="D1218" t="s">
        <v>5014</v>
      </c>
      <c r="E1218" t="s">
        <v>5019</v>
      </c>
      <c r="F1218" t="s">
        <v>5019</v>
      </c>
      <c r="G1218" t="s">
        <v>5022</v>
      </c>
      <c r="H1218" s="5" t="s">
        <v>5022</v>
      </c>
      <c r="I1218" t="s">
        <v>5022</v>
      </c>
      <c r="J1218" t="b">
        <f>AND(CCData[[#This Row],[Date]]&gt;=Calculation!$E$3,CCData[[#This Row],[Date]]&lt;Calculation!$E$3+7)</f>
        <v>0</v>
      </c>
    </row>
    <row r="1219" spans="1:10">
      <c r="A1219" t="s">
        <v>1218</v>
      </c>
      <c r="B1219" s="2">
        <v>42026.667999999998</v>
      </c>
      <c r="C1219" s="3" t="s">
        <v>5004</v>
      </c>
      <c r="D1219" t="s">
        <v>5016</v>
      </c>
      <c r="E1219" t="s">
        <v>5018</v>
      </c>
      <c r="F1219" t="s">
        <v>5018</v>
      </c>
      <c r="G1219">
        <v>78</v>
      </c>
      <c r="H1219" s="5">
        <v>7.4861361861883007E-4</v>
      </c>
      <c r="I1219">
        <v>5</v>
      </c>
      <c r="J1219" t="b">
        <f>AND(CCData[[#This Row],[Date]]&gt;=Calculation!$E$3,CCData[[#This Row],[Date]]&lt;Calculation!$E$3+7)</f>
        <v>0</v>
      </c>
    </row>
    <row r="1220" spans="1:10">
      <c r="A1220" t="s">
        <v>1219</v>
      </c>
      <c r="B1220" s="2">
        <v>42026.694000000003</v>
      </c>
      <c r="C1220" s="3" t="s">
        <v>5006</v>
      </c>
      <c r="D1220" t="s">
        <v>5015</v>
      </c>
      <c r="E1220" t="s">
        <v>5019</v>
      </c>
      <c r="F1220" t="s">
        <v>5019</v>
      </c>
      <c r="G1220" t="s">
        <v>5022</v>
      </c>
      <c r="H1220" s="5" t="s">
        <v>5022</v>
      </c>
      <c r="I1220" t="s">
        <v>5022</v>
      </c>
      <c r="J1220" t="b">
        <f>AND(CCData[[#This Row],[Date]]&gt;=Calculation!$E$3,CCData[[#This Row],[Date]]&lt;Calculation!$E$3+7)</f>
        <v>0</v>
      </c>
    </row>
    <row r="1221" spans="1:10">
      <c r="A1221" t="s">
        <v>1220</v>
      </c>
      <c r="B1221" s="2">
        <v>42026.694000000003</v>
      </c>
      <c r="C1221" s="3" t="s">
        <v>5007</v>
      </c>
      <c r="D1221" t="s">
        <v>5014</v>
      </c>
      <c r="E1221" t="s">
        <v>5018</v>
      </c>
      <c r="F1221" t="s">
        <v>5019</v>
      </c>
      <c r="G1221">
        <v>35</v>
      </c>
      <c r="H1221" s="5">
        <v>3.571800633849328E-3</v>
      </c>
      <c r="I1221">
        <v>5</v>
      </c>
      <c r="J1221" t="b">
        <f>AND(CCData[[#This Row],[Date]]&gt;=Calculation!$E$3,CCData[[#This Row],[Date]]&lt;Calculation!$E$3+7)</f>
        <v>0</v>
      </c>
    </row>
    <row r="1222" spans="1:10">
      <c r="A1222" t="s">
        <v>1221</v>
      </c>
      <c r="B1222" s="2">
        <v>42026.701999999997</v>
      </c>
      <c r="C1222" s="3" t="s">
        <v>5004</v>
      </c>
      <c r="D1222" t="s">
        <v>5012</v>
      </c>
      <c r="E1222" t="s">
        <v>5019</v>
      </c>
      <c r="F1222" t="s">
        <v>5019</v>
      </c>
      <c r="G1222" t="s">
        <v>5022</v>
      </c>
      <c r="H1222" s="5" t="s">
        <v>5022</v>
      </c>
      <c r="I1222" t="s">
        <v>5022</v>
      </c>
      <c r="J1222" t="b">
        <f>AND(CCData[[#This Row],[Date]]&gt;=Calculation!$E$3,CCData[[#This Row],[Date]]&lt;Calculation!$E$3+7)</f>
        <v>0</v>
      </c>
    </row>
    <row r="1223" spans="1:10">
      <c r="A1223" t="s">
        <v>1222</v>
      </c>
      <c r="B1223" s="2">
        <v>42026.701999999997</v>
      </c>
      <c r="C1223" s="3" t="s">
        <v>5005</v>
      </c>
      <c r="D1223" t="s">
        <v>5012</v>
      </c>
      <c r="E1223" t="s">
        <v>5018</v>
      </c>
      <c r="F1223" t="s">
        <v>5018</v>
      </c>
      <c r="G1223">
        <v>33</v>
      </c>
      <c r="H1223" s="5">
        <v>4.2734703499070466E-3</v>
      </c>
      <c r="I1223">
        <v>5</v>
      </c>
      <c r="J1223" t="b">
        <f>AND(CCData[[#This Row],[Date]]&gt;=Calculation!$E$3,CCData[[#This Row],[Date]]&lt;Calculation!$E$3+7)</f>
        <v>0</v>
      </c>
    </row>
    <row r="1224" spans="1:10">
      <c r="A1224" t="s">
        <v>1223</v>
      </c>
      <c r="B1224" s="2">
        <v>42026.705999999998</v>
      </c>
      <c r="C1224" s="3" t="s">
        <v>5006</v>
      </c>
      <c r="D1224" t="s">
        <v>5016</v>
      </c>
      <c r="E1224" t="s">
        <v>5018</v>
      </c>
      <c r="F1224" t="s">
        <v>5018</v>
      </c>
      <c r="G1224">
        <v>72</v>
      </c>
      <c r="H1224" s="5">
        <v>2.8837525294301645E-3</v>
      </c>
      <c r="I1224">
        <v>5</v>
      </c>
      <c r="J1224" t="b">
        <f>AND(CCData[[#This Row],[Date]]&gt;=Calculation!$E$3,CCData[[#This Row],[Date]]&lt;Calculation!$E$3+7)</f>
        <v>0</v>
      </c>
    </row>
    <row r="1225" spans="1:10">
      <c r="A1225" t="s">
        <v>1224</v>
      </c>
      <c r="B1225" s="2">
        <v>42026.705999999998</v>
      </c>
      <c r="C1225" s="3" t="s">
        <v>5008</v>
      </c>
      <c r="D1225" t="s">
        <v>5013</v>
      </c>
      <c r="E1225" t="s">
        <v>5018</v>
      </c>
      <c r="F1225" t="s">
        <v>5019</v>
      </c>
      <c r="G1225">
        <v>82</v>
      </c>
      <c r="H1225" s="5">
        <v>3.492725339154784E-3</v>
      </c>
      <c r="I1225">
        <v>1</v>
      </c>
      <c r="J1225" t="b">
        <f>AND(CCData[[#This Row],[Date]]&gt;=Calculation!$E$3,CCData[[#This Row],[Date]]&lt;Calculation!$E$3+7)</f>
        <v>0</v>
      </c>
    </row>
    <row r="1226" spans="1:10">
      <c r="A1226" t="s">
        <v>1225</v>
      </c>
      <c r="B1226" s="2">
        <v>42026.726000000002</v>
      </c>
      <c r="C1226" s="3" t="s">
        <v>5006</v>
      </c>
      <c r="D1226" t="s">
        <v>5015</v>
      </c>
      <c r="E1226" t="s">
        <v>5019</v>
      </c>
      <c r="F1226" t="s">
        <v>5019</v>
      </c>
      <c r="G1226" t="s">
        <v>5022</v>
      </c>
      <c r="H1226" s="5" t="s">
        <v>5022</v>
      </c>
      <c r="I1226" t="s">
        <v>5022</v>
      </c>
      <c r="J1226" t="b">
        <f>AND(CCData[[#This Row],[Date]]&gt;=Calculation!$E$3,CCData[[#This Row],[Date]]&lt;Calculation!$E$3+7)</f>
        <v>0</v>
      </c>
    </row>
    <row r="1227" spans="1:10">
      <c r="A1227" t="s">
        <v>1226</v>
      </c>
      <c r="B1227" s="2">
        <v>42026.726000000002</v>
      </c>
      <c r="C1227" s="3" t="s">
        <v>5006</v>
      </c>
      <c r="D1227" t="s">
        <v>5014</v>
      </c>
      <c r="E1227" t="s">
        <v>5018</v>
      </c>
      <c r="F1227" t="s">
        <v>5018</v>
      </c>
      <c r="G1227">
        <v>115</v>
      </c>
      <c r="H1227" s="5">
        <v>2.9120906632449451E-3</v>
      </c>
      <c r="I1227">
        <v>5</v>
      </c>
      <c r="J1227" t="b">
        <f>AND(CCData[[#This Row],[Date]]&gt;=Calculation!$E$3,CCData[[#This Row],[Date]]&lt;Calculation!$E$3+7)</f>
        <v>0</v>
      </c>
    </row>
    <row r="1228" spans="1:10">
      <c r="A1228" t="s">
        <v>1227</v>
      </c>
      <c r="B1228" s="2">
        <v>42026.735000000001</v>
      </c>
      <c r="C1228" s="3" t="s">
        <v>5003</v>
      </c>
      <c r="D1228" t="s">
        <v>5016</v>
      </c>
      <c r="E1228" t="s">
        <v>5018</v>
      </c>
      <c r="F1228" t="s">
        <v>5018</v>
      </c>
      <c r="G1228">
        <v>64</v>
      </c>
      <c r="H1228" s="5">
        <v>1.1792057776985987E-3</v>
      </c>
      <c r="I1228">
        <v>3</v>
      </c>
      <c r="J1228" t="b">
        <f>AND(CCData[[#This Row],[Date]]&gt;=Calculation!$E$3,CCData[[#This Row],[Date]]&lt;Calculation!$E$3+7)</f>
        <v>0</v>
      </c>
    </row>
    <row r="1229" spans="1:10">
      <c r="A1229" t="s">
        <v>1228</v>
      </c>
      <c r="B1229" s="2">
        <v>42026.735000000001</v>
      </c>
      <c r="C1229" s="3" t="s">
        <v>5009</v>
      </c>
      <c r="D1229" t="s">
        <v>5013</v>
      </c>
      <c r="E1229" t="s">
        <v>5019</v>
      </c>
      <c r="F1229" t="s">
        <v>5019</v>
      </c>
      <c r="G1229" t="s">
        <v>5022</v>
      </c>
      <c r="H1229" s="5" t="s">
        <v>5022</v>
      </c>
      <c r="I1229" t="s">
        <v>5022</v>
      </c>
      <c r="J1229" t="b">
        <f>AND(CCData[[#This Row],[Date]]&gt;=Calculation!$E$3,CCData[[#This Row],[Date]]&lt;Calculation!$E$3+7)</f>
        <v>0</v>
      </c>
    </row>
    <row r="1230" spans="1:10">
      <c r="A1230" t="s">
        <v>1229</v>
      </c>
      <c r="B1230" s="2">
        <v>42026.741000000002</v>
      </c>
      <c r="C1230" s="3" t="s">
        <v>5007</v>
      </c>
      <c r="D1230" t="s">
        <v>5014</v>
      </c>
      <c r="E1230" t="s">
        <v>5018</v>
      </c>
      <c r="F1230" t="s">
        <v>5018</v>
      </c>
      <c r="G1230">
        <v>71</v>
      </c>
      <c r="H1230" s="5">
        <v>2.7901429062617638E-3</v>
      </c>
      <c r="I1230">
        <v>2</v>
      </c>
      <c r="J1230" t="b">
        <f>AND(CCData[[#This Row],[Date]]&gt;=Calculation!$E$3,CCData[[#This Row],[Date]]&lt;Calculation!$E$3+7)</f>
        <v>0</v>
      </c>
    </row>
    <row r="1231" spans="1:10">
      <c r="A1231" t="s">
        <v>1230</v>
      </c>
      <c r="B1231" s="2">
        <v>42026.741000000002</v>
      </c>
      <c r="C1231" s="3" t="s">
        <v>5004</v>
      </c>
      <c r="D1231" t="s">
        <v>5016</v>
      </c>
      <c r="E1231" t="s">
        <v>5018</v>
      </c>
      <c r="F1231" t="s">
        <v>5019</v>
      </c>
      <c r="G1231">
        <v>50</v>
      </c>
      <c r="H1231" s="5">
        <v>3.5650884377694207E-3</v>
      </c>
      <c r="I1231">
        <v>3</v>
      </c>
      <c r="J1231" t="b">
        <f>AND(CCData[[#This Row],[Date]]&gt;=Calculation!$E$3,CCData[[#This Row],[Date]]&lt;Calculation!$E$3+7)</f>
        <v>0</v>
      </c>
    </row>
    <row r="1232" spans="1:10">
      <c r="A1232" t="s">
        <v>1231</v>
      </c>
      <c r="B1232" s="2">
        <v>42027.396999999997</v>
      </c>
      <c r="C1232" s="3" t="s">
        <v>5006</v>
      </c>
      <c r="D1232" t="s">
        <v>5016</v>
      </c>
      <c r="E1232" t="s">
        <v>5018</v>
      </c>
      <c r="F1232" t="s">
        <v>5018</v>
      </c>
      <c r="G1232">
        <v>116</v>
      </c>
      <c r="H1232" s="5">
        <v>8.4150692361146878E-4</v>
      </c>
      <c r="I1232">
        <v>2</v>
      </c>
      <c r="J1232" t="b">
        <f>AND(CCData[[#This Row],[Date]]&gt;=Calculation!$E$3,CCData[[#This Row],[Date]]&lt;Calculation!$E$3+7)</f>
        <v>0</v>
      </c>
    </row>
    <row r="1233" spans="1:10">
      <c r="A1233" t="s">
        <v>1232</v>
      </c>
      <c r="B1233" s="2">
        <v>42027.396999999997</v>
      </c>
      <c r="C1233" s="3" t="s">
        <v>5009</v>
      </c>
      <c r="D1233" t="s">
        <v>5015</v>
      </c>
      <c r="E1233" t="s">
        <v>5018</v>
      </c>
      <c r="F1233" t="s">
        <v>5018</v>
      </c>
      <c r="G1233">
        <v>52</v>
      </c>
      <c r="H1233" s="5">
        <v>1.0035673899326072E-3</v>
      </c>
      <c r="I1233">
        <v>5</v>
      </c>
      <c r="J1233" t="b">
        <f>AND(CCData[[#This Row],[Date]]&gt;=Calculation!$E$3,CCData[[#This Row],[Date]]&lt;Calculation!$E$3+7)</f>
        <v>0</v>
      </c>
    </row>
    <row r="1234" spans="1:10">
      <c r="A1234" t="s">
        <v>1233</v>
      </c>
      <c r="B1234" s="2">
        <v>42027.402999999998</v>
      </c>
      <c r="C1234" s="3" t="s">
        <v>5006</v>
      </c>
      <c r="D1234" t="s">
        <v>5013</v>
      </c>
      <c r="E1234" t="s">
        <v>5018</v>
      </c>
      <c r="F1234" t="s">
        <v>5018</v>
      </c>
      <c r="G1234">
        <v>112</v>
      </c>
      <c r="H1234" s="5">
        <v>2.5102989962487486E-3</v>
      </c>
      <c r="I1234">
        <v>5</v>
      </c>
      <c r="J1234" t="b">
        <f>AND(CCData[[#This Row],[Date]]&gt;=Calculation!$E$3,CCData[[#This Row],[Date]]&lt;Calculation!$E$3+7)</f>
        <v>0</v>
      </c>
    </row>
    <row r="1235" spans="1:10">
      <c r="A1235" t="s">
        <v>1234</v>
      </c>
      <c r="B1235" s="2">
        <v>42027.402999999998</v>
      </c>
      <c r="C1235" s="3" t="s">
        <v>5005</v>
      </c>
      <c r="D1235" t="s">
        <v>5015</v>
      </c>
      <c r="E1235" t="s">
        <v>5018</v>
      </c>
      <c r="F1235" t="s">
        <v>5018</v>
      </c>
      <c r="G1235">
        <v>116</v>
      </c>
      <c r="H1235" s="5">
        <v>1.8792956210269805E-3</v>
      </c>
      <c r="I1235">
        <v>3</v>
      </c>
      <c r="J1235" t="b">
        <f>AND(CCData[[#This Row],[Date]]&gt;=Calculation!$E$3,CCData[[#This Row],[Date]]&lt;Calculation!$E$3+7)</f>
        <v>0</v>
      </c>
    </row>
    <row r="1236" spans="1:10">
      <c r="A1236" t="s">
        <v>1235</v>
      </c>
      <c r="B1236" s="2">
        <v>42027.411</v>
      </c>
      <c r="C1236" s="3" t="s">
        <v>5004</v>
      </c>
      <c r="D1236" t="s">
        <v>5014</v>
      </c>
      <c r="E1236" t="s">
        <v>5018</v>
      </c>
      <c r="F1236" t="s">
        <v>5019</v>
      </c>
      <c r="G1236">
        <v>112</v>
      </c>
      <c r="H1236" s="5">
        <v>4.3735305511923778E-3</v>
      </c>
      <c r="I1236">
        <v>2</v>
      </c>
      <c r="J1236" t="b">
        <f>AND(CCData[[#This Row],[Date]]&gt;=Calculation!$E$3,CCData[[#This Row],[Date]]&lt;Calculation!$E$3+7)</f>
        <v>0</v>
      </c>
    </row>
    <row r="1237" spans="1:10">
      <c r="A1237" t="s">
        <v>1236</v>
      </c>
      <c r="B1237" s="2">
        <v>42027.411</v>
      </c>
      <c r="C1237" s="3" t="s">
        <v>5010</v>
      </c>
      <c r="D1237" t="s">
        <v>5016</v>
      </c>
      <c r="E1237" t="s">
        <v>5018</v>
      </c>
      <c r="F1237" t="s">
        <v>5018</v>
      </c>
      <c r="G1237">
        <v>53</v>
      </c>
      <c r="H1237" s="5">
        <v>4.0054048495707503E-3</v>
      </c>
      <c r="I1237">
        <v>4</v>
      </c>
      <c r="J1237" t="b">
        <f>AND(CCData[[#This Row],[Date]]&gt;=Calculation!$E$3,CCData[[#This Row],[Date]]&lt;Calculation!$E$3+7)</f>
        <v>0</v>
      </c>
    </row>
    <row r="1238" spans="1:10">
      <c r="A1238" t="s">
        <v>1237</v>
      </c>
      <c r="B1238" s="2">
        <v>42027.415000000001</v>
      </c>
      <c r="C1238" s="3" t="s">
        <v>5003</v>
      </c>
      <c r="D1238" t="s">
        <v>5015</v>
      </c>
      <c r="E1238" t="s">
        <v>5018</v>
      </c>
      <c r="F1238" t="s">
        <v>5018</v>
      </c>
      <c r="G1238">
        <v>12</v>
      </c>
      <c r="H1238" s="5">
        <v>3.8292445172722098E-3</v>
      </c>
      <c r="I1238">
        <v>3</v>
      </c>
      <c r="J1238" t="b">
        <f>AND(CCData[[#This Row],[Date]]&gt;=Calculation!$E$3,CCData[[#This Row],[Date]]&lt;Calculation!$E$3+7)</f>
        <v>0</v>
      </c>
    </row>
    <row r="1239" spans="1:10">
      <c r="A1239" t="s">
        <v>1238</v>
      </c>
      <c r="B1239" s="2">
        <v>42027.415000000001</v>
      </c>
      <c r="C1239" s="3" t="s">
        <v>5008</v>
      </c>
      <c r="D1239" t="s">
        <v>5013</v>
      </c>
      <c r="E1239" t="s">
        <v>5018</v>
      </c>
      <c r="F1239" t="s">
        <v>5019</v>
      </c>
      <c r="G1239">
        <v>120</v>
      </c>
      <c r="H1239" s="5">
        <v>6.2740306679519872E-4</v>
      </c>
      <c r="I1239">
        <v>4</v>
      </c>
      <c r="J1239" t="b">
        <f>AND(CCData[[#This Row],[Date]]&gt;=Calculation!$E$3,CCData[[#This Row],[Date]]&lt;Calculation!$E$3+7)</f>
        <v>0</v>
      </c>
    </row>
    <row r="1240" spans="1:10">
      <c r="A1240" t="s">
        <v>1239</v>
      </c>
      <c r="B1240" s="2">
        <v>42027.451000000001</v>
      </c>
      <c r="C1240" s="3" t="s">
        <v>5003</v>
      </c>
      <c r="D1240" t="s">
        <v>5015</v>
      </c>
      <c r="E1240" t="s">
        <v>5019</v>
      </c>
      <c r="F1240" t="s">
        <v>5019</v>
      </c>
      <c r="G1240" t="s">
        <v>5022</v>
      </c>
      <c r="H1240" s="5" t="s">
        <v>5022</v>
      </c>
      <c r="I1240" t="s">
        <v>5022</v>
      </c>
      <c r="J1240" t="b">
        <f>AND(CCData[[#This Row],[Date]]&gt;=Calculation!$E$3,CCData[[#This Row],[Date]]&lt;Calculation!$E$3+7)</f>
        <v>0</v>
      </c>
    </row>
    <row r="1241" spans="1:10">
      <c r="A1241" t="s">
        <v>1240</v>
      </c>
      <c r="B1241" s="2">
        <v>42027.451000000001</v>
      </c>
      <c r="C1241" s="3" t="s">
        <v>5010</v>
      </c>
      <c r="D1241" t="s">
        <v>5013</v>
      </c>
      <c r="E1241" t="s">
        <v>5018</v>
      </c>
      <c r="F1241" t="s">
        <v>5018</v>
      </c>
      <c r="G1241">
        <v>118</v>
      </c>
      <c r="H1241" s="5">
        <v>1.9589245312935468E-3</v>
      </c>
      <c r="I1241">
        <v>4</v>
      </c>
      <c r="J1241" t="b">
        <f>AND(CCData[[#This Row],[Date]]&gt;=Calculation!$E$3,CCData[[#This Row],[Date]]&lt;Calculation!$E$3+7)</f>
        <v>0</v>
      </c>
    </row>
    <row r="1242" spans="1:10">
      <c r="A1242" t="s">
        <v>1241</v>
      </c>
      <c r="B1242" s="2">
        <v>42027.459000000003</v>
      </c>
      <c r="C1242" s="3" t="s">
        <v>5007</v>
      </c>
      <c r="D1242" t="s">
        <v>5012</v>
      </c>
      <c r="E1242" t="s">
        <v>5018</v>
      </c>
      <c r="F1242" t="s">
        <v>5018</v>
      </c>
      <c r="G1242">
        <v>121</v>
      </c>
      <c r="H1242" s="5">
        <v>1.9528115192007853E-3</v>
      </c>
      <c r="I1242">
        <v>2</v>
      </c>
      <c r="J1242" t="b">
        <f>AND(CCData[[#This Row],[Date]]&gt;=Calculation!$E$3,CCData[[#This Row],[Date]]&lt;Calculation!$E$3+7)</f>
        <v>0</v>
      </c>
    </row>
    <row r="1243" spans="1:10">
      <c r="A1243" t="s">
        <v>1242</v>
      </c>
      <c r="B1243" s="2">
        <v>42027.459000000003</v>
      </c>
      <c r="C1243" s="3" t="s">
        <v>5009</v>
      </c>
      <c r="D1243" t="s">
        <v>5016</v>
      </c>
      <c r="E1243" t="s">
        <v>5018</v>
      </c>
      <c r="F1243" t="s">
        <v>5018</v>
      </c>
      <c r="G1243">
        <v>83</v>
      </c>
      <c r="H1243" s="5">
        <v>4.7243378636406819E-3</v>
      </c>
      <c r="I1243">
        <v>5</v>
      </c>
      <c r="J1243" t="b">
        <f>AND(CCData[[#This Row],[Date]]&gt;=Calculation!$E$3,CCData[[#This Row],[Date]]&lt;Calculation!$E$3+7)</f>
        <v>0</v>
      </c>
    </row>
    <row r="1244" spans="1:10">
      <c r="A1244" t="s">
        <v>1243</v>
      </c>
      <c r="B1244" s="2">
        <v>42027.470999999998</v>
      </c>
      <c r="C1244" s="3" t="s">
        <v>5008</v>
      </c>
      <c r="D1244" t="s">
        <v>5016</v>
      </c>
      <c r="E1244" t="s">
        <v>5018</v>
      </c>
      <c r="F1244" t="s">
        <v>5018</v>
      </c>
      <c r="G1244">
        <v>84</v>
      </c>
      <c r="H1244" s="5">
        <v>9.3227715826944293E-4</v>
      </c>
      <c r="I1244">
        <v>5</v>
      </c>
      <c r="J1244" t="b">
        <f>AND(CCData[[#This Row],[Date]]&gt;=Calculation!$E$3,CCData[[#This Row],[Date]]&lt;Calculation!$E$3+7)</f>
        <v>0</v>
      </c>
    </row>
    <row r="1245" spans="1:10">
      <c r="A1245" t="s">
        <v>1244</v>
      </c>
      <c r="B1245" s="2">
        <v>42027.470999999998</v>
      </c>
      <c r="C1245" s="3" t="s">
        <v>5004</v>
      </c>
      <c r="D1245" t="s">
        <v>5014</v>
      </c>
      <c r="E1245" t="s">
        <v>5018</v>
      </c>
      <c r="F1245" t="s">
        <v>5019</v>
      </c>
      <c r="G1245">
        <v>63</v>
      </c>
      <c r="H1245" s="5">
        <v>3.4729918418800834E-3</v>
      </c>
      <c r="I1245">
        <v>4</v>
      </c>
      <c r="J1245" t="b">
        <f>AND(CCData[[#This Row],[Date]]&gt;=Calculation!$E$3,CCData[[#This Row],[Date]]&lt;Calculation!$E$3+7)</f>
        <v>0</v>
      </c>
    </row>
    <row r="1246" spans="1:10">
      <c r="A1246" t="s">
        <v>1245</v>
      </c>
      <c r="B1246" s="2">
        <v>42027.478999999999</v>
      </c>
      <c r="C1246" s="3" t="s">
        <v>5007</v>
      </c>
      <c r="D1246" t="s">
        <v>5013</v>
      </c>
      <c r="E1246" t="s">
        <v>5018</v>
      </c>
      <c r="F1246" t="s">
        <v>5018</v>
      </c>
      <c r="G1246">
        <v>33</v>
      </c>
      <c r="H1246" s="5">
        <v>2.4240124383611552E-3</v>
      </c>
      <c r="I1246">
        <v>3</v>
      </c>
      <c r="J1246" t="b">
        <f>AND(CCData[[#This Row],[Date]]&gt;=Calculation!$E$3,CCData[[#This Row],[Date]]&lt;Calculation!$E$3+7)</f>
        <v>0</v>
      </c>
    </row>
    <row r="1247" spans="1:10">
      <c r="A1247" t="s">
        <v>1246</v>
      </c>
      <c r="B1247" s="2">
        <v>42027.478999999999</v>
      </c>
      <c r="C1247" s="3" t="s">
        <v>5010</v>
      </c>
      <c r="D1247" t="s">
        <v>5012</v>
      </c>
      <c r="E1247" t="s">
        <v>5019</v>
      </c>
      <c r="F1247" t="s">
        <v>5019</v>
      </c>
      <c r="G1247" t="s">
        <v>5022</v>
      </c>
      <c r="H1247" s="5" t="s">
        <v>5022</v>
      </c>
      <c r="I1247" t="s">
        <v>5022</v>
      </c>
      <c r="J1247" t="b">
        <f>AND(CCData[[#This Row],[Date]]&gt;=Calculation!$E$3,CCData[[#This Row],[Date]]&lt;Calculation!$E$3+7)</f>
        <v>0</v>
      </c>
    </row>
    <row r="1248" spans="1:10">
      <c r="A1248" t="s">
        <v>1247</v>
      </c>
      <c r="B1248" s="2">
        <v>42027.481</v>
      </c>
      <c r="C1248" s="3" t="s">
        <v>5006</v>
      </c>
      <c r="D1248" t="s">
        <v>5015</v>
      </c>
      <c r="E1248" t="s">
        <v>5018</v>
      </c>
      <c r="F1248" t="s">
        <v>5019</v>
      </c>
      <c r="G1248">
        <v>10</v>
      </c>
      <c r="H1248" s="5">
        <v>7.0341295790850875E-4</v>
      </c>
      <c r="I1248">
        <v>5</v>
      </c>
      <c r="J1248" t="b">
        <f>AND(CCData[[#This Row],[Date]]&gt;=Calculation!$E$3,CCData[[#This Row],[Date]]&lt;Calculation!$E$3+7)</f>
        <v>0</v>
      </c>
    </row>
    <row r="1249" spans="1:10">
      <c r="A1249" t="s">
        <v>1248</v>
      </c>
      <c r="B1249" s="2">
        <v>42027.481</v>
      </c>
      <c r="C1249" s="3" t="s">
        <v>5008</v>
      </c>
      <c r="D1249" t="s">
        <v>5015</v>
      </c>
      <c r="E1249" t="s">
        <v>5018</v>
      </c>
      <c r="F1249" t="s">
        <v>5018</v>
      </c>
      <c r="G1249">
        <v>100</v>
      </c>
      <c r="H1249" s="5">
        <v>4.8622175237765606E-4</v>
      </c>
      <c r="I1249">
        <v>5</v>
      </c>
      <c r="J1249" t="b">
        <f>AND(CCData[[#This Row],[Date]]&gt;=Calculation!$E$3,CCData[[#This Row],[Date]]&lt;Calculation!$E$3+7)</f>
        <v>0</v>
      </c>
    </row>
    <row r="1250" spans="1:10">
      <c r="A1250" t="s">
        <v>1249</v>
      </c>
      <c r="B1250" s="2">
        <v>42027.483</v>
      </c>
      <c r="C1250" s="3" t="s">
        <v>5003</v>
      </c>
      <c r="D1250" t="s">
        <v>5012</v>
      </c>
      <c r="E1250" t="s">
        <v>5018</v>
      </c>
      <c r="F1250" t="s">
        <v>5018</v>
      </c>
      <c r="G1250">
        <v>110</v>
      </c>
      <c r="H1250" s="5">
        <v>3.5118389479241925E-3</v>
      </c>
      <c r="I1250">
        <v>5</v>
      </c>
      <c r="J1250" t="b">
        <f>AND(CCData[[#This Row],[Date]]&gt;=Calculation!$E$3,CCData[[#This Row],[Date]]&lt;Calculation!$E$3+7)</f>
        <v>0</v>
      </c>
    </row>
    <row r="1251" spans="1:10">
      <c r="A1251" t="s">
        <v>1250</v>
      </c>
      <c r="B1251" s="2">
        <v>42027.483</v>
      </c>
      <c r="C1251" s="3" t="s">
        <v>5005</v>
      </c>
      <c r="D1251" t="s">
        <v>5014</v>
      </c>
      <c r="E1251" t="s">
        <v>5018</v>
      </c>
      <c r="F1251" t="s">
        <v>5018</v>
      </c>
      <c r="G1251">
        <v>28</v>
      </c>
      <c r="H1251" s="5">
        <v>3.6607136477214194E-3</v>
      </c>
      <c r="I1251">
        <v>2</v>
      </c>
      <c r="J1251" t="b">
        <f>AND(CCData[[#This Row],[Date]]&gt;=Calculation!$E$3,CCData[[#This Row],[Date]]&lt;Calculation!$E$3+7)</f>
        <v>0</v>
      </c>
    </row>
    <row r="1252" spans="1:10">
      <c r="A1252" t="s">
        <v>1251</v>
      </c>
      <c r="B1252" s="2">
        <v>42027.483999999997</v>
      </c>
      <c r="C1252" s="3" t="s">
        <v>5008</v>
      </c>
      <c r="D1252" t="s">
        <v>5015</v>
      </c>
      <c r="E1252" t="s">
        <v>5018</v>
      </c>
      <c r="F1252" t="s">
        <v>5018</v>
      </c>
      <c r="G1252">
        <v>74</v>
      </c>
      <c r="H1252" s="5">
        <v>8.6493533610950465E-4</v>
      </c>
      <c r="I1252">
        <v>3</v>
      </c>
      <c r="J1252" t="b">
        <f>AND(CCData[[#This Row],[Date]]&gt;=Calculation!$E$3,CCData[[#This Row],[Date]]&lt;Calculation!$E$3+7)</f>
        <v>0</v>
      </c>
    </row>
    <row r="1253" spans="1:10">
      <c r="A1253" t="s">
        <v>1252</v>
      </c>
      <c r="B1253" s="2">
        <v>42027.483999999997</v>
      </c>
      <c r="C1253" s="3" t="s">
        <v>5007</v>
      </c>
      <c r="D1253" t="s">
        <v>5015</v>
      </c>
      <c r="E1253" t="s">
        <v>5018</v>
      </c>
      <c r="F1253" t="s">
        <v>5018</v>
      </c>
      <c r="G1253">
        <v>18</v>
      </c>
      <c r="H1253" s="5">
        <v>9.32615738148667E-4</v>
      </c>
      <c r="I1253">
        <v>3</v>
      </c>
      <c r="J1253" t="b">
        <f>AND(CCData[[#This Row],[Date]]&gt;=Calculation!$E$3,CCData[[#This Row],[Date]]&lt;Calculation!$E$3+7)</f>
        <v>0</v>
      </c>
    </row>
    <row r="1254" spans="1:10">
      <c r="A1254" t="s">
        <v>1253</v>
      </c>
      <c r="B1254" s="2">
        <v>42027.489000000001</v>
      </c>
      <c r="C1254" s="3" t="s">
        <v>5004</v>
      </c>
      <c r="D1254" t="s">
        <v>5016</v>
      </c>
      <c r="E1254" t="s">
        <v>5018</v>
      </c>
      <c r="F1254" t="s">
        <v>5018</v>
      </c>
      <c r="G1254">
        <v>22</v>
      </c>
      <c r="H1254" s="5">
        <v>4.3096093158750117E-3</v>
      </c>
      <c r="I1254">
        <v>3</v>
      </c>
      <c r="J1254" t="b">
        <f>AND(CCData[[#This Row],[Date]]&gt;=Calculation!$E$3,CCData[[#This Row],[Date]]&lt;Calculation!$E$3+7)</f>
        <v>0</v>
      </c>
    </row>
    <row r="1255" spans="1:10">
      <c r="A1255" t="s">
        <v>1254</v>
      </c>
      <c r="B1255" s="2">
        <v>42027.489000000001</v>
      </c>
      <c r="C1255" s="3" t="s">
        <v>5003</v>
      </c>
      <c r="D1255" t="s">
        <v>5016</v>
      </c>
      <c r="E1255" t="s">
        <v>5019</v>
      </c>
      <c r="F1255" t="s">
        <v>5019</v>
      </c>
      <c r="G1255" t="s">
        <v>5022</v>
      </c>
      <c r="H1255" s="5" t="s">
        <v>5022</v>
      </c>
      <c r="I1255" t="s">
        <v>5022</v>
      </c>
      <c r="J1255" t="b">
        <f>AND(CCData[[#This Row],[Date]]&gt;=Calculation!$E$3,CCData[[#This Row],[Date]]&lt;Calculation!$E$3+7)</f>
        <v>0</v>
      </c>
    </row>
    <row r="1256" spans="1:10">
      <c r="A1256" t="s">
        <v>1255</v>
      </c>
      <c r="B1256" s="2">
        <v>42027.497000000003</v>
      </c>
      <c r="C1256" s="3" t="s">
        <v>5009</v>
      </c>
      <c r="D1256" t="s">
        <v>5012</v>
      </c>
      <c r="E1256" t="s">
        <v>5018</v>
      </c>
      <c r="F1256" t="s">
        <v>5018</v>
      </c>
      <c r="G1256">
        <v>15</v>
      </c>
      <c r="H1256" s="5">
        <v>2.5122654827203655E-3</v>
      </c>
      <c r="I1256">
        <v>3</v>
      </c>
      <c r="J1256" t="b">
        <f>AND(CCData[[#This Row],[Date]]&gt;=Calculation!$E$3,CCData[[#This Row],[Date]]&lt;Calculation!$E$3+7)</f>
        <v>0</v>
      </c>
    </row>
    <row r="1257" spans="1:10">
      <c r="A1257" t="s">
        <v>1256</v>
      </c>
      <c r="B1257" s="2">
        <v>42027.497000000003</v>
      </c>
      <c r="C1257" s="3" t="s">
        <v>5009</v>
      </c>
      <c r="D1257" t="s">
        <v>5015</v>
      </c>
      <c r="E1257" t="s">
        <v>5018</v>
      </c>
      <c r="F1257" t="s">
        <v>5018</v>
      </c>
      <c r="G1257">
        <v>120</v>
      </c>
      <c r="H1257" s="5">
        <v>2.9151534651279034E-3</v>
      </c>
      <c r="I1257">
        <v>2</v>
      </c>
      <c r="J1257" t="b">
        <f>AND(CCData[[#This Row],[Date]]&gt;=Calculation!$E$3,CCData[[#This Row],[Date]]&lt;Calculation!$E$3+7)</f>
        <v>0</v>
      </c>
    </row>
    <row r="1258" spans="1:10">
      <c r="A1258" t="s">
        <v>1257</v>
      </c>
      <c r="B1258" s="2">
        <v>42027.51</v>
      </c>
      <c r="C1258" s="3" t="s">
        <v>5009</v>
      </c>
      <c r="D1258" t="s">
        <v>5012</v>
      </c>
      <c r="E1258" t="s">
        <v>5018</v>
      </c>
      <c r="F1258" t="s">
        <v>5018</v>
      </c>
      <c r="G1258">
        <v>26</v>
      </c>
      <c r="H1258" s="5">
        <v>2.6230281863372997E-3</v>
      </c>
      <c r="I1258">
        <v>3</v>
      </c>
      <c r="J1258" t="b">
        <f>AND(CCData[[#This Row],[Date]]&gt;=Calculation!$E$3,CCData[[#This Row],[Date]]&lt;Calculation!$E$3+7)</f>
        <v>0</v>
      </c>
    </row>
    <row r="1259" spans="1:10">
      <c r="A1259" t="s">
        <v>1258</v>
      </c>
      <c r="B1259" s="2">
        <v>42027.51</v>
      </c>
      <c r="C1259" s="3" t="s">
        <v>5003</v>
      </c>
      <c r="D1259" t="s">
        <v>5014</v>
      </c>
      <c r="E1259" t="s">
        <v>5018</v>
      </c>
      <c r="F1259" t="s">
        <v>5018</v>
      </c>
      <c r="G1259">
        <v>33</v>
      </c>
      <c r="H1259" s="5">
        <v>1.2065089271251013E-3</v>
      </c>
      <c r="I1259">
        <v>5</v>
      </c>
      <c r="J1259" t="b">
        <f>AND(CCData[[#This Row],[Date]]&gt;=Calculation!$E$3,CCData[[#This Row],[Date]]&lt;Calculation!$E$3+7)</f>
        <v>0</v>
      </c>
    </row>
    <row r="1260" spans="1:10">
      <c r="A1260" t="s">
        <v>1259</v>
      </c>
      <c r="B1260" s="2">
        <v>42027.53</v>
      </c>
      <c r="C1260" s="3" t="s">
        <v>5010</v>
      </c>
      <c r="D1260" t="s">
        <v>5016</v>
      </c>
      <c r="E1260" t="s">
        <v>5018</v>
      </c>
      <c r="F1260" t="s">
        <v>5018</v>
      </c>
      <c r="G1260">
        <v>18</v>
      </c>
      <c r="H1260" s="5">
        <v>8.6059523517485509E-4</v>
      </c>
      <c r="I1260">
        <v>4</v>
      </c>
      <c r="J1260" t="b">
        <f>AND(CCData[[#This Row],[Date]]&gt;=Calculation!$E$3,CCData[[#This Row],[Date]]&lt;Calculation!$E$3+7)</f>
        <v>0</v>
      </c>
    </row>
    <row r="1261" spans="1:10">
      <c r="A1261" t="s">
        <v>1260</v>
      </c>
      <c r="B1261" s="2">
        <v>42027.53</v>
      </c>
      <c r="C1261" s="3" t="s">
        <v>5006</v>
      </c>
      <c r="D1261" t="s">
        <v>5014</v>
      </c>
      <c r="E1261" t="s">
        <v>5018</v>
      </c>
      <c r="F1261" t="s">
        <v>5018</v>
      </c>
      <c r="G1261">
        <v>29</v>
      </c>
      <c r="H1261" s="5">
        <v>4.1099797608435728E-3</v>
      </c>
      <c r="I1261">
        <v>5</v>
      </c>
      <c r="J1261" t="b">
        <f>AND(CCData[[#This Row],[Date]]&gt;=Calculation!$E$3,CCData[[#This Row],[Date]]&lt;Calculation!$E$3+7)</f>
        <v>0</v>
      </c>
    </row>
    <row r="1262" spans="1:10">
      <c r="A1262" t="s">
        <v>1261</v>
      </c>
      <c r="B1262" s="2">
        <v>42027.538</v>
      </c>
      <c r="C1262" s="3" t="s">
        <v>5006</v>
      </c>
      <c r="D1262" t="s">
        <v>5014</v>
      </c>
      <c r="E1262" t="s">
        <v>5018</v>
      </c>
      <c r="F1262" t="s">
        <v>5018</v>
      </c>
      <c r="G1262">
        <v>89</v>
      </c>
      <c r="H1262" s="5">
        <v>1.0933544532912677E-3</v>
      </c>
      <c r="I1262">
        <v>2</v>
      </c>
      <c r="J1262" t="b">
        <f>AND(CCData[[#This Row],[Date]]&gt;=Calculation!$E$3,CCData[[#This Row],[Date]]&lt;Calculation!$E$3+7)</f>
        <v>0</v>
      </c>
    </row>
    <row r="1263" spans="1:10">
      <c r="A1263" t="s">
        <v>1262</v>
      </c>
      <c r="B1263" s="2">
        <v>42027.538</v>
      </c>
      <c r="C1263" s="3" t="s">
        <v>5009</v>
      </c>
      <c r="D1263" t="s">
        <v>5013</v>
      </c>
      <c r="E1263" t="s">
        <v>5019</v>
      </c>
      <c r="F1263" t="s">
        <v>5019</v>
      </c>
      <c r="G1263" t="s">
        <v>5022</v>
      </c>
      <c r="H1263" s="5" t="s">
        <v>5022</v>
      </c>
      <c r="I1263" t="s">
        <v>5022</v>
      </c>
      <c r="J1263" t="b">
        <f>AND(CCData[[#This Row],[Date]]&gt;=Calculation!$E$3,CCData[[#This Row],[Date]]&lt;Calculation!$E$3+7)</f>
        <v>0</v>
      </c>
    </row>
    <row r="1264" spans="1:10">
      <c r="A1264" t="s">
        <v>1263</v>
      </c>
      <c r="B1264" s="2">
        <v>42027.565000000002</v>
      </c>
      <c r="C1264" s="3" t="s">
        <v>5003</v>
      </c>
      <c r="D1264" t="s">
        <v>5015</v>
      </c>
      <c r="E1264" t="s">
        <v>5018</v>
      </c>
      <c r="F1264" t="s">
        <v>5018</v>
      </c>
      <c r="G1264">
        <v>44</v>
      </c>
      <c r="H1264" s="5">
        <v>2.2197275890329803E-3</v>
      </c>
      <c r="I1264">
        <v>5</v>
      </c>
      <c r="J1264" t="b">
        <f>AND(CCData[[#This Row],[Date]]&gt;=Calculation!$E$3,CCData[[#This Row],[Date]]&lt;Calculation!$E$3+7)</f>
        <v>0</v>
      </c>
    </row>
    <row r="1265" spans="1:10">
      <c r="A1265" t="s">
        <v>1264</v>
      </c>
      <c r="B1265" s="2">
        <v>42027.565000000002</v>
      </c>
      <c r="C1265" s="3" t="s">
        <v>5003</v>
      </c>
      <c r="D1265" t="s">
        <v>5012</v>
      </c>
      <c r="E1265" t="s">
        <v>5018</v>
      </c>
      <c r="F1265" t="s">
        <v>5019</v>
      </c>
      <c r="G1265">
        <v>62</v>
      </c>
      <c r="H1265" s="5">
        <v>2.4666807953926105E-3</v>
      </c>
      <c r="I1265">
        <v>4</v>
      </c>
      <c r="J1265" t="b">
        <f>AND(CCData[[#This Row],[Date]]&gt;=Calculation!$E$3,CCData[[#This Row],[Date]]&lt;Calculation!$E$3+7)</f>
        <v>0</v>
      </c>
    </row>
    <row r="1266" spans="1:10">
      <c r="A1266" t="s">
        <v>1265</v>
      </c>
      <c r="B1266" s="2">
        <v>42027.567999999999</v>
      </c>
      <c r="C1266" s="3" t="s">
        <v>5010</v>
      </c>
      <c r="D1266" t="s">
        <v>5015</v>
      </c>
      <c r="E1266" t="s">
        <v>5018</v>
      </c>
      <c r="F1266" t="s">
        <v>5018</v>
      </c>
      <c r="G1266">
        <v>29</v>
      </c>
      <c r="H1266" s="5">
        <v>1.2685658862425623E-3</v>
      </c>
      <c r="I1266">
        <v>5</v>
      </c>
      <c r="J1266" t="b">
        <f>AND(CCData[[#This Row],[Date]]&gt;=Calculation!$E$3,CCData[[#This Row],[Date]]&lt;Calculation!$E$3+7)</f>
        <v>0</v>
      </c>
    </row>
    <row r="1267" spans="1:10">
      <c r="A1267" t="s">
        <v>1266</v>
      </c>
      <c r="B1267" s="2">
        <v>42027.567999999999</v>
      </c>
      <c r="C1267" s="3" t="s">
        <v>5008</v>
      </c>
      <c r="D1267" t="s">
        <v>5015</v>
      </c>
      <c r="E1267" t="s">
        <v>5018</v>
      </c>
      <c r="F1267" t="s">
        <v>5018</v>
      </c>
      <c r="G1267">
        <v>10</v>
      </c>
      <c r="H1267" s="5">
        <v>4.6507597204813915E-3</v>
      </c>
      <c r="I1267">
        <v>5</v>
      </c>
      <c r="J1267" t="b">
        <f>AND(CCData[[#This Row],[Date]]&gt;=Calculation!$E$3,CCData[[#This Row],[Date]]&lt;Calculation!$E$3+7)</f>
        <v>0</v>
      </c>
    </row>
    <row r="1268" spans="1:10">
      <c r="A1268" t="s">
        <v>1267</v>
      </c>
      <c r="B1268" s="2">
        <v>42027.593000000001</v>
      </c>
      <c r="C1268" s="3" t="s">
        <v>5010</v>
      </c>
      <c r="D1268" t="s">
        <v>5014</v>
      </c>
      <c r="E1268" t="s">
        <v>5018</v>
      </c>
      <c r="F1268" t="s">
        <v>5018</v>
      </c>
      <c r="G1268">
        <v>75</v>
      </c>
      <c r="H1268" s="5">
        <v>1.3895251778461046E-3</v>
      </c>
      <c r="I1268">
        <v>4</v>
      </c>
      <c r="J1268" t="b">
        <f>AND(CCData[[#This Row],[Date]]&gt;=Calculation!$E$3,CCData[[#This Row],[Date]]&lt;Calculation!$E$3+7)</f>
        <v>0</v>
      </c>
    </row>
    <row r="1269" spans="1:10">
      <c r="A1269" t="s">
        <v>1268</v>
      </c>
      <c r="B1269" s="2">
        <v>42027.593000000001</v>
      </c>
      <c r="C1269" s="3" t="s">
        <v>5009</v>
      </c>
      <c r="D1269" t="s">
        <v>5016</v>
      </c>
      <c r="E1269" t="s">
        <v>5019</v>
      </c>
      <c r="F1269" t="s">
        <v>5019</v>
      </c>
      <c r="G1269" t="s">
        <v>5022</v>
      </c>
      <c r="H1269" s="5" t="s">
        <v>5022</v>
      </c>
      <c r="I1269" t="s">
        <v>5022</v>
      </c>
      <c r="J1269" t="b">
        <f>AND(CCData[[#This Row],[Date]]&gt;=Calculation!$E$3,CCData[[#This Row],[Date]]&lt;Calculation!$E$3+7)</f>
        <v>0</v>
      </c>
    </row>
    <row r="1270" spans="1:10">
      <c r="A1270" t="s">
        <v>1269</v>
      </c>
      <c r="B1270" s="2">
        <v>42027.62</v>
      </c>
      <c r="C1270" s="3" t="s">
        <v>5010</v>
      </c>
      <c r="D1270" t="s">
        <v>5013</v>
      </c>
      <c r="E1270" t="s">
        <v>5018</v>
      </c>
      <c r="F1270" t="s">
        <v>5018</v>
      </c>
      <c r="G1270">
        <v>33</v>
      </c>
      <c r="H1270" s="5">
        <v>7.6026824061227645E-4</v>
      </c>
      <c r="I1270">
        <v>5</v>
      </c>
      <c r="J1270" t="b">
        <f>AND(CCData[[#This Row],[Date]]&gt;=Calculation!$E$3,CCData[[#This Row],[Date]]&lt;Calculation!$E$3+7)</f>
        <v>0</v>
      </c>
    </row>
    <row r="1271" spans="1:10">
      <c r="A1271" t="s">
        <v>1270</v>
      </c>
      <c r="B1271" s="2">
        <v>42027.62</v>
      </c>
      <c r="C1271" s="3" t="s">
        <v>5004</v>
      </c>
      <c r="D1271" t="s">
        <v>5013</v>
      </c>
      <c r="E1271" t="s">
        <v>5019</v>
      </c>
      <c r="F1271" t="s">
        <v>5019</v>
      </c>
      <c r="G1271" t="s">
        <v>5022</v>
      </c>
      <c r="H1271" s="5" t="s">
        <v>5022</v>
      </c>
      <c r="I1271" t="s">
        <v>5022</v>
      </c>
      <c r="J1271" t="b">
        <f>AND(CCData[[#This Row],[Date]]&gt;=Calculation!$E$3,CCData[[#This Row],[Date]]&lt;Calculation!$E$3+7)</f>
        <v>0</v>
      </c>
    </row>
    <row r="1272" spans="1:10">
      <c r="A1272" t="s">
        <v>1271</v>
      </c>
      <c r="B1272" s="2">
        <v>42027.667999999998</v>
      </c>
      <c r="C1272" s="3" t="s">
        <v>5004</v>
      </c>
      <c r="D1272" t="s">
        <v>5014</v>
      </c>
      <c r="E1272" t="s">
        <v>5018</v>
      </c>
      <c r="F1272" t="s">
        <v>5019</v>
      </c>
      <c r="G1272">
        <v>56</v>
      </c>
      <c r="H1272" s="5">
        <v>1.3638200394289165E-3</v>
      </c>
      <c r="I1272">
        <v>4</v>
      </c>
      <c r="J1272" t="b">
        <f>AND(CCData[[#This Row],[Date]]&gt;=Calculation!$E$3,CCData[[#This Row],[Date]]&lt;Calculation!$E$3+7)</f>
        <v>0</v>
      </c>
    </row>
    <row r="1273" spans="1:10">
      <c r="A1273" t="s">
        <v>1272</v>
      </c>
      <c r="B1273" s="2">
        <v>42027.667999999998</v>
      </c>
      <c r="C1273" s="3" t="s">
        <v>5009</v>
      </c>
      <c r="D1273" t="s">
        <v>5015</v>
      </c>
      <c r="E1273" t="s">
        <v>5019</v>
      </c>
      <c r="F1273" t="s">
        <v>5019</v>
      </c>
      <c r="G1273" t="s">
        <v>5022</v>
      </c>
      <c r="H1273" s="5" t="s">
        <v>5022</v>
      </c>
      <c r="I1273" t="s">
        <v>5022</v>
      </c>
      <c r="J1273" t="b">
        <f>AND(CCData[[#This Row],[Date]]&gt;=Calculation!$E$3,CCData[[#This Row],[Date]]&lt;Calculation!$E$3+7)</f>
        <v>0</v>
      </c>
    </row>
    <row r="1274" spans="1:10">
      <c r="A1274" t="s">
        <v>1273</v>
      </c>
      <c r="B1274" s="2">
        <v>42027.675999999999</v>
      </c>
      <c r="C1274" s="3" t="s">
        <v>5005</v>
      </c>
      <c r="D1274" t="s">
        <v>5012</v>
      </c>
      <c r="E1274" t="s">
        <v>5018</v>
      </c>
      <c r="F1274" t="s">
        <v>5019</v>
      </c>
      <c r="G1274">
        <v>31</v>
      </c>
      <c r="H1274" s="5">
        <v>3.6052379239414218E-4</v>
      </c>
      <c r="I1274">
        <v>3</v>
      </c>
      <c r="J1274" t="b">
        <f>AND(CCData[[#This Row],[Date]]&gt;=Calculation!$E$3,CCData[[#This Row],[Date]]&lt;Calculation!$E$3+7)</f>
        <v>0</v>
      </c>
    </row>
    <row r="1275" spans="1:10">
      <c r="A1275" t="s">
        <v>1274</v>
      </c>
      <c r="B1275" s="2">
        <v>42027.675999999999</v>
      </c>
      <c r="C1275" s="3" t="s">
        <v>5006</v>
      </c>
      <c r="D1275" t="s">
        <v>5016</v>
      </c>
      <c r="E1275" t="s">
        <v>5018</v>
      </c>
      <c r="F1275" t="s">
        <v>5018</v>
      </c>
      <c r="G1275">
        <v>56</v>
      </c>
      <c r="H1275" s="5">
        <v>9.2866925897938689E-4</v>
      </c>
      <c r="I1275">
        <v>2</v>
      </c>
      <c r="J1275" t="b">
        <f>AND(CCData[[#This Row],[Date]]&gt;=Calculation!$E$3,CCData[[#This Row],[Date]]&lt;Calculation!$E$3+7)</f>
        <v>0</v>
      </c>
    </row>
    <row r="1276" spans="1:10">
      <c r="A1276" t="s">
        <v>1275</v>
      </c>
      <c r="B1276" s="2">
        <v>42027.692999999999</v>
      </c>
      <c r="C1276" s="3" t="s">
        <v>5007</v>
      </c>
      <c r="D1276" t="s">
        <v>5014</v>
      </c>
      <c r="E1276" t="s">
        <v>5018</v>
      </c>
      <c r="F1276" t="s">
        <v>5018</v>
      </c>
      <c r="G1276">
        <v>53</v>
      </c>
      <c r="H1276" s="5">
        <v>1.1892996867244744E-3</v>
      </c>
      <c r="I1276">
        <v>4</v>
      </c>
      <c r="J1276" t="b">
        <f>AND(CCData[[#This Row],[Date]]&gt;=Calculation!$E$3,CCData[[#This Row],[Date]]&lt;Calculation!$E$3+7)</f>
        <v>0</v>
      </c>
    </row>
    <row r="1277" spans="1:10">
      <c r="A1277" t="s">
        <v>1276</v>
      </c>
      <c r="B1277" s="2">
        <v>42027.692999999999</v>
      </c>
      <c r="C1277" s="3" t="s">
        <v>5003</v>
      </c>
      <c r="D1277" t="s">
        <v>5013</v>
      </c>
      <c r="E1277" t="s">
        <v>5018</v>
      </c>
      <c r="F1277" t="s">
        <v>5018</v>
      </c>
      <c r="G1277">
        <v>12</v>
      </c>
      <c r="H1277" s="5">
        <v>4.0311447160317039E-3</v>
      </c>
      <c r="I1277">
        <v>3</v>
      </c>
      <c r="J1277" t="b">
        <f>AND(CCData[[#This Row],[Date]]&gt;=Calculation!$E$3,CCData[[#This Row],[Date]]&lt;Calculation!$E$3+7)</f>
        <v>0</v>
      </c>
    </row>
    <row r="1278" spans="1:10">
      <c r="A1278" t="s">
        <v>1277</v>
      </c>
      <c r="B1278" s="2">
        <v>42027.697999999997</v>
      </c>
      <c r="C1278" s="3" t="s">
        <v>5005</v>
      </c>
      <c r="D1278" t="s">
        <v>5016</v>
      </c>
      <c r="E1278" t="s">
        <v>5018</v>
      </c>
      <c r="F1278" t="s">
        <v>5018</v>
      </c>
      <c r="G1278">
        <v>53</v>
      </c>
      <c r="H1278" s="5">
        <v>4.200044542952538E-3</v>
      </c>
      <c r="I1278">
        <v>3</v>
      </c>
      <c r="J1278" t="b">
        <f>AND(CCData[[#This Row],[Date]]&gt;=Calculation!$E$3,CCData[[#This Row],[Date]]&lt;Calculation!$E$3+7)</f>
        <v>0</v>
      </c>
    </row>
    <row r="1279" spans="1:10">
      <c r="A1279" t="s">
        <v>1278</v>
      </c>
      <c r="B1279" s="2">
        <v>42027.697999999997</v>
      </c>
      <c r="C1279" s="3" t="s">
        <v>5003</v>
      </c>
      <c r="D1279" t="s">
        <v>5016</v>
      </c>
      <c r="E1279" t="s">
        <v>5018</v>
      </c>
      <c r="F1279" t="s">
        <v>5018</v>
      </c>
      <c r="G1279">
        <v>116</v>
      </c>
      <c r="H1279" s="5">
        <v>3.4499006888493587E-3</v>
      </c>
      <c r="I1279">
        <v>3</v>
      </c>
      <c r="J1279" t="b">
        <f>AND(CCData[[#This Row],[Date]]&gt;=Calculation!$E$3,CCData[[#This Row],[Date]]&lt;Calculation!$E$3+7)</f>
        <v>0</v>
      </c>
    </row>
    <row r="1280" spans="1:10">
      <c r="A1280" t="s">
        <v>1279</v>
      </c>
      <c r="B1280" s="2">
        <v>42027.724999999999</v>
      </c>
      <c r="C1280" s="3" t="s">
        <v>5008</v>
      </c>
      <c r="D1280" t="s">
        <v>5014</v>
      </c>
      <c r="E1280" t="s">
        <v>5018</v>
      </c>
      <c r="F1280" t="s">
        <v>5018</v>
      </c>
      <c r="G1280">
        <v>19</v>
      </c>
      <c r="H1280" s="5">
        <v>8.2517854822660255E-4</v>
      </c>
      <c r="I1280">
        <v>4</v>
      </c>
      <c r="J1280" t="b">
        <f>AND(CCData[[#This Row],[Date]]&gt;=Calculation!$E$3,CCData[[#This Row],[Date]]&lt;Calculation!$E$3+7)</f>
        <v>0</v>
      </c>
    </row>
    <row r="1281" spans="1:10">
      <c r="A1281" t="s">
        <v>1280</v>
      </c>
      <c r="B1281" s="2">
        <v>42027.724999999999</v>
      </c>
      <c r="C1281" s="3" t="s">
        <v>5010</v>
      </c>
      <c r="D1281" t="s">
        <v>5012</v>
      </c>
      <c r="E1281" t="s">
        <v>5019</v>
      </c>
      <c r="F1281" t="s">
        <v>5019</v>
      </c>
      <c r="G1281" t="s">
        <v>5022</v>
      </c>
      <c r="H1281" s="5" t="s">
        <v>5022</v>
      </c>
      <c r="I1281" t="s">
        <v>5022</v>
      </c>
      <c r="J1281" t="b">
        <f>AND(CCData[[#This Row],[Date]]&gt;=Calculation!$E$3,CCData[[#This Row],[Date]]&lt;Calculation!$E$3+7)</f>
        <v>0</v>
      </c>
    </row>
    <row r="1282" spans="1:10">
      <c r="A1282" t="s">
        <v>1281</v>
      </c>
      <c r="B1282" s="2">
        <v>42027.737000000001</v>
      </c>
      <c r="C1282" s="3" t="s">
        <v>5008</v>
      </c>
      <c r="D1282" t="s">
        <v>5016</v>
      </c>
      <c r="E1282" t="s">
        <v>5018</v>
      </c>
      <c r="F1282" t="s">
        <v>5018</v>
      </c>
      <c r="G1282">
        <v>74</v>
      </c>
      <c r="H1282" s="5">
        <v>4.0949685453913007E-3</v>
      </c>
      <c r="I1282">
        <v>2</v>
      </c>
      <c r="J1282" t="b">
        <f>AND(CCData[[#This Row],[Date]]&gt;=Calculation!$E$3,CCData[[#This Row],[Date]]&lt;Calculation!$E$3+7)</f>
        <v>0</v>
      </c>
    </row>
    <row r="1283" spans="1:10">
      <c r="A1283" t="s">
        <v>1282</v>
      </c>
      <c r="B1283" s="2">
        <v>42027.737000000001</v>
      </c>
      <c r="C1283" s="3" t="s">
        <v>5006</v>
      </c>
      <c r="D1283" t="s">
        <v>5016</v>
      </c>
      <c r="E1283" t="s">
        <v>5018</v>
      </c>
      <c r="F1283" t="s">
        <v>5018</v>
      </c>
      <c r="G1283">
        <v>85</v>
      </c>
      <c r="H1283" s="5">
        <v>1.8930653110624505E-3</v>
      </c>
      <c r="I1283">
        <v>3</v>
      </c>
      <c r="J1283" t="b">
        <f>AND(CCData[[#This Row],[Date]]&gt;=Calculation!$E$3,CCData[[#This Row],[Date]]&lt;Calculation!$E$3+7)</f>
        <v>0</v>
      </c>
    </row>
    <row r="1284" spans="1:10">
      <c r="A1284" t="s">
        <v>1283</v>
      </c>
      <c r="B1284" s="2">
        <v>42027.739000000001</v>
      </c>
      <c r="C1284" s="3" t="s">
        <v>5006</v>
      </c>
      <c r="D1284" t="s">
        <v>5012</v>
      </c>
      <c r="E1284" t="s">
        <v>5019</v>
      </c>
      <c r="F1284" t="s">
        <v>5019</v>
      </c>
      <c r="G1284" t="s">
        <v>5022</v>
      </c>
      <c r="H1284" s="5" t="s">
        <v>5022</v>
      </c>
      <c r="I1284" t="s">
        <v>5022</v>
      </c>
      <c r="J1284" t="b">
        <f>AND(CCData[[#This Row],[Date]]&gt;=Calculation!$E$3,CCData[[#This Row],[Date]]&lt;Calculation!$E$3+7)</f>
        <v>0</v>
      </c>
    </row>
    <row r="1285" spans="1:10">
      <c r="A1285" t="s">
        <v>1284</v>
      </c>
      <c r="B1285" s="2">
        <v>42027.739000000001</v>
      </c>
      <c r="C1285" s="3" t="s">
        <v>5005</v>
      </c>
      <c r="D1285" t="s">
        <v>5014</v>
      </c>
      <c r="E1285" t="s">
        <v>5019</v>
      </c>
      <c r="F1285" t="s">
        <v>5019</v>
      </c>
      <c r="G1285" t="s">
        <v>5022</v>
      </c>
      <c r="H1285" s="5" t="s">
        <v>5022</v>
      </c>
      <c r="I1285" t="s">
        <v>5022</v>
      </c>
      <c r="J1285" t="b">
        <f>AND(CCData[[#This Row],[Date]]&gt;=Calculation!$E$3,CCData[[#This Row],[Date]]&lt;Calculation!$E$3+7)</f>
        <v>0</v>
      </c>
    </row>
    <row r="1286" spans="1:10">
      <c r="A1286" t="s">
        <v>1285</v>
      </c>
      <c r="B1286" s="2">
        <v>42028.379000000001</v>
      </c>
      <c r="C1286" s="3" t="s">
        <v>5010</v>
      </c>
      <c r="D1286" t="s">
        <v>5014</v>
      </c>
      <c r="E1286" t="s">
        <v>5019</v>
      </c>
      <c r="F1286" t="s">
        <v>5019</v>
      </c>
      <c r="G1286" t="s">
        <v>5022</v>
      </c>
      <c r="H1286" s="5" t="s">
        <v>5022</v>
      </c>
      <c r="I1286" t="s">
        <v>5022</v>
      </c>
      <c r="J1286" t="b">
        <f>AND(CCData[[#This Row],[Date]]&gt;=Calculation!$E$3,CCData[[#This Row],[Date]]&lt;Calculation!$E$3+7)</f>
        <v>0</v>
      </c>
    </row>
    <row r="1287" spans="1:10">
      <c r="A1287" t="s">
        <v>1286</v>
      </c>
      <c r="B1287" s="2">
        <v>42028.379000000001</v>
      </c>
      <c r="C1287" s="3" t="s">
        <v>5003</v>
      </c>
      <c r="D1287" t="s">
        <v>5016</v>
      </c>
      <c r="E1287" t="s">
        <v>5018</v>
      </c>
      <c r="F1287" t="s">
        <v>5018</v>
      </c>
      <c r="G1287">
        <v>48</v>
      </c>
      <c r="H1287" s="5">
        <v>4.5860728038538481E-3</v>
      </c>
      <c r="I1287">
        <v>2</v>
      </c>
      <c r="J1287" t="b">
        <f>AND(CCData[[#This Row],[Date]]&gt;=Calculation!$E$3,CCData[[#This Row],[Date]]&lt;Calculation!$E$3+7)</f>
        <v>0</v>
      </c>
    </row>
    <row r="1288" spans="1:10">
      <c r="A1288" t="s">
        <v>1287</v>
      </c>
      <c r="B1288" s="2">
        <v>42028.379000000001</v>
      </c>
      <c r="C1288" s="3" t="s">
        <v>5008</v>
      </c>
      <c r="D1288" t="s">
        <v>5014</v>
      </c>
      <c r="E1288" t="s">
        <v>5018</v>
      </c>
      <c r="F1288" t="s">
        <v>5018</v>
      </c>
      <c r="G1288">
        <v>57</v>
      </c>
      <c r="H1288" s="5">
        <v>3.1465867062692382E-3</v>
      </c>
      <c r="I1288">
        <v>3</v>
      </c>
      <c r="J1288" t="b">
        <f>AND(CCData[[#This Row],[Date]]&gt;=Calculation!$E$3,CCData[[#This Row],[Date]]&lt;Calculation!$E$3+7)</f>
        <v>0</v>
      </c>
    </row>
    <row r="1289" spans="1:10">
      <c r="A1289" t="s">
        <v>1288</v>
      </c>
      <c r="B1289" s="2">
        <v>42028.379000000001</v>
      </c>
      <c r="C1289" s="3" t="s">
        <v>5007</v>
      </c>
      <c r="D1289" t="s">
        <v>5015</v>
      </c>
      <c r="E1289" t="s">
        <v>5018</v>
      </c>
      <c r="F1289" t="s">
        <v>5019</v>
      </c>
      <c r="G1289">
        <v>116</v>
      </c>
      <c r="H1289" s="5">
        <v>3.577221296507492E-3</v>
      </c>
      <c r="I1289">
        <v>3</v>
      </c>
      <c r="J1289" t="b">
        <f>AND(CCData[[#This Row],[Date]]&gt;=Calculation!$E$3,CCData[[#This Row],[Date]]&lt;Calculation!$E$3+7)</f>
        <v>0</v>
      </c>
    </row>
    <row r="1290" spans="1:10">
      <c r="A1290" t="s">
        <v>1289</v>
      </c>
      <c r="B1290" s="2">
        <v>42028.383999999998</v>
      </c>
      <c r="C1290" s="3" t="s">
        <v>5006</v>
      </c>
      <c r="D1290" t="s">
        <v>5015</v>
      </c>
      <c r="E1290" t="s">
        <v>5018</v>
      </c>
      <c r="F1290" t="s">
        <v>5018</v>
      </c>
      <c r="G1290">
        <v>21</v>
      </c>
      <c r="H1290" s="5">
        <v>5.8344731806969934E-4</v>
      </c>
      <c r="I1290">
        <v>1</v>
      </c>
      <c r="J1290" t="b">
        <f>AND(CCData[[#This Row],[Date]]&gt;=Calculation!$E$3,CCData[[#This Row],[Date]]&lt;Calculation!$E$3+7)</f>
        <v>0</v>
      </c>
    </row>
    <row r="1291" spans="1:10">
      <c r="A1291" t="s">
        <v>1290</v>
      </c>
      <c r="B1291" s="2">
        <v>42028.383999999998</v>
      </c>
      <c r="C1291" s="3" t="s">
        <v>5009</v>
      </c>
      <c r="D1291" t="s">
        <v>5012</v>
      </c>
      <c r="E1291" t="s">
        <v>5018</v>
      </c>
      <c r="F1291" t="s">
        <v>5018</v>
      </c>
      <c r="G1291">
        <v>87</v>
      </c>
      <c r="H1291" s="5">
        <v>1.5120850063457367E-3</v>
      </c>
      <c r="I1291">
        <v>3</v>
      </c>
      <c r="J1291" t="b">
        <f>AND(CCData[[#This Row],[Date]]&gt;=Calculation!$E$3,CCData[[#This Row],[Date]]&lt;Calculation!$E$3+7)</f>
        <v>0</v>
      </c>
    </row>
    <row r="1292" spans="1:10">
      <c r="A1292" t="s">
        <v>1291</v>
      </c>
      <c r="B1292" s="2">
        <v>42028.389000000003</v>
      </c>
      <c r="C1292" s="3" t="s">
        <v>5008</v>
      </c>
      <c r="D1292" t="s">
        <v>5013</v>
      </c>
      <c r="E1292" t="s">
        <v>5018</v>
      </c>
      <c r="F1292" t="s">
        <v>5018</v>
      </c>
      <c r="G1292">
        <v>42</v>
      </c>
      <c r="H1292" s="5">
        <v>2.7359212617981844E-3</v>
      </c>
      <c r="I1292">
        <v>3</v>
      </c>
      <c r="J1292" t="b">
        <f>AND(CCData[[#This Row],[Date]]&gt;=Calculation!$E$3,CCData[[#This Row],[Date]]&lt;Calculation!$E$3+7)</f>
        <v>0</v>
      </c>
    </row>
    <row r="1293" spans="1:10">
      <c r="A1293" t="s">
        <v>1292</v>
      </c>
      <c r="B1293" s="2">
        <v>42028.389000000003</v>
      </c>
      <c r="C1293" s="3" t="s">
        <v>5006</v>
      </c>
      <c r="D1293" t="s">
        <v>5013</v>
      </c>
      <c r="E1293" t="s">
        <v>5018</v>
      </c>
      <c r="F1293" t="s">
        <v>5018</v>
      </c>
      <c r="G1293">
        <v>86</v>
      </c>
      <c r="H1293" s="5">
        <v>1.0148334108208389E-3</v>
      </c>
      <c r="I1293">
        <v>1</v>
      </c>
      <c r="J1293" t="b">
        <f>AND(CCData[[#This Row],[Date]]&gt;=Calculation!$E$3,CCData[[#This Row],[Date]]&lt;Calculation!$E$3+7)</f>
        <v>0</v>
      </c>
    </row>
    <row r="1294" spans="1:10">
      <c r="A1294" t="s">
        <v>1293</v>
      </c>
      <c r="B1294" s="2">
        <v>42028.392</v>
      </c>
      <c r="C1294" s="3" t="s">
        <v>5008</v>
      </c>
      <c r="D1294" t="s">
        <v>5014</v>
      </c>
      <c r="E1294" t="s">
        <v>5018</v>
      </c>
      <c r="F1294" t="s">
        <v>5018</v>
      </c>
      <c r="G1294">
        <v>95</v>
      </c>
      <c r="H1294" s="5">
        <v>2.1416142632508781E-3</v>
      </c>
      <c r="I1294">
        <v>5</v>
      </c>
      <c r="J1294" t="b">
        <f>AND(CCData[[#This Row],[Date]]&gt;=Calculation!$E$3,CCData[[#This Row],[Date]]&lt;Calculation!$E$3+7)</f>
        <v>0</v>
      </c>
    </row>
    <row r="1295" spans="1:10">
      <c r="A1295" t="s">
        <v>1294</v>
      </c>
      <c r="B1295" s="2">
        <v>42028.392</v>
      </c>
      <c r="C1295" s="3" t="s">
        <v>5008</v>
      </c>
      <c r="D1295" t="s">
        <v>5012</v>
      </c>
      <c r="E1295" t="s">
        <v>5019</v>
      </c>
      <c r="F1295" t="s">
        <v>5019</v>
      </c>
      <c r="G1295" t="s">
        <v>5022</v>
      </c>
      <c r="H1295" s="5" t="s">
        <v>5022</v>
      </c>
      <c r="I1295" t="s">
        <v>5022</v>
      </c>
      <c r="J1295" t="b">
        <f>AND(CCData[[#This Row],[Date]]&gt;=Calculation!$E$3,CCData[[#This Row],[Date]]&lt;Calculation!$E$3+7)</f>
        <v>0</v>
      </c>
    </row>
    <row r="1296" spans="1:10">
      <c r="A1296" t="s">
        <v>1295</v>
      </c>
      <c r="B1296" s="2">
        <v>42028.413</v>
      </c>
      <c r="C1296" s="3" t="s">
        <v>5007</v>
      </c>
      <c r="D1296" t="s">
        <v>5013</v>
      </c>
      <c r="E1296" t="s">
        <v>5018</v>
      </c>
      <c r="F1296" t="s">
        <v>5018</v>
      </c>
      <c r="G1296">
        <v>109</v>
      </c>
      <c r="H1296" s="5">
        <v>4.0124650656689805E-3</v>
      </c>
      <c r="I1296">
        <v>3</v>
      </c>
      <c r="J1296" t="b">
        <f>AND(CCData[[#This Row],[Date]]&gt;=Calculation!$E$3,CCData[[#This Row],[Date]]&lt;Calculation!$E$3+7)</f>
        <v>0</v>
      </c>
    </row>
    <row r="1297" spans="1:10">
      <c r="A1297" t="s">
        <v>1296</v>
      </c>
      <c r="B1297" s="2">
        <v>42028.413</v>
      </c>
      <c r="C1297" s="3" t="s">
        <v>5006</v>
      </c>
      <c r="D1297" t="s">
        <v>5014</v>
      </c>
      <c r="E1297" t="s">
        <v>5019</v>
      </c>
      <c r="F1297" t="s">
        <v>5019</v>
      </c>
      <c r="G1297" t="s">
        <v>5022</v>
      </c>
      <c r="H1297" s="5" t="s">
        <v>5022</v>
      </c>
      <c r="I1297" t="s">
        <v>5022</v>
      </c>
      <c r="J1297" t="b">
        <f>AND(CCData[[#This Row],[Date]]&gt;=Calculation!$E$3,CCData[[#This Row],[Date]]&lt;Calculation!$E$3+7)</f>
        <v>0</v>
      </c>
    </row>
    <row r="1298" spans="1:10">
      <c r="A1298" t="s">
        <v>1297</v>
      </c>
      <c r="B1298" s="2">
        <v>42028.419000000002</v>
      </c>
      <c r="C1298" s="3" t="s">
        <v>5006</v>
      </c>
      <c r="D1298" t="s">
        <v>5015</v>
      </c>
      <c r="E1298" t="s">
        <v>5018</v>
      </c>
      <c r="F1298" t="s">
        <v>5018</v>
      </c>
      <c r="G1298">
        <v>104</v>
      </c>
      <c r="H1298" s="5">
        <v>3.8817325180107117E-3</v>
      </c>
      <c r="I1298">
        <v>2</v>
      </c>
      <c r="J1298" t="b">
        <f>AND(CCData[[#This Row],[Date]]&gt;=Calculation!$E$3,CCData[[#This Row],[Date]]&lt;Calculation!$E$3+7)</f>
        <v>0</v>
      </c>
    </row>
    <row r="1299" spans="1:10">
      <c r="A1299" t="s">
        <v>1298</v>
      </c>
      <c r="B1299" s="2">
        <v>42028.419000000002</v>
      </c>
      <c r="C1299" s="3" t="s">
        <v>5009</v>
      </c>
      <c r="D1299" t="s">
        <v>5014</v>
      </c>
      <c r="E1299" t="s">
        <v>5018</v>
      </c>
      <c r="F1299" t="s">
        <v>5018</v>
      </c>
      <c r="G1299">
        <v>123</v>
      </c>
      <c r="H1299" s="5">
        <v>1.335938212941902E-3</v>
      </c>
      <c r="I1299">
        <v>1</v>
      </c>
      <c r="J1299" t="b">
        <f>AND(CCData[[#This Row],[Date]]&gt;=Calculation!$E$3,CCData[[#This Row],[Date]]&lt;Calculation!$E$3+7)</f>
        <v>0</v>
      </c>
    </row>
    <row r="1300" spans="1:10">
      <c r="A1300" t="s">
        <v>1299</v>
      </c>
      <c r="B1300" s="2">
        <v>42028.42</v>
      </c>
      <c r="C1300" s="3" t="s">
        <v>5009</v>
      </c>
      <c r="D1300" t="s">
        <v>5016</v>
      </c>
      <c r="E1300" t="s">
        <v>5018</v>
      </c>
      <c r="F1300" t="s">
        <v>5018</v>
      </c>
      <c r="G1300">
        <v>72</v>
      </c>
      <c r="H1300" s="5">
        <v>3.6001142169410981E-3</v>
      </c>
      <c r="I1300">
        <v>5</v>
      </c>
      <c r="J1300" t="b">
        <f>AND(CCData[[#This Row],[Date]]&gt;=Calculation!$E$3,CCData[[#This Row],[Date]]&lt;Calculation!$E$3+7)</f>
        <v>0</v>
      </c>
    </row>
    <row r="1301" spans="1:10">
      <c r="A1301" t="s">
        <v>1300</v>
      </c>
      <c r="B1301" s="2">
        <v>42028.42</v>
      </c>
      <c r="C1301" s="3" t="s">
        <v>5007</v>
      </c>
      <c r="D1301" t="s">
        <v>5013</v>
      </c>
      <c r="E1301" t="s">
        <v>5019</v>
      </c>
      <c r="F1301" t="s">
        <v>5019</v>
      </c>
      <c r="G1301" t="s">
        <v>5022</v>
      </c>
      <c r="H1301" s="5" t="s">
        <v>5022</v>
      </c>
      <c r="I1301" t="s">
        <v>5022</v>
      </c>
      <c r="J1301" t="b">
        <f>AND(CCData[[#This Row],[Date]]&gt;=Calculation!$E$3,CCData[[#This Row],[Date]]&lt;Calculation!$E$3+7)</f>
        <v>0</v>
      </c>
    </row>
    <row r="1302" spans="1:10">
      <c r="A1302" t="s">
        <v>1301</v>
      </c>
      <c r="B1302" s="2">
        <v>42028.42</v>
      </c>
      <c r="C1302" s="3" t="s">
        <v>5005</v>
      </c>
      <c r="D1302" t="s">
        <v>5012</v>
      </c>
      <c r="E1302" t="s">
        <v>5018</v>
      </c>
      <c r="F1302" t="s">
        <v>5019</v>
      </c>
      <c r="G1302">
        <v>28</v>
      </c>
      <c r="H1302" s="5">
        <v>6.0496626768700155E-4</v>
      </c>
      <c r="I1302">
        <v>4</v>
      </c>
      <c r="J1302" t="b">
        <f>AND(CCData[[#This Row],[Date]]&gt;=Calculation!$E$3,CCData[[#This Row],[Date]]&lt;Calculation!$E$3+7)</f>
        <v>0</v>
      </c>
    </row>
    <row r="1303" spans="1:10">
      <c r="A1303" t="s">
        <v>1302</v>
      </c>
      <c r="B1303" s="2">
        <v>42028.42</v>
      </c>
      <c r="C1303" s="3" t="s">
        <v>5010</v>
      </c>
      <c r="D1303" t="s">
        <v>5016</v>
      </c>
      <c r="E1303" t="s">
        <v>5018</v>
      </c>
      <c r="F1303" t="s">
        <v>5018</v>
      </c>
      <c r="G1303">
        <v>124</v>
      </c>
      <c r="H1303" s="5">
        <v>2.2342946168752973E-3</v>
      </c>
      <c r="I1303">
        <v>4</v>
      </c>
      <c r="J1303" t="b">
        <f>AND(CCData[[#This Row],[Date]]&gt;=Calculation!$E$3,CCData[[#This Row],[Date]]&lt;Calculation!$E$3+7)</f>
        <v>0</v>
      </c>
    </row>
    <row r="1304" spans="1:10">
      <c r="A1304" t="s">
        <v>1303</v>
      </c>
      <c r="B1304" s="2">
        <v>42028.436999999998</v>
      </c>
      <c r="C1304" s="3" t="s">
        <v>5007</v>
      </c>
      <c r="D1304" t="s">
        <v>5014</v>
      </c>
      <c r="E1304" t="s">
        <v>5018</v>
      </c>
      <c r="F1304" t="s">
        <v>5018</v>
      </c>
      <c r="G1304">
        <v>16</v>
      </c>
      <c r="H1304" s="5">
        <v>3.1842410527543733E-3</v>
      </c>
      <c r="I1304">
        <v>4</v>
      </c>
      <c r="J1304" t="b">
        <f>AND(CCData[[#This Row],[Date]]&gt;=Calculation!$E$3,CCData[[#This Row],[Date]]&lt;Calculation!$E$3+7)</f>
        <v>0</v>
      </c>
    </row>
    <row r="1305" spans="1:10">
      <c r="A1305" t="s">
        <v>1304</v>
      </c>
      <c r="B1305" s="2">
        <v>42028.436999999998</v>
      </c>
      <c r="C1305" s="3" t="s">
        <v>5009</v>
      </c>
      <c r="D1305" t="s">
        <v>5015</v>
      </c>
      <c r="E1305" t="s">
        <v>5019</v>
      </c>
      <c r="F1305" t="s">
        <v>5019</v>
      </c>
      <c r="G1305" t="s">
        <v>5022</v>
      </c>
      <c r="H1305" s="5" t="s">
        <v>5022</v>
      </c>
      <c r="I1305" t="s">
        <v>5022</v>
      </c>
      <c r="J1305" t="b">
        <f>AND(CCData[[#This Row],[Date]]&gt;=Calculation!$E$3,CCData[[#This Row],[Date]]&lt;Calculation!$E$3+7)</f>
        <v>0</v>
      </c>
    </row>
    <row r="1306" spans="1:10">
      <c r="A1306" t="s">
        <v>1305</v>
      </c>
      <c r="B1306" s="2">
        <v>42028.438999999998</v>
      </c>
      <c r="C1306" s="3" t="s">
        <v>5008</v>
      </c>
      <c r="D1306" t="s">
        <v>5015</v>
      </c>
      <c r="E1306" t="s">
        <v>5018</v>
      </c>
      <c r="F1306" t="s">
        <v>5018</v>
      </c>
      <c r="G1306">
        <v>125</v>
      </c>
      <c r="H1306" s="5">
        <v>3.5905433492498226E-4</v>
      </c>
      <c r="I1306">
        <v>3</v>
      </c>
      <c r="J1306" t="b">
        <f>AND(CCData[[#This Row],[Date]]&gt;=Calculation!$E$3,CCData[[#This Row],[Date]]&lt;Calculation!$E$3+7)</f>
        <v>0</v>
      </c>
    </row>
    <row r="1307" spans="1:10">
      <c r="A1307" t="s">
        <v>1306</v>
      </c>
      <c r="B1307" s="2">
        <v>42028.438999999998</v>
      </c>
      <c r="C1307" s="3" t="s">
        <v>5004</v>
      </c>
      <c r="D1307" t="s">
        <v>5012</v>
      </c>
      <c r="E1307" t="s">
        <v>5019</v>
      </c>
      <c r="F1307" t="s">
        <v>5019</v>
      </c>
      <c r="G1307" t="s">
        <v>5022</v>
      </c>
      <c r="H1307" s="5" t="s">
        <v>5022</v>
      </c>
      <c r="I1307" t="s">
        <v>5022</v>
      </c>
      <c r="J1307" t="b">
        <f>AND(CCData[[#This Row],[Date]]&gt;=Calculation!$E$3,CCData[[#This Row],[Date]]&lt;Calculation!$E$3+7)</f>
        <v>0</v>
      </c>
    </row>
    <row r="1308" spans="1:10">
      <c r="A1308" t="s">
        <v>1307</v>
      </c>
      <c r="B1308" s="2">
        <v>42028.466</v>
      </c>
      <c r="C1308" s="3" t="s">
        <v>5010</v>
      </c>
      <c r="D1308" t="s">
        <v>5012</v>
      </c>
      <c r="E1308" t="s">
        <v>5018</v>
      </c>
      <c r="F1308" t="s">
        <v>5018</v>
      </c>
      <c r="G1308">
        <v>61</v>
      </c>
      <c r="H1308" s="5">
        <v>2.1449270974159738E-3</v>
      </c>
      <c r="I1308">
        <v>3</v>
      </c>
      <c r="J1308" t="b">
        <f>AND(CCData[[#This Row],[Date]]&gt;=Calculation!$E$3,CCData[[#This Row],[Date]]&lt;Calculation!$E$3+7)</f>
        <v>0</v>
      </c>
    </row>
    <row r="1309" spans="1:10">
      <c r="A1309" t="s">
        <v>1308</v>
      </c>
      <c r="B1309" s="2">
        <v>42028.466</v>
      </c>
      <c r="C1309" s="3" t="s">
        <v>5003</v>
      </c>
      <c r="D1309" t="s">
        <v>5016</v>
      </c>
      <c r="E1309" t="s">
        <v>5018</v>
      </c>
      <c r="F1309" t="s">
        <v>5018</v>
      </c>
      <c r="G1309">
        <v>55</v>
      </c>
      <c r="H1309" s="5">
        <v>4.5157805634114031E-3</v>
      </c>
      <c r="I1309">
        <v>1</v>
      </c>
      <c r="J1309" t="b">
        <f>AND(CCData[[#This Row],[Date]]&gt;=Calculation!$E$3,CCData[[#This Row],[Date]]&lt;Calculation!$E$3+7)</f>
        <v>0</v>
      </c>
    </row>
    <row r="1310" spans="1:10">
      <c r="A1310" t="s">
        <v>1309</v>
      </c>
      <c r="B1310" s="2">
        <v>42028.487999999998</v>
      </c>
      <c r="C1310" s="3" t="s">
        <v>5004</v>
      </c>
      <c r="D1310" t="s">
        <v>5013</v>
      </c>
      <c r="E1310" t="s">
        <v>5018</v>
      </c>
      <c r="F1310" t="s">
        <v>5018</v>
      </c>
      <c r="G1310">
        <v>41</v>
      </c>
      <c r="H1310" s="5">
        <v>2.7069069018262138E-3</v>
      </c>
      <c r="I1310">
        <v>4</v>
      </c>
      <c r="J1310" t="b">
        <f>AND(CCData[[#This Row],[Date]]&gt;=Calculation!$E$3,CCData[[#This Row],[Date]]&lt;Calculation!$E$3+7)</f>
        <v>0</v>
      </c>
    </row>
    <row r="1311" spans="1:10">
      <c r="A1311" t="s">
        <v>1310</v>
      </c>
      <c r="B1311" s="2">
        <v>42028.487999999998</v>
      </c>
      <c r="C1311" s="3" t="s">
        <v>5006</v>
      </c>
      <c r="D1311" t="s">
        <v>5012</v>
      </c>
      <c r="E1311" t="s">
        <v>5018</v>
      </c>
      <c r="F1311" t="s">
        <v>5018</v>
      </c>
      <c r="G1311">
        <v>81</v>
      </c>
      <c r="H1311" s="5">
        <v>4.3904565714062626E-3</v>
      </c>
      <c r="I1311">
        <v>3</v>
      </c>
      <c r="J1311" t="b">
        <f>AND(CCData[[#This Row],[Date]]&gt;=Calculation!$E$3,CCData[[#This Row],[Date]]&lt;Calculation!$E$3+7)</f>
        <v>0</v>
      </c>
    </row>
    <row r="1312" spans="1:10">
      <c r="A1312" t="s">
        <v>1311</v>
      </c>
      <c r="B1312" s="2">
        <v>42028.514999999999</v>
      </c>
      <c r="C1312" s="3" t="s">
        <v>5005</v>
      </c>
      <c r="D1312" t="s">
        <v>5012</v>
      </c>
      <c r="E1312" t="s">
        <v>5018</v>
      </c>
      <c r="F1312" t="s">
        <v>5018</v>
      </c>
      <c r="G1312">
        <v>112</v>
      </c>
      <c r="H1312" s="5">
        <v>2.5805908459772433E-3</v>
      </c>
      <c r="I1312">
        <v>3</v>
      </c>
      <c r="J1312" t="b">
        <f>AND(CCData[[#This Row],[Date]]&gt;=Calculation!$E$3,CCData[[#This Row],[Date]]&lt;Calculation!$E$3+7)</f>
        <v>0</v>
      </c>
    </row>
    <row r="1313" spans="1:10">
      <c r="A1313" t="s">
        <v>1312</v>
      </c>
      <c r="B1313" s="2">
        <v>42028.514999999999</v>
      </c>
      <c r="C1313" s="3" t="s">
        <v>5003</v>
      </c>
      <c r="D1313" t="s">
        <v>5016</v>
      </c>
      <c r="E1313" t="s">
        <v>5018</v>
      </c>
      <c r="F1313" t="s">
        <v>5018</v>
      </c>
      <c r="G1313">
        <v>58</v>
      </c>
      <c r="H1313" s="5">
        <v>2.9927608338907513E-3</v>
      </c>
      <c r="I1313">
        <v>4</v>
      </c>
      <c r="J1313" t="b">
        <f>AND(CCData[[#This Row],[Date]]&gt;=Calculation!$E$3,CCData[[#This Row],[Date]]&lt;Calculation!$E$3+7)</f>
        <v>0</v>
      </c>
    </row>
    <row r="1314" spans="1:10">
      <c r="A1314" t="s">
        <v>1313</v>
      </c>
      <c r="B1314" s="2">
        <v>42028.517999999996</v>
      </c>
      <c r="C1314" s="3" t="s">
        <v>5007</v>
      </c>
      <c r="D1314" t="s">
        <v>5016</v>
      </c>
      <c r="E1314" t="s">
        <v>5018</v>
      </c>
      <c r="F1314" t="s">
        <v>5019</v>
      </c>
      <c r="G1314">
        <v>61</v>
      </c>
      <c r="H1314" s="5">
        <v>4.8922004895433902E-4</v>
      </c>
      <c r="I1314">
        <v>5</v>
      </c>
      <c r="J1314" t="b">
        <f>AND(CCData[[#This Row],[Date]]&gt;=Calculation!$E$3,CCData[[#This Row],[Date]]&lt;Calculation!$E$3+7)</f>
        <v>0</v>
      </c>
    </row>
    <row r="1315" spans="1:10">
      <c r="A1315" t="s">
        <v>1314</v>
      </c>
      <c r="B1315" s="2">
        <v>42028.517999999996</v>
      </c>
      <c r="C1315" s="3" t="s">
        <v>5004</v>
      </c>
      <c r="D1315" t="s">
        <v>5014</v>
      </c>
      <c r="E1315" t="s">
        <v>5018</v>
      </c>
      <c r="F1315" t="s">
        <v>5018</v>
      </c>
      <c r="G1315">
        <v>51</v>
      </c>
      <c r="H1315" s="5">
        <v>4.6759911842826777E-3</v>
      </c>
      <c r="I1315">
        <v>3</v>
      </c>
      <c r="J1315" t="b">
        <f>AND(CCData[[#This Row],[Date]]&gt;=Calculation!$E$3,CCData[[#This Row],[Date]]&lt;Calculation!$E$3+7)</f>
        <v>0</v>
      </c>
    </row>
    <row r="1316" spans="1:10">
      <c r="A1316" t="s">
        <v>1315</v>
      </c>
      <c r="B1316" s="2">
        <v>42028.542000000001</v>
      </c>
      <c r="C1316" s="3" t="s">
        <v>5007</v>
      </c>
      <c r="D1316" t="s">
        <v>5016</v>
      </c>
      <c r="E1316" t="s">
        <v>5018</v>
      </c>
      <c r="F1316" t="s">
        <v>5018</v>
      </c>
      <c r="G1316">
        <v>102</v>
      </c>
      <c r="H1316" s="5">
        <v>2.76847599835382E-3</v>
      </c>
      <c r="I1316">
        <v>4</v>
      </c>
      <c r="J1316" t="b">
        <f>AND(CCData[[#This Row],[Date]]&gt;=Calculation!$E$3,CCData[[#This Row],[Date]]&lt;Calculation!$E$3+7)</f>
        <v>0</v>
      </c>
    </row>
    <row r="1317" spans="1:10">
      <c r="A1317" t="s">
        <v>1316</v>
      </c>
      <c r="B1317" s="2">
        <v>42028.542000000001</v>
      </c>
      <c r="C1317" s="3" t="s">
        <v>5008</v>
      </c>
      <c r="D1317" t="s">
        <v>5014</v>
      </c>
      <c r="E1317" t="s">
        <v>5018</v>
      </c>
      <c r="F1317" t="s">
        <v>5018</v>
      </c>
      <c r="G1317">
        <v>19</v>
      </c>
      <c r="H1317" s="5">
        <v>3.9750426014229625E-3</v>
      </c>
      <c r="I1317">
        <v>4</v>
      </c>
      <c r="J1317" t="b">
        <f>AND(CCData[[#This Row],[Date]]&gt;=Calculation!$E$3,CCData[[#This Row],[Date]]&lt;Calculation!$E$3+7)</f>
        <v>0</v>
      </c>
    </row>
    <row r="1318" spans="1:10">
      <c r="A1318" t="s">
        <v>1317</v>
      </c>
      <c r="B1318" s="2">
        <v>42028.550999999999</v>
      </c>
      <c r="C1318" s="3" t="s">
        <v>5010</v>
      </c>
      <c r="D1318" t="s">
        <v>5016</v>
      </c>
      <c r="E1318" t="s">
        <v>5018</v>
      </c>
      <c r="F1318" t="s">
        <v>5018</v>
      </c>
      <c r="G1318">
        <v>33</v>
      </c>
      <c r="H1318" s="5">
        <v>2.1523227315100148E-3</v>
      </c>
      <c r="I1318">
        <v>2</v>
      </c>
      <c r="J1318" t="b">
        <f>AND(CCData[[#This Row],[Date]]&gt;=Calculation!$E$3,CCData[[#This Row],[Date]]&lt;Calculation!$E$3+7)</f>
        <v>0</v>
      </c>
    </row>
    <row r="1319" spans="1:10">
      <c r="A1319" t="s">
        <v>1318</v>
      </c>
      <c r="B1319" s="2">
        <v>42028.550999999999</v>
      </c>
      <c r="C1319" s="3" t="s">
        <v>5008</v>
      </c>
      <c r="D1319" t="s">
        <v>5013</v>
      </c>
      <c r="E1319" t="s">
        <v>5018</v>
      </c>
      <c r="F1319" t="s">
        <v>5018</v>
      </c>
      <c r="G1319">
        <v>113</v>
      </c>
      <c r="H1319" s="5">
        <v>4.2119071073966922E-3</v>
      </c>
      <c r="I1319">
        <v>3</v>
      </c>
      <c r="J1319" t="b">
        <f>AND(CCData[[#This Row],[Date]]&gt;=Calculation!$E$3,CCData[[#This Row],[Date]]&lt;Calculation!$E$3+7)</f>
        <v>0</v>
      </c>
    </row>
    <row r="1320" spans="1:10">
      <c r="A1320" t="s">
        <v>1319</v>
      </c>
      <c r="B1320" s="2">
        <v>42028.593999999997</v>
      </c>
      <c r="C1320" s="3" t="s">
        <v>5003</v>
      </c>
      <c r="D1320" t="s">
        <v>5013</v>
      </c>
      <c r="E1320" t="s">
        <v>5018</v>
      </c>
      <c r="F1320" t="s">
        <v>5018</v>
      </c>
      <c r="G1320">
        <v>28</v>
      </c>
      <c r="H1320" s="5">
        <v>2.6587353025208657E-3</v>
      </c>
      <c r="I1320">
        <v>5</v>
      </c>
      <c r="J1320" t="b">
        <f>AND(CCData[[#This Row],[Date]]&gt;=Calculation!$E$3,CCData[[#This Row],[Date]]&lt;Calculation!$E$3+7)</f>
        <v>0</v>
      </c>
    </row>
    <row r="1321" spans="1:10">
      <c r="A1321" t="s">
        <v>1320</v>
      </c>
      <c r="B1321" s="2">
        <v>42028.593999999997</v>
      </c>
      <c r="C1321" s="3" t="s">
        <v>5010</v>
      </c>
      <c r="D1321" t="s">
        <v>5013</v>
      </c>
      <c r="E1321" t="s">
        <v>5018</v>
      </c>
      <c r="F1321" t="s">
        <v>5018</v>
      </c>
      <c r="G1321">
        <v>46</v>
      </c>
      <c r="H1321" s="5">
        <v>3.2721261115591653E-3</v>
      </c>
      <c r="I1321">
        <v>1</v>
      </c>
      <c r="J1321" t="b">
        <f>AND(CCData[[#This Row],[Date]]&gt;=Calculation!$E$3,CCData[[#This Row],[Date]]&lt;Calculation!$E$3+7)</f>
        <v>0</v>
      </c>
    </row>
    <row r="1322" spans="1:10">
      <c r="A1322" t="s">
        <v>1321</v>
      </c>
      <c r="B1322" s="2">
        <v>42028.614999999998</v>
      </c>
      <c r="C1322" s="3" t="s">
        <v>5008</v>
      </c>
      <c r="D1322" t="s">
        <v>5013</v>
      </c>
      <c r="E1322" t="s">
        <v>5018</v>
      </c>
      <c r="F1322" t="s">
        <v>5018</v>
      </c>
      <c r="G1322">
        <v>76</v>
      </c>
      <c r="H1322" s="5">
        <v>7.9401805261023644E-4</v>
      </c>
      <c r="I1322">
        <v>3</v>
      </c>
      <c r="J1322" t="b">
        <f>AND(CCData[[#This Row],[Date]]&gt;=Calculation!$E$3,CCData[[#This Row],[Date]]&lt;Calculation!$E$3+7)</f>
        <v>0</v>
      </c>
    </row>
    <row r="1323" spans="1:10">
      <c r="A1323" t="s">
        <v>1322</v>
      </c>
      <c r="B1323" s="2">
        <v>42028.614999999998</v>
      </c>
      <c r="C1323" s="3" t="s">
        <v>5003</v>
      </c>
      <c r="D1323" t="s">
        <v>5013</v>
      </c>
      <c r="E1323" t="s">
        <v>5018</v>
      </c>
      <c r="F1323" t="s">
        <v>5018</v>
      </c>
      <c r="G1323">
        <v>124</v>
      </c>
      <c r="H1323" s="5">
        <v>2.1921959673447621E-3</v>
      </c>
      <c r="I1323">
        <v>2</v>
      </c>
      <c r="J1323" t="b">
        <f>AND(CCData[[#This Row],[Date]]&gt;=Calculation!$E$3,CCData[[#This Row],[Date]]&lt;Calculation!$E$3+7)</f>
        <v>0</v>
      </c>
    </row>
    <row r="1324" spans="1:10">
      <c r="A1324" t="s">
        <v>1323</v>
      </c>
      <c r="B1324" s="2">
        <v>42028.616000000002</v>
      </c>
      <c r="C1324" s="3" t="s">
        <v>5009</v>
      </c>
      <c r="D1324" t="s">
        <v>5013</v>
      </c>
      <c r="E1324" t="s">
        <v>5018</v>
      </c>
      <c r="F1324" t="s">
        <v>5018</v>
      </c>
      <c r="G1324">
        <v>96</v>
      </c>
      <c r="H1324" s="5">
        <v>3.1247235427577453E-3</v>
      </c>
      <c r="I1324">
        <v>2</v>
      </c>
      <c r="J1324" t="b">
        <f>AND(CCData[[#This Row],[Date]]&gt;=Calculation!$E$3,CCData[[#This Row],[Date]]&lt;Calculation!$E$3+7)</f>
        <v>0</v>
      </c>
    </row>
    <row r="1325" spans="1:10">
      <c r="A1325" t="s">
        <v>1324</v>
      </c>
      <c r="B1325" s="2">
        <v>42028.616000000002</v>
      </c>
      <c r="C1325" s="3" t="s">
        <v>5006</v>
      </c>
      <c r="D1325" t="s">
        <v>5016</v>
      </c>
      <c r="E1325" t="s">
        <v>5018</v>
      </c>
      <c r="F1325" t="s">
        <v>5019</v>
      </c>
      <c r="G1325">
        <v>110</v>
      </c>
      <c r="H1325" s="5">
        <v>3.509398080214398E-3</v>
      </c>
      <c r="I1325">
        <v>5</v>
      </c>
      <c r="J1325" t="b">
        <f>AND(CCData[[#This Row],[Date]]&gt;=Calculation!$E$3,CCData[[#This Row],[Date]]&lt;Calculation!$E$3+7)</f>
        <v>0</v>
      </c>
    </row>
    <row r="1326" spans="1:10">
      <c r="A1326" t="s">
        <v>1325</v>
      </c>
      <c r="B1326" s="2">
        <v>42028.659</v>
      </c>
      <c r="C1326" s="3" t="s">
        <v>5010</v>
      </c>
      <c r="D1326" t="s">
        <v>5014</v>
      </c>
      <c r="E1326" t="s">
        <v>5018</v>
      </c>
      <c r="F1326" t="s">
        <v>5018</v>
      </c>
      <c r="G1326">
        <v>116</v>
      </c>
      <c r="H1326" s="5">
        <v>2.5366096292049325E-3</v>
      </c>
      <c r="I1326">
        <v>5</v>
      </c>
      <c r="J1326" t="b">
        <f>AND(CCData[[#This Row],[Date]]&gt;=Calculation!$E$3,CCData[[#This Row],[Date]]&lt;Calculation!$E$3+7)</f>
        <v>0</v>
      </c>
    </row>
    <row r="1327" spans="1:10">
      <c r="A1327" t="s">
        <v>1326</v>
      </c>
      <c r="B1327" s="2">
        <v>42028.659</v>
      </c>
      <c r="C1327" s="3" t="s">
        <v>5010</v>
      </c>
      <c r="D1327" t="s">
        <v>5014</v>
      </c>
      <c r="E1327" t="s">
        <v>5018</v>
      </c>
      <c r="F1327" t="s">
        <v>5018</v>
      </c>
      <c r="G1327">
        <v>14</v>
      </c>
      <c r="H1327" s="5">
        <v>4.2923789765759428E-3</v>
      </c>
      <c r="I1327">
        <v>5</v>
      </c>
      <c r="J1327" t="b">
        <f>AND(CCData[[#This Row],[Date]]&gt;=Calculation!$E$3,CCData[[#This Row],[Date]]&lt;Calculation!$E$3+7)</f>
        <v>0</v>
      </c>
    </row>
    <row r="1328" spans="1:10">
      <c r="A1328" t="s">
        <v>1327</v>
      </c>
      <c r="B1328" s="2">
        <v>42028.665999999997</v>
      </c>
      <c r="C1328" s="3" t="s">
        <v>5005</v>
      </c>
      <c r="D1328" t="s">
        <v>5015</v>
      </c>
      <c r="E1328" t="s">
        <v>5018</v>
      </c>
      <c r="F1328" t="s">
        <v>5018</v>
      </c>
      <c r="G1328">
        <v>53</v>
      </c>
      <c r="H1328" s="5">
        <v>4.1740320878000566E-3</v>
      </c>
      <c r="I1328">
        <v>4</v>
      </c>
      <c r="J1328" t="b">
        <f>AND(CCData[[#This Row],[Date]]&gt;=Calculation!$E$3,CCData[[#This Row],[Date]]&lt;Calculation!$E$3+7)</f>
        <v>0</v>
      </c>
    </row>
    <row r="1329" spans="1:10">
      <c r="A1329" t="s">
        <v>1328</v>
      </c>
      <c r="B1329" s="2">
        <v>42028.665999999997</v>
      </c>
      <c r="C1329" s="3" t="s">
        <v>5008</v>
      </c>
      <c r="D1329" t="s">
        <v>5016</v>
      </c>
      <c r="E1329" t="s">
        <v>5018</v>
      </c>
      <c r="F1329" t="s">
        <v>5018</v>
      </c>
      <c r="G1329">
        <v>37</v>
      </c>
      <c r="H1329" s="5">
        <v>3.3438535634446507E-3</v>
      </c>
      <c r="I1329">
        <v>2</v>
      </c>
      <c r="J1329" t="b">
        <f>AND(CCData[[#This Row],[Date]]&gt;=Calculation!$E$3,CCData[[#This Row],[Date]]&lt;Calculation!$E$3+7)</f>
        <v>0</v>
      </c>
    </row>
    <row r="1330" spans="1:10">
      <c r="A1330" t="s">
        <v>1329</v>
      </c>
      <c r="B1330" s="2">
        <v>42028.667999999998</v>
      </c>
      <c r="C1330" s="3" t="s">
        <v>5006</v>
      </c>
      <c r="D1330" t="s">
        <v>5015</v>
      </c>
      <c r="E1330" t="s">
        <v>5018</v>
      </c>
      <c r="F1330" t="s">
        <v>5018</v>
      </c>
      <c r="G1330">
        <v>68</v>
      </c>
      <c r="H1330" s="5">
        <v>4.9672006097837955E-4</v>
      </c>
      <c r="I1330">
        <v>1</v>
      </c>
      <c r="J1330" t="b">
        <f>AND(CCData[[#This Row],[Date]]&gt;=Calculation!$E$3,CCData[[#This Row],[Date]]&lt;Calculation!$E$3+7)</f>
        <v>0</v>
      </c>
    </row>
    <row r="1331" spans="1:10">
      <c r="A1331" t="s">
        <v>1330</v>
      </c>
      <c r="B1331" s="2">
        <v>42028.667999999998</v>
      </c>
      <c r="C1331" s="3" t="s">
        <v>5006</v>
      </c>
      <c r="D1331" t="s">
        <v>5016</v>
      </c>
      <c r="E1331" t="s">
        <v>5018</v>
      </c>
      <c r="F1331" t="s">
        <v>5018</v>
      </c>
      <c r="G1331">
        <v>43</v>
      </c>
      <c r="H1331" s="5">
        <v>2.1978203383305394E-3</v>
      </c>
      <c r="I1331">
        <v>3</v>
      </c>
      <c r="J1331" t="b">
        <f>AND(CCData[[#This Row],[Date]]&gt;=Calculation!$E$3,CCData[[#This Row],[Date]]&lt;Calculation!$E$3+7)</f>
        <v>0</v>
      </c>
    </row>
    <row r="1332" spans="1:10">
      <c r="A1332" t="s">
        <v>1331</v>
      </c>
      <c r="B1332" s="2">
        <v>42028.697999999997</v>
      </c>
      <c r="C1332" s="3" t="s">
        <v>5006</v>
      </c>
      <c r="D1332" t="s">
        <v>5013</v>
      </c>
      <c r="E1332" t="s">
        <v>5018</v>
      </c>
      <c r="F1332" t="s">
        <v>5018</v>
      </c>
      <c r="G1332">
        <v>19</v>
      </c>
      <c r="H1332" s="5">
        <v>1.637113488159096E-3</v>
      </c>
      <c r="I1332">
        <v>3</v>
      </c>
      <c r="J1332" t="b">
        <f>AND(CCData[[#This Row],[Date]]&gt;=Calculation!$E$3,CCData[[#This Row],[Date]]&lt;Calculation!$E$3+7)</f>
        <v>0</v>
      </c>
    </row>
    <row r="1333" spans="1:10">
      <c r="A1333" t="s">
        <v>1332</v>
      </c>
      <c r="B1333" s="2">
        <v>42028.697999999997</v>
      </c>
      <c r="C1333" s="3" t="s">
        <v>5005</v>
      </c>
      <c r="D1333" t="s">
        <v>5013</v>
      </c>
      <c r="E1333" t="s">
        <v>5018</v>
      </c>
      <c r="F1333" t="s">
        <v>5018</v>
      </c>
      <c r="G1333">
        <v>47</v>
      </c>
      <c r="H1333" s="5">
        <v>3.0835568707934234E-3</v>
      </c>
      <c r="I1333">
        <v>3</v>
      </c>
      <c r="J1333" t="b">
        <f>AND(CCData[[#This Row],[Date]]&gt;=Calculation!$E$3,CCData[[#This Row],[Date]]&lt;Calculation!$E$3+7)</f>
        <v>0</v>
      </c>
    </row>
    <row r="1334" spans="1:10">
      <c r="A1334" t="s">
        <v>1333</v>
      </c>
      <c r="B1334" s="2">
        <v>42028.72</v>
      </c>
      <c r="C1334" s="3" t="s">
        <v>5004</v>
      </c>
      <c r="D1334" t="s">
        <v>5012</v>
      </c>
      <c r="E1334" t="s">
        <v>5019</v>
      </c>
      <c r="F1334" t="s">
        <v>5019</v>
      </c>
      <c r="G1334" t="s">
        <v>5022</v>
      </c>
      <c r="H1334" s="5" t="s">
        <v>5022</v>
      </c>
      <c r="I1334" t="s">
        <v>5022</v>
      </c>
      <c r="J1334" t="b">
        <f>AND(CCData[[#This Row],[Date]]&gt;=Calculation!$E$3,CCData[[#This Row],[Date]]&lt;Calculation!$E$3+7)</f>
        <v>0</v>
      </c>
    </row>
    <row r="1335" spans="1:10">
      <c r="A1335" t="s">
        <v>1334</v>
      </c>
      <c r="B1335" s="2">
        <v>42028.72</v>
      </c>
      <c r="C1335" s="3" t="s">
        <v>5006</v>
      </c>
      <c r="D1335" t="s">
        <v>5014</v>
      </c>
      <c r="E1335" t="s">
        <v>5018</v>
      </c>
      <c r="F1335" t="s">
        <v>5018</v>
      </c>
      <c r="G1335">
        <v>84</v>
      </c>
      <c r="H1335" s="5">
        <v>4.4136178352887452E-3</v>
      </c>
      <c r="I1335">
        <v>4</v>
      </c>
      <c r="J1335" t="b">
        <f>AND(CCData[[#This Row],[Date]]&gt;=Calculation!$E$3,CCData[[#This Row],[Date]]&lt;Calculation!$E$3+7)</f>
        <v>0</v>
      </c>
    </row>
    <row r="1336" spans="1:10">
      <c r="A1336" t="s">
        <v>1335</v>
      </c>
      <c r="B1336" s="2">
        <v>42028.726000000002</v>
      </c>
      <c r="C1336" s="3" t="s">
        <v>5007</v>
      </c>
      <c r="D1336" t="s">
        <v>5014</v>
      </c>
      <c r="E1336" t="s">
        <v>5018</v>
      </c>
      <c r="F1336" t="s">
        <v>5018</v>
      </c>
      <c r="G1336">
        <v>17</v>
      </c>
      <c r="H1336" s="5">
        <v>1.7920821310723489E-3</v>
      </c>
      <c r="I1336">
        <v>1</v>
      </c>
      <c r="J1336" t="b">
        <f>AND(CCData[[#This Row],[Date]]&gt;=Calculation!$E$3,CCData[[#This Row],[Date]]&lt;Calculation!$E$3+7)</f>
        <v>0</v>
      </c>
    </row>
    <row r="1337" spans="1:10">
      <c r="A1337" t="s">
        <v>1336</v>
      </c>
      <c r="B1337" s="2">
        <v>42028.726000000002</v>
      </c>
      <c r="C1337" s="3" t="s">
        <v>5004</v>
      </c>
      <c r="D1337" t="s">
        <v>5014</v>
      </c>
      <c r="E1337" t="s">
        <v>5018</v>
      </c>
      <c r="F1337" t="s">
        <v>5018</v>
      </c>
      <c r="G1337">
        <v>116</v>
      </c>
      <c r="H1337" s="5">
        <v>8.940008069169645E-4</v>
      </c>
      <c r="I1337">
        <v>4</v>
      </c>
      <c r="J1337" t="b">
        <f>AND(CCData[[#This Row],[Date]]&gt;=Calculation!$E$3,CCData[[#This Row],[Date]]&lt;Calculation!$E$3+7)</f>
        <v>0</v>
      </c>
    </row>
    <row r="1338" spans="1:10">
      <c r="A1338" t="s">
        <v>1337</v>
      </c>
      <c r="B1338" s="2">
        <v>42028.745999999999</v>
      </c>
      <c r="C1338" s="3" t="s">
        <v>5003</v>
      </c>
      <c r="D1338" t="s">
        <v>5015</v>
      </c>
      <c r="E1338" t="s">
        <v>5018</v>
      </c>
      <c r="F1338" t="s">
        <v>5018</v>
      </c>
      <c r="G1338">
        <v>22</v>
      </c>
      <c r="H1338" s="5">
        <v>1.222870672292653E-3</v>
      </c>
      <c r="I1338">
        <v>4</v>
      </c>
      <c r="J1338" t="b">
        <f>AND(CCData[[#This Row],[Date]]&gt;=Calculation!$E$3,CCData[[#This Row],[Date]]&lt;Calculation!$E$3+7)</f>
        <v>0</v>
      </c>
    </row>
    <row r="1339" spans="1:10">
      <c r="A1339" t="s">
        <v>1338</v>
      </c>
      <c r="B1339" s="2">
        <v>42028.745999999999</v>
      </c>
      <c r="C1339" s="3" t="s">
        <v>5007</v>
      </c>
      <c r="D1339" t="s">
        <v>5013</v>
      </c>
      <c r="E1339" t="s">
        <v>5018</v>
      </c>
      <c r="F1339" t="s">
        <v>5018</v>
      </c>
      <c r="G1339">
        <v>10</v>
      </c>
      <c r="H1339" s="5">
        <v>4.3138181918523618E-3</v>
      </c>
      <c r="I1339">
        <v>4</v>
      </c>
      <c r="J1339" t="b">
        <f>AND(CCData[[#This Row],[Date]]&gt;=Calculation!$E$3,CCData[[#This Row],[Date]]&lt;Calculation!$E$3+7)</f>
        <v>0</v>
      </c>
    </row>
    <row r="1340" spans="1:10">
      <c r="A1340" t="s">
        <v>1339</v>
      </c>
      <c r="B1340" s="2">
        <v>42029.385999999999</v>
      </c>
      <c r="C1340" s="3" t="s">
        <v>5010</v>
      </c>
      <c r="D1340" t="s">
        <v>5016</v>
      </c>
      <c r="E1340" t="s">
        <v>5018</v>
      </c>
      <c r="F1340" t="s">
        <v>5018</v>
      </c>
      <c r="G1340">
        <v>76</v>
      </c>
      <c r="H1340" s="5">
        <v>1.0663784264217484E-3</v>
      </c>
      <c r="I1340">
        <v>4</v>
      </c>
      <c r="J1340" t="b">
        <f>AND(CCData[[#This Row],[Date]]&gt;=Calculation!$E$3,CCData[[#This Row],[Date]]&lt;Calculation!$E$3+7)</f>
        <v>0</v>
      </c>
    </row>
    <row r="1341" spans="1:10">
      <c r="A1341" t="s">
        <v>1340</v>
      </c>
      <c r="B1341" s="2">
        <v>42029.385999999999</v>
      </c>
      <c r="C1341" s="3" t="s">
        <v>5008</v>
      </c>
      <c r="D1341" t="s">
        <v>5014</v>
      </c>
      <c r="E1341" t="s">
        <v>5018</v>
      </c>
      <c r="F1341" t="s">
        <v>5018</v>
      </c>
      <c r="G1341">
        <v>104</v>
      </c>
      <c r="H1341" s="5">
        <v>4.5873811404016918E-3</v>
      </c>
      <c r="I1341">
        <v>4</v>
      </c>
      <c r="J1341" t="b">
        <f>AND(CCData[[#This Row],[Date]]&gt;=Calculation!$E$3,CCData[[#This Row],[Date]]&lt;Calculation!$E$3+7)</f>
        <v>0</v>
      </c>
    </row>
    <row r="1342" spans="1:10">
      <c r="A1342" t="s">
        <v>1341</v>
      </c>
      <c r="B1342" s="2">
        <v>42029.392999999996</v>
      </c>
      <c r="C1342" s="3" t="s">
        <v>5007</v>
      </c>
      <c r="D1342" t="s">
        <v>5016</v>
      </c>
      <c r="E1342" t="s">
        <v>5018</v>
      </c>
      <c r="F1342" t="s">
        <v>5018</v>
      </c>
      <c r="G1342">
        <v>44</v>
      </c>
      <c r="H1342" s="5">
        <v>4.7414388223265139E-3</v>
      </c>
      <c r="I1342">
        <v>3</v>
      </c>
      <c r="J1342" t="b">
        <f>AND(CCData[[#This Row],[Date]]&gt;=Calculation!$E$3,CCData[[#This Row],[Date]]&lt;Calculation!$E$3+7)</f>
        <v>0</v>
      </c>
    </row>
    <row r="1343" spans="1:10">
      <c r="A1343" t="s">
        <v>1342</v>
      </c>
      <c r="B1343" s="2">
        <v>42029.392999999996</v>
      </c>
      <c r="C1343" s="3" t="s">
        <v>5007</v>
      </c>
      <c r="D1343" t="s">
        <v>5015</v>
      </c>
      <c r="E1343" t="s">
        <v>5018</v>
      </c>
      <c r="F1343" t="s">
        <v>5018</v>
      </c>
      <c r="G1343">
        <v>24</v>
      </c>
      <c r="H1343" s="5">
        <v>2.550801842401394E-3</v>
      </c>
      <c r="I1343">
        <v>5</v>
      </c>
      <c r="J1343" t="b">
        <f>AND(CCData[[#This Row],[Date]]&gt;=Calculation!$E$3,CCData[[#This Row],[Date]]&lt;Calculation!$E$3+7)</f>
        <v>0</v>
      </c>
    </row>
    <row r="1344" spans="1:10">
      <c r="A1344" t="s">
        <v>1343</v>
      </c>
      <c r="B1344" s="2">
        <v>42029.398000000001</v>
      </c>
      <c r="C1344" s="3" t="s">
        <v>5010</v>
      </c>
      <c r="D1344" t="s">
        <v>5013</v>
      </c>
      <c r="E1344" t="s">
        <v>5018</v>
      </c>
      <c r="F1344" t="s">
        <v>5018</v>
      </c>
      <c r="G1344">
        <v>40</v>
      </c>
      <c r="H1344" s="5">
        <v>4.8255246836989858E-3</v>
      </c>
      <c r="I1344">
        <v>3</v>
      </c>
      <c r="J1344" t="b">
        <f>AND(CCData[[#This Row],[Date]]&gt;=Calculation!$E$3,CCData[[#This Row],[Date]]&lt;Calculation!$E$3+7)</f>
        <v>0</v>
      </c>
    </row>
    <row r="1345" spans="1:10">
      <c r="A1345" t="s">
        <v>1344</v>
      </c>
      <c r="B1345" s="2">
        <v>42029.398000000001</v>
      </c>
      <c r="C1345" s="3" t="s">
        <v>5004</v>
      </c>
      <c r="D1345" t="s">
        <v>5014</v>
      </c>
      <c r="E1345" t="s">
        <v>5018</v>
      </c>
      <c r="F1345" t="s">
        <v>5018</v>
      </c>
      <c r="G1345">
        <v>57</v>
      </c>
      <c r="H1345" s="5">
        <v>3.9951267673100687E-3</v>
      </c>
      <c r="I1345">
        <v>4</v>
      </c>
      <c r="J1345" t="b">
        <f>AND(CCData[[#This Row],[Date]]&gt;=Calculation!$E$3,CCData[[#This Row],[Date]]&lt;Calculation!$E$3+7)</f>
        <v>0</v>
      </c>
    </row>
    <row r="1346" spans="1:10">
      <c r="A1346" t="s">
        <v>1345</v>
      </c>
      <c r="B1346" s="2">
        <v>42029.400999999998</v>
      </c>
      <c r="C1346" s="3" t="s">
        <v>5005</v>
      </c>
      <c r="D1346" t="s">
        <v>5013</v>
      </c>
      <c r="E1346" t="s">
        <v>5018</v>
      </c>
      <c r="F1346" t="s">
        <v>5018</v>
      </c>
      <c r="G1346">
        <v>19</v>
      </c>
      <c r="H1346" s="5">
        <v>4.4310303472429539E-3</v>
      </c>
      <c r="I1346">
        <v>3</v>
      </c>
      <c r="J1346" t="b">
        <f>AND(CCData[[#This Row],[Date]]&gt;=Calculation!$E$3,CCData[[#This Row],[Date]]&lt;Calculation!$E$3+7)</f>
        <v>0</v>
      </c>
    </row>
    <row r="1347" spans="1:10">
      <c r="A1347" t="s">
        <v>1346</v>
      </c>
      <c r="B1347" s="2">
        <v>42029.400999999998</v>
      </c>
      <c r="C1347" s="3" t="s">
        <v>5009</v>
      </c>
      <c r="D1347" t="s">
        <v>5016</v>
      </c>
      <c r="E1347" t="s">
        <v>5018</v>
      </c>
      <c r="F1347" t="s">
        <v>5018</v>
      </c>
      <c r="G1347">
        <v>55</v>
      </c>
      <c r="H1347" s="5">
        <v>4.5724524440691888E-3</v>
      </c>
      <c r="I1347">
        <v>3</v>
      </c>
      <c r="J1347" t="b">
        <f>AND(CCData[[#This Row],[Date]]&gt;=Calculation!$E$3,CCData[[#This Row],[Date]]&lt;Calculation!$E$3+7)</f>
        <v>0</v>
      </c>
    </row>
    <row r="1348" spans="1:10">
      <c r="A1348" t="s">
        <v>1347</v>
      </c>
      <c r="B1348" s="2">
        <v>42029.423999999999</v>
      </c>
      <c r="C1348" s="3" t="s">
        <v>5009</v>
      </c>
      <c r="D1348" t="s">
        <v>5012</v>
      </c>
      <c r="E1348" t="s">
        <v>5018</v>
      </c>
      <c r="F1348" t="s">
        <v>5018</v>
      </c>
      <c r="G1348">
        <v>102</v>
      </c>
      <c r="H1348" s="5">
        <v>3.6270126593574668E-3</v>
      </c>
      <c r="I1348">
        <v>5</v>
      </c>
      <c r="J1348" t="b">
        <f>AND(CCData[[#This Row],[Date]]&gt;=Calculation!$E$3,CCData[[#This Row],[Date]]&lt;Calculation!$E$3+7)</f>
        <v>0</v>
      </c>
    </row>
    <row r="1349" spans="1:10">
      <c r="A1349" t="s">
        <v>1348</v>
      </c>
      <c r="B1349" s="2">
        <v>42029.423999999999</v>
      </c>
      <c r="C1349" s="3" t="s">
        <v>5008</v>
      </c>
      <c r="D1349" t="s">
        <v>5014</v>
      </c>
      <c r="E1349" t="s">
        <v>5018</v>
      </c>
      <c r="F1349" t="s">
        <v>5019</v>
      </c>
      <c r="G1349">
        <v>123</v>
      </c>
      <c r="H1349" s="5">
        <v>4.3476999795851823E-4</v>
      </c>
      <c r="I1349">
        <v>3</v>
      </c>
      <c r="J1349" t="b">
        <f>AND(CCData[[#This Row],[Date]]&gt;=Calculation!$E$3,CCData[[#This Row],[Date]]&lt;Calculation!$E$3+7)</f>
        <v>0</v>
      </c>
    </row>
    <row r="1350" spans="1:10">
      <c r="A1350" t="s">
        <v>1349</v>
      </c>
      <c r="B1350" s="2">
        <v>42029.436000000002</v>
      </c>
      <c r="C1350" s="3" t="s">
        <v>5003</v>
      </c>
      <c r="D1350" t="s">
        <v>5015</v>
      </c>
      <c r="E1350" t="s">
        <v>5019</v>
      </c>
      <c r="F1350" t="s">
        <v>5019</v>
      </c>
      <c r="G1350" t="s">
        <v>5022</v>
      </c>
      <c r="H1350" s="5" t="s">
        <v>5022</v>
      </c>
      <c r="I1350" t="s">
        <v>5022</v>
      </c>
      <c r="J1350" t="b">
        <f>AND(CCData[[#This Row],[Date]]&gt;=Calculation!$E$3,CCData[[#This Row],[Date]]&lt;Calculation!$E$3+7)</f>
        <v>0</v>
      </c>
    </row>
    <row r="1351" spans="1:10">
      <c r="A1351" t="s">
        <v>1350</v>
      </c>
      <c r="B1351" s="2">
        <v>42029.436000000002</v>
      </c>
      <c r="C1351" s="3" t="s">
        <v>5008</v>
      </c>
      <c r="D1351" t="s">
        <v>5012</v>
      </c>
      <c r="E1351" t="s">
        <v>5019</v>
      </c>
      <c r="F1351" t="s">
        <v>5019</v>
      </c>
      <c r="G1351" t="s">
        <v>5022</v>
      </c>
      <c r="H1351" s="5" t="s">
        <v>5022</v>
      </c>
      <c r="I1351" t="s">
        <v>5022</v>
      </c>
      <c r="J1351" t="b">
        <f>AND(CCData[[#This Row],[Date]]&gt;=Calculation!$E$3,CCData[[#This Row],[Date]]&lt;Calculation!$E$3+7)</f>
        <v>0</v>
      </c>
    </row>
    <row r="1352" spans="1:10">
      <c r="A1352" t="s">
        <v>1351</v>
      </c>
      <c r="B1352" s="2">
        <v>42029.446000000004</v>
      </c>
      <c r="C1352" s="3" t="s">
        <v>5008</v>
      </c>
      <c r="D1352" t="s">
        <v>5016</v>
      </c>
      <c r="E1352" t="s">
        <v>5018</v>
      </c>
      <c r="F1352" t="s">
        <v>5018</v>
      </c>
      <c r="G1352">
        <v>115</v>
      </c>
      <c r="H1352" s="5">
        <v>4.1450407664412785E-3</v>
      </c>
      <c r="I1352">
        <v>4</v>
      </c>
      <c r="J1352" t="b">
        <f>AND(CCData[[#This Row],[Date]]&gt;=Calculation!$E$3,CCData[[#This Row],[Date]]&lt;Calculation!$E$3+7)</f>
        <v>0</v>
      </c>
    </row>
    <row r="1353" spans="1:10">
      <c r="A1353" t="s">
        <v>1352</v>
      </c>
      <c r="B1353" s="2">
        <v>42029.446000000004</v>
      </c>
      <c r="C1353" s="3" t="s">
        <v>5010</v>
      </c>
      <c r="D1353" t="s">
        <v>5013</v>
      </c>
      <c r="E1353" t="s">
        <v>5018</v>
      </c>
      <c r="F1353" t="s">
        <v>5018</v>
      </c>
      <c r="G1353">
        <v>53</v>
      </c>
      <c r="H1353" s="5">
        <v>4.2289236946503848E-3</v>
      </c>
      <c r="I1353">
        <v>5</v>
      </c>
      <c r="J1353" t="b">
        <f>AND(CCData[[#This Row],[Date]]&gt;=Calculation!$E$3,CCData[[#This Row],[Date]]&lt;Calculation!$E$3+7)</f>
        <v>0</v>
      </c>
    </row>
    <row r="1354" spans="1:10">
      <c r="A1354" t="s">
        <v>1353</v>
      </c>
      <c r="B1354" s="2">
        <v>42029.461000000003</v>
      </c>
      <c r="C1354" s="3" t="s">
        <v>5003</v>
      </c>
      <c r="D1354" t="s">
        <v>5013</v>
      </c>
      <c r="E1354" t="s">
        <v>5018</v>
      </c>
      <c r="F1354" t="s">
        <v>5018</v>
      </c>
      <c r="G1354">
        <v>61</v>
      </c>
      <c r="H1354" s="5">
        <v>1.4420345766670035E-3</v>
      </c>
      <c r="I1354">
        <v>5</v>
      </c>
      <c r="J1354" t="b">
        <f>AND(CCData[[#This Row],[Date]]&gt;=Calculation!$E$3,CCData[[#This Row],[Date]]&lt;Calculation!$E$3+7)</f>
        <v>0</v>
      </c>
    </row>
    <row r="1355" spans="1:10">
      <c r="A1355" t="s">
        <v>1354</v>
      </c>
      <c r="B1355" s="2">
        <v>42029.461000000003</v>
      </c>
      <c r="C1355" s="3" t="s">
        <v>5003</v>
      </c>
      <c r="D1355" t="s">
        <v>5013</v>
      </c>
      <c r="E1355" t="s">
        <v>5018</v>
      </c>
      <c r="F1355" t="s">
        <v>5018</v>
      </c>
      <c r="G1355">
        <v>99</v>
      </c>
      <c r="H1355" s="5">
        <v>3.8570012368510705E-3</v>
      </c>
      <c r="I1355">
        <v>5</v>
      </c>
      <c r="J1355" t="b">
        <f>AND(CCData[[#This Row],[Date]]&gt;=Calculation!$E$3,CCData[[#This Row],[Date]]&lt;Calculation!$E$3+7)</f>
        <v>0</v>
      </c>
    </row>
    <row r="1356" spans="1:10">
      <c r="A1356" t="s">
        <v>1355</v>
      </c>
      <c r="B1356" s="2">
        <v>42029.487999999998</v>
      </c>
      <c r="C1356" s="3" t="s">
        <v>5006</v>
      </c>
      <c r="D1356" t="s">
        <v>5015</v>
      </c>
      <c r="E1356" t="s">
        <v>5019</v>
      </c>
      <c r="F1356" t="s">
        <v>5019</v>
      </c>
      <c r="G1356" t="s">
        <v>5022</v>
      </c>
      <c r="H1356" s="5" t="s">
        <v>5022</v>
      </c>
      <c r="I1356" t="s">
        <v>5022</v>
      </c>
      <c r="J1356" t="b">
        <f>AND(CCData[[#This Row],[Date]]&gt;=Calculation!$E$3,CCData[[#This Row],[Date]]&lt;Calculation!$E$3+7)</f>
        <v>0</v>
      </c>
    </row>
    <row r="1357" spans="1:10">
      <c r="A1357" t="s">
        <v>1356</v>
      </c>
      <c r="B1357" s="2">
        <v>42029.487999999998</v>
      </c>
      <c r="C1357" s="3" t="s">
        <v>5006</v>
      </c>
      <c r="D1357" t="s">
        <v>5014</v>
      </c>
      <c r="E1357" t="s">
        <v>5018</v>
      </c>
      <c r="F1357" t="s">
        <v>5019</v>
      </c>
      <c r="G1357">
        <v>57</v>
      </c>
      <c r="H1357" s="5">
        <v>1.693290613098544E-3</v>
      </c>
      <c r="I1357">
        <v>3</v>
      </c>
      <c r="J1357" t="b">
        <f>AND(CCData[[#This Row],[Date]]&gt;=Calculation!$E$3,CCData[[#This Row],[Date]]&lt;Calculation!$E$3+7)</f>
        <v>0</v>
      </c>
    </row>
    <row r="1358" spans="1:10">
      <c r="A1358" t="s">
        <v>1357</v>
      </c>
      <c r="B1358" s="2">
        <v>42029.491999999998</v>
      </c>
      <c r="C1358" s="3" t="s">
        <v>5003</v>
      </c>
      <c r="D1358" t="s">
        <v>5012</v>
      </c>
      <c r="E1358" t="s">
        <v>5018</v>
      </c>
      <c r="F1358" t="s">
        <v>5018</v>
      </c>
      <c r="G1358">
        <v>24</v>
      </c>
      <c r="H1358" s="5">
        <v>3.2725056453955532E-3</v>
      </c>
      <c r="I1358">
        <v>3</v>
      </c>
      <c r="J1358" t="b">
        <f>AND(CCData[[#This Row],[Date]]&gt;=Calculation!$E$3,CCData[[#This Row],[Date]]&lt;Calculation!$E$3+7)</f>
        <v>0</v>
      </c>
    </row>
    <row r="1359" spans="1:10">
      <c r="A1359" t="s">
        <v>1358</v>
      </c>
      <c r="B1359" s="2">
        <v>42029.491999999998</v>
      </c>
      <c r="C1359" s="3" t="s">
        <v>5005</v>
      </c>
      <c r="D1359" t="s">
        <v>5012</v>
      </c>
      <c r="E1359" t="s">
        <v>5018</v>
      </c>
      <c r="F1359" t="s">
        <v>5018</v>
      </c>
      <c r="G1359">
        <v>75</v>
      </c>
      <c r="H1359" s="5">
        <v>1.1931338413657239E-3</v>
      </c>
      <c r="I1359">
        <v>4</v>
      </c>
      <c r="J1359" t="b">
        <f>AND(CCData[[#This Row],[Date]]&gt;=Calculation!$E$3,CCData[[#This Row],[Date]]&lt;Calculation!$E$3+7)</f>
        <v>0</v>
      </c>
    </row>
    <row r="1360" spans="1:10">
      <c r="A1360" t="s">
        <v>1359</v>
      </c>
      <c r="B1360" s="2">
        <v>42029.495999999999</v>
      </c>
      <c r="C1360" s="3" t="s">
        <v>5008</v>
      </c>
      <c r="D1360" t="s">
        <v>5012</v>
      </c>
      <c r="E1360" t="s">
        <v>5018</v>
      </c>
      <c r="F1360" t="s">
        <v>5018</v>
      </c>
      <c r="G1360">
        <v>72</v>
      </c>
      <c r="H1360" s="5">
        <v>3.8261099047378496E-3</v>
      </c>
      <c r="I1360">
        <v>4</v>
      </c>
      <c r="J1360" t="b">
        <f>AND(CCData[[#This Row],[Date]]&gt;=Calculation!$E$3,CCData[[#This Row],[Date]]&lt;Calculation!$E$3+7)</f>
        <v>0</v>
      </c>
    </row>
    <row r="1361" spans="1:10">
      <c r="A1361" t="s">
        <v>1360</v>
      </c>
      <c r="B1361" s="2">
        <v>42029.495999999999</v>
      </c>
      <c r="C1361" s="3" t="s">
        <v>5005</v>
      </c>
      <c r="D1361" t="s">
        <v>5014</v>
      </c>
      <c r="E1361" t="s">
        <v>5018</v>
      </c>
      <c r="F1361" t="s">
        <v>5018</v>
      </c>
      <c r="G1361">
        <v>73</v>
      </c>
      <c r="H1361" s="5">
        <v>2.2488769889614669E-3</v>
      </c>
      <c r="I1361">
        <v>4</v>
      </c>
      <c r="J1361" t="b">
        <f>AND(CCData[[#This Row],[Date]]&gt;=Calculation!$E$3,CCData[[#This Row],[Date]]&lt;Calculation!$E$3+7)</f>
        <v>0</v>
      </c>
    </row>
    <row r="1362" spans="1:10">
      <c r="A1362" t="s">
        <v>1361</v>
      </c>
      <c r="B1362" s="2">
        <v>42029.495999999999</v>
      </c>
      <c r="C1362" s="3" t="s">
        <v>5009</v>
      </c>
      <c r="D1362" t="s">
        <v>5014</v>
      </c>
      <c r="E1362" t="s">
        <v>5018</v>
      </c>
      <c r="F1362" t="s">
        <v>5019</v>
      </c>
      <c r="G1362">
        <v>105</v>
      </c>
      <c r="H1362" s="5">
        <v>2.1456242407378472E-3</v>
      </c>
      <c r="I1362">
        <v>4</v>
      </c>
      <c r="J1362" t="b">
        <f>AND(CCData[[#This Row],[Date]]&gt;=Calculation!$E$3,CCData[[#This Row],[Date]]&lt;Calculation!$E$3+7)</f>
        <v>0</v>
      </c>
    </row>
    <row r="1363" spans="1:10">
      <c r="A1363" t="s">
        <v>1362</v>
      </c>
      <c r="B1363" s="2">
        <v>42029.495999999999</v>
      </c>
      <c r="C1363" s="3" t="s">
        <v>5006</v>
      </c>
      <c r="D1363" t="s">
        <v>5013</v>
      </c>
      <c r="E1363" t="s">
        <v>5018</v>
      </c>
      <c r="F1363" t="s">
        <v>5018</v>
      </c>
      <c r="G1363">
        <v>75</v>
      </c>
      <c r="H1363" s="5">
        <v>2.6062502912650165E-3</v>
      </c>
      <c r="I1363">
        <v>3</v>
      </c>
      <c r="J1363" t="b">
        <f>AND(CCData[[#This Row],[Date]]&gt;=Calculation!$E$3,CCData[[#This Row],[Date]]&lt;Calculation!$E$3+7)</f>
        <v>0</v>
      </c>
    </row>
    <row r="1364" spans="1:10">
      <c r="A1364" t="s">
        <v>1363</v>
      </c>
      <c r="B1364" s="2">
        <v>42029.5</v>
      </c>
      <c r="C1364" s="3" t="s">
        <v>5004</v>
      </c>
      <c r="D1364" t="s">
        <v>5014</v>
      </c>
      <c r="E1364" t="s">
        <v>5018</v>
      </c>
      <c r="F1364" t="s">
        <v>5018</v>
      </c>
      <c r="G1364">
        <v>29</v>
      </c>
      <c r="H1364" s="5">
        <v>3.3481545564022306E-3</v>
      </c>
      <c r="I1364">
        <v>4</v>
      </c>
      <c r="J1364" t="b">
        <f>AND(CCData[[#This Row],[Date]]&gt;=Calculation!$E$3,CCData[[#This Row],[Date]]&lt;Calculation!$E$3+7)</f>
        <v>0</v>
      </c>
    </row>
    <row r="1365" spans="1:10">
      <c r="A1365" t="s">
        <v>1364</v>
      </c>
      <c r="B1365" s="2">
        <v>42029.5</v>
      </c>
      <c r="C1365" s="3" t="s">
        <v>5005</v>
      </c>
      <c r="D1365" t="s">
        <v>5013</v>
      </c>
      <c r="E1365" t="s">
        <v>5018</v>
      </c>
      <c r="F1365" t="s">
        <v>5018</v>
      </c>
      <c r="G1365">
        <v>41</v>
      </c>
      <c r="H1365" s="5">
        <v>1.1896491133457879E-3</v>
      </c>
      <c r="I1365">
        <v>1</v>
      </c>
      <c r="J1365" t="b">
        <f>AND(CCData[[#This Row],[Date]]&gt;=Calculation!$E$3,CCData[[#This Row],[Date]]&lt;Calculation!$E$3+7)</f>
        <v>0</v>
      </c>
    </row>
    <row r="1366" spans="1:10">
      <c r="A1366" t="s">
        <v>1365</v>
      </c>
      <c r="B1366" s="2">
        <v>42029.506999999998</v>
      </c>
      <c r="C1366" s="3" t="s">
        <v>5009</v>
      </c>
      <c r="D1366" t="s">
        <v>5015</v>
      </c>
      <c r="E1366" t="s">
        <v>5018</v>
      </c>
      <c r="F1366" t="s">
        <v>5018</v>
      </c>
      <c r="G1366">
        <v>93</v>
      </c>
      <c r="H1366" s="5">
        <v>2.2080460987584294E-3</v>
      </c>
      <c r="I1366">
        <v>4</v>
      </c>
      <c r="J1366" t="b">
        <f>AND(CCData[[#This Row],[Date]]&gt;=Calculation!$E$3,CCData[[#This Row],[Date]]&lt;Calculation!$E$3+7)</f>
        <v>0</v>
      </c>
    </row>
    <row r="1367" spans="1:10">
      <c r="A1367" t="s">
        <v>1366</v>
      </c>
      <c r="B1367" s="2">
        <v>42029.506999999998</v>
      </c>
      <c r="C1367" s="3" t="s">
        <v>5007</v>
      </c>
      <c r="D1367" t="s">
        <v>5015</v>
      </c>
      <c r="E1367" t="s">
        <v>5019</v>
      </c>
      <c r="F1367" t="s">
        <v>5019</v>
      </c>
      <c r="G1367" t="s">
        <v>5022</v>
      </c>
      <c r="H1367" s="5" t="s">
        <v>5022</v>
      </c>
      <c r="I1367" t="s">
        <v>5022</v>
      </c>
      <c r="J1367" t="b">
        <f>AND(CCData[[#This Row],[Date]]&gt;=Calculation!$E$3,CCData[[#This Row],[Date]]&lt;Calculation!$E$3+7)</f>
        <v>0</v>
      </c>
    </row>
    <row r="1368" spans="1:10">
      <c r="A1368" t="s">
        <v>1367</v>
      </c>
      <c r="B1368" s="2">
        <v>42029.508999999998</v>
      </c>
      <c r="C1368" s="3" t="s">
        <v>5010</v>
      </c>
      <c r="D1368" t="s">
        <v>5015</v>
      </c>
      <c r="E1368" t="s">
        <v>5018</v>
      </c>
      <c r="F1368" t="s">
        <v>5018</v>
      </c>
      <c r="G1368">
        <v>73</v>
      </c>
      <c r="H1368" s="5">
        <v>3.8825821999093806E-3</v>
      </c>
      <c r="I1368">
        <v>3</v>
      </c>
      <c r="J1368" t="b">
        <f>AND(CCData[[#This Row],[Date]]&gt;=Calculation!$E$3,CCData[[#This Row],[Date]]&lt;Calculation!$E$3+7)</f>
        <v>0</v>
      </c>
    </row>
    <row r="1369" spans="1:10">
      <c r="A1369" t="s">
        <v>1368</v>
      </c>
      <c r="B1369" s="2">
        <v>42029.508999999998</v>
      </c>
      <c r="C1369" s="3" t="s">
        <v>5005</v>
      </c>
      <c r="D1369" t="s">
        <v>5016</v>
      </c>
      <c r="E1369" t="s">
        <v>5019</v>
      </c>
      <c r="F1369" t="s">
        <v>5019</v>
      </c>
      <c r="G1369" t="s">
        <v>5022</v>
      </c>
      <c r="H1369" s="5" t="s">
        <v>5022</v>
      </c>
      <c r="I1369" t="s">
        <v>5022</v>
      </c>
      <c r="J1369" t="b">
        <f>AND(CCData[[#This Row],[Date]]&gt;=Calculation!$E$3,CCData[[#This Row],[Date]]&lt;Calculation!$E$3+7)</f>
        <v>0</v>
      </c>
    </row>
    <row r="1370" spans="1:10">
      <c r="A1370" t="s">
        <v>1369</v>
      </c>
      <c r="B1370" s="2">
        <v>42029.512999999999</v>
      </c>
      <c r="C1370" s="3" t="s">
        <v>5006</v>
      </c>
      <c r="D1370" t="s">
        <v>5014</v>
      </c>
      <c r="E1370" t="s">
        <v>5018</v>
      </c>
      <c r="F1370" t="s">
        <v>5018</v>
      </c>
      <c r="G1370">
        <v>112</v>
      </c>
      <c r="H1370" s="5">
        <v>9.423807393686667E-4</v>
      </c>
      <c r="I1370">
        <v>4</v>
      </c>
      <c r="J1370" t="b">
        <f>AND(CCData[[#This Row],[Date]]&gt;=Calculation!$E$3,CCData[[#This Row],[Date]]&lt;Calculation!$E$3+7)</f>
        <v>0</v>
      </c>
    </row>
    <row r="1371" spans="1:10">
      <c r="A1371" t="s">
        <v>1370</v>
      </c>
      <c r="B1371" s="2">
        <v>42029.512999999999</v>
      </c>
      <c r="C1371" s="3" t="s">
        <v>5003</v>
      </c>
      <c r="D1371" t="s">
        <v>5014</v>
      </c>
      <c r="E1371" t="s">
        <v>5018</v>
      </c>
      <c r="F1371" t="s">
        <v>5018</v>
      </c>
      <c r="G1371">
        <v>37</v>
      </c>
      <c r="H1371" s="5">
        <v>3.9258289523622768E-3</v>
      </c>
      <c r="I1371">
        <v>4</v>
      </c>
      <c r="J1371" t="b">
        <f>AND(CCData[[#This Row],[Date]]&gt;=Calculation!$E$3,CCData[[#This Row],[Date]]&lt;Calculation!$E$3+7)</f>
        <v>0</v>
      </c>
    </row>
    <row r="1372" spans="1:10">
      <c r="A1372" t="s">
        <v>1371</v>
      </c>
      <c r="B1372" s="2">
        <v>42029.514999999999</v>
      </c>
      <c r="C1372" s="3" t="s">
        <v>5006</v>
      </c>
      <c r="D1372" t="s">
        <v>5012</v>
      </c>
      <c r="E1372" t="s">
        <v>5018</v>
      </c>
      <c r="F1372" t="s">
        <v>5018</v>
      </c>
      <c r="G1372">
        <v>59</v>
      </c>
      <c r="H1372" s="5">
        <v>4.0557799837259391E-3</v>
      </c>
      <c r="I1372">
        <v>5</v>
      </c>
      <c r="J1372" t="b">
        <f>AND(CCData[[#This Row],[Date]]&gt;=Calculation!$E$3,CCData[[#This Row],[Date]]&lt;Calculation!$E$3+7)</f>
        <v>0</v>
      </c>
    </row>
    <row r="1373" spans="1:10">
      <c r="A1373" t="s">
        <v>1372</v>
      </c>
      <c r="B1373" s="2">
        <v>42029.514999999999</v>
      </c>
      <c r="C1373" s="3" t="s">
        <v>5007</v>
      </c>
      <c r="D1373" t="s">
        <v>5013</v>
      </c>
      <c r="E1373" t="s">
        <v>5019</v>
      </c>
      <c r="F1373" t="s">
        <v>5019</v>
      </c>
      <c r="G1373" t="s">
        <v>5022</v>
      </c>
      <c r="H1373" s="5" t="s">
        <v>5022</v>
      </c>
      <c r="I1373" t="s">
        <v>5022</v>
      </c>
      <c r="J1373" t="b">
        <f>AND(CCData[[#This Row],[Date]]&gt;=Calculation!$E$3,CCData[[#This Row],[Date]]&lt;Calculation!$E$3+7)</f>
        <v>0</v>
      </c>
    </row>
    <row r="1374" spans="1:10">
      <c r="A1374" t="s">
        <v>1373</v>
      </c>
      <c r="B1374" s="2">
        <v>42029.514999999999</v>
      </c>
      <c r="C1374" s="3" t="s">
        <v>5004</v>
      </c>
      <c r="D1374" t="s">
        <v>5013</v>
      </c>
      <c r="E1374" t="s">
        <v>5018</v>
      </c>
      <c r="F1374" t="s">
        <v>5018</v>
      </c>
      <c r="G1374">
        <v>56</v>
      </c>
      <c r="H1374" s="5">
        <v>9.6587740434889028E-4</v>
      </c>
      <c r="I1374">
        <v>3</v>
      </c>
      <c r="J1374" t="b">
        <f>AND(CCData[[#This Row],[Date]]&gt;=Calculation!$E$3,CCData[[#This Row],[Date]]&lt;Calculation!$E$3+7)</f>
        <v>0</v>
      </c>
    </row>
    <row r="1375" spans="1:10">
      <c r="A1375" t="s">
        <v>1374</v>
      </c>
      <c r="B1375" s="2">
        <v>42029.514999999999</v>
      </c>
      <c r="C1375" s="3" t="s">
        <v>5006</v>
      </c>
      <c r="D1375" t="s">
        <v>5012</v>
      </c>
      <c r="E1375" t="s">
        <v>5018</v>
      </c>
      <c r="F1375" t="s">
        <v>5018</v>
      </c>
      <c r="G1375">
        <v>56</v>
      </c>
      <c r="H1375" s="5">
        <v>3.6124597956628652E-3</v>
      </c>
      <c r="I1375">
        <v>3</v>
      </c>
      <c r="J1375" t="b">
        <f>AND(CCData[[#This Row],[Date]]&gt;=Calculation!$E$3,CCData[[#This Row],[Date]]&lt;Calculation!$E$3+7)</f>
        <v>0</v>
      </c>
    </row>
    <row r="1376" spans="1:10">
      <c r="A1376" t="s">
        <v>1375</v>
      </c>
      <c r="B1376" s="2">
        <v>42029.53</v>
      </c>
      <c r="C1376" s="3" t="s">
        <v>5007</v>
      </c>
      <c r="D1376" t="s">
        <v>5015</v>
      </c>
      <c r="E1376" t="s">
        <v>5019</v>
      </c>
      <c r="F1376" t="s">
        <v>5019</v>
      </c>
      <c r="G1376" t="s">
        <v>5022</v>
      </c>
      <c r="H1376" s="5" t="s">
        <v>5022</v>
      </c>
      <c r="I1376" t="s">
        <v>5022</v>
      </c>
      <c r="J1376" t="b">
        <f>AND(CCData[[#This Row],[Date]]&gt;=Calculation!$E$3,CCData[[#This Row],[Date]]&lt;Calculation!$E$3+7)</f>
        <v>0</v>
      </c>
    </row>
    <row r="1377" spans="1:10">
      <c r="A1377" t="s">
        <v>1376</v>
      </c>
      <c r="B1377" s="2">
        <v>42029.53</v>
      </c>
      <c r="C1377" s="3" t="s">
        <v>5005</v>
      </c>
      <c r="D1377" t="s">
        <v>5015</v>
      </c>
      <c r="E1377" t="s">
        <v>5018</v>
      </c>
      <c r="F1377" t="s">
        <v>5018</v>
      </c>
      <c r="G1377">
        <v>43</v>
      </c>
      <c r="H1377" s="5">
        <v>4.508251346460504E-3</v>
      </c>
      <c r="I1377">
        <v>5</v>
      </c>
      <c r="J1377" t="b">
        <f>AND(CCData[[#This Row],[Date]]&gt;=Calculation!$E$3,CCData[[#This Row],[Date]]&lt;Calculation!$E$3+7)</f>
        <v>0</v>
      </c>
    </row>
    <row r="1378" spans="1:10">
      <c r="A1378" t="s">
        <v>1377</v>
      </c>
      <c r="B1378" s="2">
        <v>42029.536999999997</v>
      </c>
      <c r="C1378" s="3" t="s">
        <v>5010</v>
      </c>
      <c r="D1378" t="s">
        <v>5014</v>
      </c>
      <c r="E1378" t="s">
        <v>5018</v>
      </c>
      <c r="F1378" t="s">
        <v>5018</v>
      </c>
      <c r="G1378">
        <v>80</v>
      </c>
      <c r="H1378" s="5">
        <v>4.269564807799003E-3</v>
      </c>
      <c r="I1378">
        <v>2</v>
      </c>
      <c r="J1378" t="b">
        <f>AND(CCData[[#This Row],[Date]]&gt;=Calculation!$E$3,CCData[[#This Row],[Date]]&lt;Calculation!$E$3+7)</f>
        <v>0</v>
      </c>
    </row>
    <row r="1379" spans="1:10">
      <c r="A1379" t="s">
        <v>1378</v>
      </c>
      <c r="B1379" s="2">
        <v>42029.536999999997</v>
      </c>
      <c r="C1379" s="3" t="s">
        <v>5007</v>
      </c>
      <c r="D1379" t="s">
        <v>5015</v>
      </c>
      <c r="E1379" t="s">
        <v>5018</v>
      </c>
      <c r="F1379" t="s">
        <v>5018</v>
      </c>
      <c r="G1379">
        <v>66</v>
      </c>
      <c r="H1379" s="5">
        <v>4.1991703527312057E-3</v>
      </c>
      <c r="I1379">
        <v>3</v>
      </c>
      <c r="J1379" t="b">
        <f>AND(CCData[[#This Row],[Date]]&gt;=Calculation!$E$3,CCData[[#This Row],[Date]]&lt;Calculation!$E$3+7)</f>
        <v>0</v>
      </c>
    </row>
    <row r="1380" spans="1:10">
      <c r="A1380" t="s">
        <v>1379</v>
      </c>
      <c r="B1380" s="2">
        <v>42029.591</v>
      </c>
      <c r="C1380" s="3" t="s">
        <v>5004</v>
      </c>
      <c r="D1380" t="s">
        <v>5012</v>
      </c>
      <c r="E1380" t="s">
        <v>5018</v>
      </c>
      <c r="F1380" t="s">
        <v>5018</v>
      </c>
      <c r="G1380">
        <v>54</v>
      </c>
      <c r="H1380" s="5">
        <v>2.9067719323804257E-3</v>
      </c>
      <c r="I1380">
        <v>3</v>
      </c>
      <c r="J1380" t="b">
        <f>AND(CCData[[#This Row],[Date]]&gt;=Calculation!$E$3,CCData[[#This Row],[Date]]&lt;Calculation!$E$3+7)</f>
        <v>0</v>
      </c>
    </row>
    <row r="1381" spans="1:10">
      <c r="A1381" t="s">
        <v>1380</v>
      </c>
      <c r="B1381" s="2">
        <v>42029.591</v>
      </c>
      <c r="C1381" s="3" t="s">
        <v>5008</v>
      </c>
      <c r="D1381" t="s">
        <v>5016</v>
      </c>
      <c r="E1381" t="s">
        <v>5018</v>
      </c>
      <c r="F1381" t="s">
        <v>5018</v>
      </c>
      <c r="G1381">
        <v>94</v>
      </c>
      <c r="H1381" s="5">
        <v>3.5118298306463713E-3</v>
      </c>
      <c r="I1381">
        <v>2</v>
      </c>
      <c r="J1381" t="b">
        <f>AND(CCData[[#This Row],[Date]]&gt;=Calculation!$E$3,CCData[[#This Row],[Date]]&lt;Calculation!$E$3+7)</f>
        <v>0</v>
      </c>
    </row>
    <row r="1382" spans="1:10">
      <c r="A1382" t="s">
        <v>1381</v>
      </c>
      <c r="B1382" s="2">
        <v>42029.591</v>
      </c>
      <c r="C1382" s="3" t="s">
        <v>5004</v>
      </c>
      <c r="D1382" t="s">
        <v>5016</v>
      </c>
      <c r="E1382" t="s">
        <v>5019</v>
      </c>
      <c r="F1382" t="s">
        <v>5019</v>
      </c>
      <c r="G1382" t="s">
        <v>5022</v>
      </c>
      <c r="H1382" s="5" t="s">
        <v>5022</v>
      </c>
      <c r="I1382" t="s">
        <v>5022</v>
      </c>
      <c r="J1382" t="b">
        <f>AND(CCData[[#This Row],[Date]]&gt;=Calculation!$E$3,CCData[[#This Row],[Date]]&lt;Calculation!$E$3+7)</f>
        <v>0</v>
      </c>
    </row>
    <row r="1383" spans="1:10">
      <c r="A1383" t="s">
        <v>1382</v>
      </c>
      <c r="B1383" s="2">
        <v>42029.591</v>
      </c>
      <c r="C1383" s="3" t="s">
        <v>5009</v>
      </c>
      <c r="D1383" t="s">
        <v>5016</v>
      </c>
      <c r="E1383" t="s">
        <v>5018</v>
      </c>
      <c r="F1383" t="s">
        <v>5018</v>
      </c>
      <c r="G1383">
        <v>24</v>
      </c>
      <c r="H1383" s="5">
        <v>2.8277398255731022E-3</v>
      </c>
      <c r="I1383">
        <v>4</v>
      </c>
      <c r="J1383" t="b">
        <f>AND(CCData[[#This Row],[Date]]&gt;=Calculation!$E$3,CCData[[#This Row],[Date]]&lt;Calculation!$E$3+7)</f>
        <v>0</v>
      </c>
    </row>
    <row r="1384" spans="1:10">
      <c r="A1384" t="s">
        <v>1383</v>
      </c>
      <c r="B1384" s="2">
        <v>42029.591999999997</v>
      </c>
      <c r="C1384" s="3" t="s">
        <v>5003</v>
      </c>
      <c r="D1384" t="s">
        <v>5016</v>
      </c>
      <c r="E1384" t="s">
        <v>5019</v>
      </c>
      <c r="F1384" t="s">
        <v>5019</v>
      </c>
      <c r="G1384" t="s">
        <v>5022</v>
      </c>
      <c r="H1384" s="5" t="s">
        <v>5022</v>
      </c>
      <c r="I1384" t="s">
        <v>5022</v>
      </c>
      <c r="J1384" t="b">
        <f>AND(CCData[[#This Row],[Date]]&gt;=Calculation!$E$3,CCData[[#This Row],[Date]]&lt;Calculation!$E$3+7)</f>
        <v>0</v>
      </c>
    </row>
    <row r="1385" spans="1:10">
      <c r="A1385" t="s">
        <v>1384</v>
      </c>
      <c r="B1385" s="2">
        <v>42029.591999999997</v>
      </c>
      <c r="C1385" s="3" t="s">
        <v>5009</v>
      </c>
      <c r="D1385" t="s">
        <v>5012</v>
      </c>
      <c r="E1385" t="s">
        <v>5018</v>
      </c>
      <c r="F1385" t="s">
        <v>5018</v>
      </c>
      <c r="G1385">
        <v>108</v>
      </c>
      <c r="H1385" s="5">
        <v>4.579391071717699E-3</v>
      </c>
      <c r="I1385">
        <v>3</v>
      </c>
      <c r="J1385" t="b">
        <f>AND(CCData[[#This Row],[Date]]&gt;=Calculation!$E$3,CCData[[#This Row],[Date]]&lt;Calculation!$E$3+7)</f>
        <v>0</v>
      </c>
    </row>
    <row r="1386" spans="1:10">
      <c r="A1386" t="s">
        <v>1385</v>
      </c>
      <c r="B1386" s="2">
        <v>42029.601999999999</v>
      </c>
      <c r="C1386" s="3" t="s">
        <v>5008</v>
      </c>
      <c r="D1386" t="s">
        <v>5014</v>
      </c>
      <c r="E1386" t="s">
        <v>5018</v>
      </c>
      <c r="F1386" t="s">
        <v>5018</v>
      </c>
      <c r="G1386">
        <v>106</v>
      </c>
      <c r="H1386" s="5">
        <v>6.2724434601277388E-4</v>
      </c>
      <c r="I1386">
        <v>3</v>
      </c>
      <c r="J1386" t="b">
        <f>AND(CCData[[#This Row],[Date]]&gt;=Calculation!$E$3,CCData[[#This Row],[Date]]&lt;Calculation!$E$3+7)</f>
        <v>0</v>
      </c>
    </row>
    <row r="1387" spans="1:10">
      <c r="A1387" t="s">
        <v>1386</v>
      </c>
      <c r="B1387" s="2">
        <v>42029.601999999999</v>
      </c>
      <c r="C1387" s="3" t="s">
        <v>5008</v>
      </c>
      <c r="D1387" t="s">
        <v>5013</v>
      </c>
      <c r="E1387" t="s">
        <v>5019</v>
      </c>
      <c r="F1387" t="s">
        <v>5019</v>
      </c>
      <c r="G1387" t="s">
        <v>5022</v>
      </c>
      <c r="H1387" s="5" t="s">
        <v>5022</v>
      </c>
      <c r="I1387" t="s">
        <v>5022</v>
      </c>
      <c r="J1387" t="b">
        <f>AND(CCData[[#This Row],[Date]]&gt;=Calculation!$E$3,CCData[[#This Row],[Date]]&lt;Calculation!$E$3+7)</f>
        <v>0</v>
      </c>
    </row>
    <row r="1388" spans="1:10">
      <c r="A1388" t="s">
        <v>1387</v>
      </c>
      <c r="B1388" s="2">
        <v>42029.607000000004</v>
      </c>
      <c r="C1388" s="3" t="s">
        <v>5004</v>
      </c>
      <c r="D1388" t="s">
        <v>5014</v>
      </c>
      <c r="E1388" t="s">
        <v>5018</v>
      </c>
      <c r="F1388" t="s">
        <v>5018</v>
      </c>
      <c r="G1388">
        <v>111</v>
      </c>
      <c r="H1388" s="5">
        <v>4.2045396984796467E-3</v>
      </c>
      <c r="I1388">
        <v>3</v>
      </c>
      <c r="J1388" t="b">
        <f>AND(CCData[[#This Row],[Date]]&gt;=Calculation!$E$3,CCData[[#This Row],[Date]]&lt;Calculation!$E$3+7)</f>
        <v>0</v>
      </c>
    </row>
    <row r="1389" spans="1:10">
      <c r="A1389" t="s">
        <v>1388</v>
      </c>
      <c r="B1389" s="2">
        <v>42029.607000000004</v>
      </c>
      <c r="C1389" s="3" t="s">
        <v>5008</v>
      </c>
      <c r="D1389" t="s">
        <v>5015</v>
      </c>
      <c r="E1389" t="s">
        <v>5018</v>
      </c>
      <c r="F1389" t="s">
        <v>5018</v>
      </c>
      <c r="G1389">
        <v>56</v>
      </c>
      <c r="H1389" s="5">
        <v>2.2879771539116057E-3</v>
      </c>
      <c r="I1389">
        <v>3</v>
      </c>
      <c r="J1389" t="b">
        <f>AND(CCData[[#This Row],[Date]]&gt;=Calculation!$E$3,CCData[[#This Row],[Date]]&lt;Calculation!$E$3+7)</f>
        <v>0</v>
      </c>
    </row>
    <row r="1390" spans="1:10">
      <c r="A1390" t="s">
        <v>1389</v>
      </c>
      <c r="B1390" s="2">
        <v>42029.627999999997</v>
      </c>
      <c r="C1390" s="3" t="s">
        <v>5010</v>
      </c>
      <c r="D1390" t="s">
        <v>5012</v>
      </c>
      <c r="E1390" t="s">
        <v>5018</v>
      </c>
      <c r="F1390" t="s">
        <v>5018</v>
      </c>
      <c r="G1390">
        <v>78</v>
      </c>
      <c r="H1390" s="5">
        <v>3.5935937550882796E-3</v>
      </c>
      <c r="I1390">
        <v>4</v>
      </c>
      <c r="J1390" t="b">
        <f>AND(CCData[[#This Row],[Date]]&gt;=Calculation!$E$3,CCData[[#This Row],[Date]]&lt;Calculation!$E$3+7)</f>
        <v>0</v>
      </c>
    </row>
    <row r="1391" spans="1:10">
      <c r="A1391" t="s">
        <v>1390</v>
      </c>
      <c r="B1391" s="2">
        <v>42029.627999999997</v>
      </c>
      <c r="C1391" s="3" t="s">
        <v>5005</v>
      </c>
      <c r="D1391" t="s">
        <v>5016</v>
      </c>
      <c r="E1391" t="s">
        <v>5018</v>
      </c>
      <c r="F1391" t="s">
        <v>5018</v>
      </c>
      <c r="G1391">
        <v>15</v>
      </c>
      <c r="H1391" s="5">
        <v>1.5056073485883073E-3</v>
      </c>
      <c r="I1391">
        <v>3</v>
      </c>
      <c r="J1391" t="b">
        <f>AND(CCData[[#This Row],[Date]]&gt;=Calculation!$E$3,CCData[[#This Row],[Date]]&lt;Calculation!$E$3+7)</f>
        <v>0</v>
      </c>
    </row>
    <row r="1392" spans="1:10">
      <c r="A1392" t="s">
        <v>1391</v>
      </c>
      <c r="B1392" s="2">
        <v>42029.629000000001</v>
      </c>
      <c r="C1392" s="3" t="s">
        <v>5004</v>
      </c>
      <c r="D1392" t="s">
        <v>5014</v>
      </c>
      <c r="E1392" t="s">
        <v>5019</v>
      </c>
      <c r="F1392" t="s">
        <v>5019</v>
      </c>
      <c r="G1392" t="s">
        <v>5022</v>
      </c>
      <c r="H1392" s="5" t="s">
        <v>5022</v>
      </c>
      <c r="I1392" t="s">
        <v>5022</v>
      </c>
      <c r="J1392" t="b">
        <f>AND(CCData[[#This Row],[Date]]&gt;=Calculation!$E$3,CCData[[#This Row],[Date]]&lt;Calculation!$E$3+7)</f>
        <v>0</v>
      </c>
    </row>
    <row r="1393" spans="1:10">
      <c r="A1393" t="s">
        <v>1392</v>
      </c>
      <c r="B1393" s="2">
        <v>42029.629000000001</v>
      </c>
      <c r="C1393" s="3" t="s">
        <v>5009</v>
      </c>
      <c r="D1393" t="s">
        <v>5016</v>
      </c>
      <c r="E1393" t="s">
        <v>5018</v>
      </c>
      <c r="F1393" t="s">
        <v>5018</v>
      </c>
      <c r="G1393">
        <v>50</v>
      </c>
      <c r="H1393" s="5">
        <v>3.6786254759155543E-4</v>
      </c>
      <c r="I1393">
        <v>3</v>
      </c>
      <c r="J1393" t="b">
        <f>AND(CCData[[#This Row],[Date]]&gt;=Calculation!$E$3,CCData[[#This Row],[Date]]&lt;Calculation!$E$3+7)</f>
        <v>0</v>
      </c>
    </row>
    <row r="1394" spans="1:10">
      <c r="A1394" t="s">
        <v>1393</v>
      </c>
      <c r="B1394" s="2">
        <v>42029.639000000003</v>
      </c>
      <c r="C1394" s="3" t="s">
        <v>5010</v>
      </c>
      <c r="D1394" t="s">
        <v>5016</v>
      </c>
      <c r="E1394" t="s">
        <v>5018</v>
      </c>
      <c r="F1394" t="s">
        <v>5018</v>
      </c>
      <c r="G1394">
        <v>53</v>
      </c>
      <c r="H1394" s="5">
        <v>2.643767180767892E-3</v>
      </c>
      <c r="I1394">
        <v>3</v>
      </c>
      <c r="J1394" t="b">
        <f>AND(CCData[[#This Row],[Date]]&gt;=Calculation!$E$3,CCData[[#This Row],[Date]]&lt;Calculation!$E$3+7)</f>
        <v>0</v>
      </c>
    </row>
    <row r="1395" spans="1:10">
      <c r="A1395" t="s">
        <v>1394</v>
      </c>
      <c r="B1395" s="2">
        <v>42029.639000000003</v>
      </c>
      <c r="C1395" s="3" t="s">
        <v>5008</v>
      </c>
      <c r="D1395" t="s">
        <v>5013</v>
      </c>
      <c r="E1395" t="s">
        <v>5018</v>
      </c>
      <c r="F1395" t="s">
        <v>5018</v>
      </c>
      <c r="G1395">
        <v>106</v>
      </c>
      <c r="H1395" s="5">
        <v>4.5748223118153341E-3</v>
      </c>
      <c r="I1395">
        <v>1</v>
      </c>
      <c r="J1395" t="b">
        <f>AND(CCData[[#This Row],[Date]]&gt;=Calculation!$E$3,CCData[[#This Row],[Date]]&lt;Calculation!$E$3+7)</f>
        <v>0</v>
      </c>
    </row>
    <row r="1396" spans="1:10">
      <c r="A1396" t="s">
        <v>1395</v>
      </c>
      <c r="B1396" s="2">
        <v>42029.661</v>
      </c>
      <c r="C1396" s="3" t="s">
        <v>5003</v>
      </c>
      <c r="D1396" t="s">
        <v>5015</v>
      </c>
      <c r="E1396" t="s">
        <v>5018</v>
      </c>
      <c r="F1396" t="s">
        <v>5018</v>
      </c>
      <c r="G1396">
        <v>44</v>
      </c>
      <c r="H1396" s="5">
        <v>4.1374980311242922E-3</v>
      </c>
      <c r="I1396">
        <v>5</v>
      </c>
      <c r="J1396" t="b">
        <f>AND(CCData[[#This Row],[Date]]&gt;=Calculation!$E$3,CCData[[#This Row],[Date]]&lt;Calculation!$E$3+7)</f>
        <v>0</v>
      </c>
    </row>
    <row r="1397" spans="1:10">
      <c r="A1397" t="s">
        <v>1396</v>
      </c>
      <c r="B1397" s="2">
        <v>42029.661</v>
      </c>
      <c r="C1397" s="3" t="s">
        <v>5004</v>
      </c>
      <c r="D1397" t="s">
        <v>5012</v>
      </c>
      <c r="E1397" t="s">
        <v>5019</v>
      </c>
      <c r="F1397" t="s">
        <v>5019</v>
      </c>
      <c r="G1397" t="s">
        <v>5022</v>
      </c>
      <c r="H1397" s="5" t="s">
        <v>5022</v>
      </c>
      <c r="I1397" t="s">
        <v>5022</v>
      </c>
      <c r="J1397" t="b">
        <f>AND(CCData[[#This Row],[Date]]&gt;=Calculation!$E$3,CCData[[#This Row],[Date]]&lt;Calculation!$E$3+7)</f>
        <v>0</v>
      </c>
    </row>
    <row r="1398" spans="1:10">
      <c r="A1398" t="s">
        <v>1397</v>
      </c>
      <c r="B1398" s="2">
        <v>42029.661999999997</v>
      </c>
      <c r="C1398" s="3" t="s">
        <v>5006</v>
      </c>
      <c r="D1398" t="s">
        <v>5015</v>
      </c>
      <c r="E1398" t="s">
        <v>5018</v>
      </c>
      <c r="F1398" t="s">
        <v>5018</v>
      </c>
      <c r="G1398">
        <v>31</v>
      </c>
      <c r="H1398" s="5">
        <v>3.3948367839905145E-3</v>
      </c>
      <c r="I1398">
        <v>3</v>
      </c>
      <c r="J1398" t="b">
        <f>AND(CCData[[#This Row],[Date]]&gt;=Calculation!$E$3,CCData[[#This Row],[Date]]&lt;Calculation!$E$3+7)</f>
        <v>0</v>
      </c>
    </row>
    <row r="1399" spans="1:10">
      <c r="A1399" t="s">
        <v>1398</v>
      </c>
      <c r="B1399" s="2">
        <v>42029.661999999997</v>
      </c>
      <c r="C1399" s="3" t="s">
        <v>5008</v>
      </c>
      <c r="D1399" t="s">
        <v>5015</v>
      </c>
      <c r="E1399" t="s">
        <v>5018</v>
      </c>
      <c r="F1399" t="s">
        <v>5018</v>
      </c>
      <c r="G1399">
        <v>41</v>
      </c>
      <c r="H1399" s="5">
        <v>3.4936118243349772E-3</v>
      </c>
      <c r="I1399">
        <v>5</v>
      </c>
      <c r="J1399" t="b">
        <f>AND(CCData[[#This Row],[Date]]&gt;=Calculation!$E$3,CCData[[#This Row],[Date]]&lt;Calculation!$E$3+7)</f>
        <v>0</v>
      </c>
    </row>
    <row r="1400" spans="1:10">
      <c r="A1400" t="s">
        <v>1399</v>
      </c>
      <c r="B1400" s="2">
        <v>42029.675999999999</v>
      </c>
      <c r="C1400" s="3" t="s">
        <v>5004</v>
      </c>
      <c r="D1400" t="s">
        <v>5016</v>
      </c>
      <c r="E1400" t="s">
        <v>5018</v>
      </c>
      <c r="F1400" t="s">
        <v>5018</v>
      </c>
      <c r="G1400">
        <v>109</v>
      </c>
      <c r="H1400" s="5">
        <v>4.0043371934760591E-3</v>
      </c>
      <c r="I1400">
        <v>3</v>
      </c>
      <c r="J1400" t="b">
        <f>AND(CCData[[#This Row],[Date]]&gt;=Calculation!$E$3,CCData[[#This Row],[Date]]&lt;Calculation!$E$3+7)</f>
        <v>0</v>
      </c>
    </row>
    <row r="1401" spans="1:10">
      <c r="A1401" t="s">
        <v>1400</v>
      </c>
      <c r="B1401" s="2">
        <v>42029.675999999999</v>
      </c>
      <c r="C1401" s="3" t="s">
        <v>5009</v>
      </c>
      <c r="D1401" t="s">
        <v>5015</v>
      </c>
      <c r="E1401" t="s">
        <v>5018</v>
      </c>
      <c r="F1401" t="s">
        <v>5018</v>
      </c>
      <c r="G1401">
        <v>13</v>
      </c>
      <c r="H1401" s="5">
        <v>7.9290160280699523E-4</v>
      </c>
      <c r="I1401">
        <v>3</v>
      </c>
      <c r="J1401" t="b">
        <f>AND(CCData[[#This Row],[Date]]&gt;=Calculation!$E$3,CCData[[#This Row],[Date]]&lt;Calculation!$E$3+7)</f>
        <v>0</v>
      </c>
    </row>
    <row r="1402" spans="1:10">
      <c r="A1402" t="s">
        <v>1401</v>
      </c>
      <c r="B1402" s="2">
        <v>42029.731</v>
      </c>
      <c r="C1402" s="3" t="s">
        <v>5003</v>
      </c>
      <c r="D1402" t="s">
        <v>5014</v>
      </c>
      <c r="E1402" t="s">
        <v>5018</v>
      </c>
      <c r="F1402" t="s">
        <v>5018</v>
      </c>
      <c r="G1402">
        <v>19</v>
      </c>
      <c r="H1402" s="5">
        <v>4.6045099776206699E-3</v>
      </c>
      <c r="I1402">
        <v>5</v>
      </c>
      <c r="J1402" t="b">
        <f>AND(CCData[[#This Row],[Date]]&gt;=Calculation!$E$3,CCData[[#This Row],[Date]]&lt;Calculation!$E$3+7)</f>
        <v>0</v>
      </c>
    </row>
    <row r="1403" spans="1:10">
      <c r="A1403" t="s">
        <v>1402</v>
      </c>
      <c r="B1403" s="2">
        <v>42029.731</v>
      </c>
      <c r="C1403" s="3" t="s">
        <v>5005</v>
      </c>
      <c r="D1403" t="s">
        <v>5012</v>
      </c>
      <c r="E1403" t="s">
        <v>5018</v>
      </c>
      <c r="F1403" t="s">
        <v>5018</v>
      </c>
      <c r="G1403">
        <v>76</v>
      </c>
      <c r="H1403" s="5">
        <v>3.9853493599746005E-3</v>
      </c>
      <c r="I1403">
        <v>5</v>
      </c>
      <c r="J1403" t="b">
        <f>AND(CCData[[#This Row],[Date]]&gt;=Calculation!$E$3,CCData[[#This Row],[Date]]&lt;Calculation!$E$3+7)</f>
        <v>0</v>
      </c>
    </row>
    <row r="1404" spans="1:10">
      <c r="A1404" t="s">
        <v>1403</v>
      </c>
      <c r="B1404" s="2">
        <v>42030.379000000001</v>
      </c>
      <c r="C1404" s="3" t="s">
        <v>5004</v>
      </c>
      <c r="D1404" t="s">
        <v>5012</v>
      </c>
      <c r="E1404" t="s">
        <v>5018</v>
      </c>
      <c r="F1404" t="s">
        <v>5018</v>
      </c>
      <c r="G1404">
        <v>86</v>
      </c>
      <c r="H1404" s="5">
        <v>7.1860655559664529E-4</v>
      </c>
      <c r="I1404">
        <v>4</v>
      </c>
      <c r="J1404" t="b">
        <f>AND(CCData[[#This Row],[Date]]&gt;=Calculation!$E$3,CCData[[#This Row],[Date]]&lt;Calculation!$E$3+7)</f>
        <v>0</v>
      </c>
    </row>
    <row r="1405" spans="1:10">
      <c r="A1405" t="s">
        <v>1404</v>
      </c>
      <c r="B1405" s="2">
        <v>42030.379000000001</v>
      </c>
      <c r="C1405" s="3" t="s">
        <v>5009</v>
      </c>
      <c r="D1405" t="s">
        <v>5012</v>
      </c>
      <c r="E1405" t="s">
        <v>5018</v>
      </c>
      <c r="F1405" t="s">
        <v>5018</v>
      </c>
      <c r="G1405">
        <v>63</v>
      </c>
      <c r="H1405" s="5">
        <v>1.6806356813299991E-3</v>
      </c>
      <c r="I1405">
        <v>4</v>
      </c>
      <c r="J1405" t="b">
        <f>AND(CCData[[#This Row],[Date]]&gt;=Calculation!$E$3,CCData[[#This Row],[Date]]&lt;Calculation!$E$3+7)</f>
        <v>0</v>
      </c>
    </row>
    <row r="1406" spans="1:10">
      <c r="A1406" t="s">
        <v>1405</v>
      </c>
      <c r="B1406" s="2">
        <v>42030.396000000001</v>
      </c>
      <c r="C1406" s="3" t="s">
        <v>5010</v>
      </c>
      <c r="D1406" t="s">
        <v>5014</v>
      </c>
      <c r="E1406" t="s">
        <v>5018</v>
      </c>
      <c r="F1406" t="s">
        <v>5018</v>
      </c>
      <c r="G1406">
        <v>113</v>
      </c>
      <c r="H1406" s="5">
        <v>5.9348129790728291E-4</v>
      </c>
      <c r="I1406">
        <v>5</v>
      </c>
      <c r="J1406" t="b">
        <f>AND(CCData[[#This Row],[Date]]&gt;=Calculation!$E$3,CCData[[#This Row],[Date]]&lt;Calculation!$E$3+7)</f>
        <v>0</v>
      </c>
    </row>
    <row r="1407" spans="1:10">
      <c r="A1407" t="s">
        <v>1406</v>
      </c>
      <c r="B1407" s="2">
        <v>42030.396000000001</v>
      </c>
      <c r="C1407" s="3" t="s">
        <v>5006</v>
      </c>
      <c r="D1407" t="s">
        <v>5015</v>
      </c>
      <c r="E1407" t="s">
        <v>5018</v>
      </c>
      <c r="F1407" t="s">
        <v>5018</v>
      </c>
      <c r="G1407">
        <v>84</v>
      </c>
      <c r="H1407" s="5">
        <v>8.9479358753672864E-4</v>
      </c>
      <c r="I1407">
        <v>3</v>
      </c>
      <c r="J1407" t="b">
        <f>AND(CCData[[#This Row],[Date]]&gt;=Calculation!$E$3,CCData[[#This Row],[Date]]&lt;Calculation!$E$3+7)</f>
        <v>0</v>
      </c>
    </row>
    <row r="1408" spans="1:10">
      <c r="A1408" t="s">
        <v>1407</v>
      </c>
      <c r="B1408" s="2">
        <v>42030.404000000002</v>
      </c>
      <c r="C1408" s="3" t="s">
        <v>5007</v>
      </c>
      <c r="D1408" t="s">
        <v>5015</v>
      </c>
      <c r="E1408" t="s">
        <v>5018</v>
      </c>
      <c r="F1408" t="s">
        <v>5019</v>
      </c>
      <c r="G1408">
        <v>41</v>
      </c>
      <c r="H1408" s="5">
        <v>2.3823104148158521E-3</v>
      </c>
      <c r="I1408">
        <v>4</v>
      </c>
      <c r="J1408" t="b">
        <f>AND(CCData[[#This Row],[Date]]&gt;=Calculation!$E$3,CCData[[#This Row],[Date]]&lt;Calculation!$E$3+7)</f>
        <v>0</v>
      </c>
    </row>
    <row r="1409" spans="1:10">
      <c r="A1409" t="s">
        <v>1408</v>
      </c>
      <c r="B1409" s="2">
        <v>42030.404000000002</v>
      </c>
      <c r="C1409" s="3" t="s">
        <v>5004</v>
      </c>
      <c r="D1409" t="s">
        <v>5014</v>
      </c>
      <c r="E1409" t="s">
        <v>5018</v>
      </c>
      <c r="F1409" t="s">
        <v>5018</v>
      </c>
      <c r="G1409">
        <v>13</v>
      </c>
      <c r="H1409" s="5">
        <v>2.6985759036207112E-3</v>
      </c>
      <c r="I1409">
        <v>3</v>
      </c>
      <c r="J1409" t="b">
        <f>AND(CCData[[#This Row],[Date]]&gt;=Calculation!$E$3,CCData[[#This Row],[Date]]&lt;Calculation!$E$3+7)</f>
        <v>0</v>
      </c>
    </row>
    <row r="1410" spans="1:10">
      <c r="A1410" t="s">
        <v>1409</v>
      </c>
      <c r="B1410" s="2">
        <v>42030.411</v>
      </c>
      <c r="C1410" s="3" t="s">
        <v>5005</v>
      </c>
      <c r="D1410" t="s">
        <v>5013</v>
      </c>
      <c r="E1410" t="s">
        <v>5019</v>
      </c>
      <c r="F1410" t="s">
        <v>5019</v>
      </c>
      <c r="G1410" t="s">
        <v>5022</v>
      </c>
      <c r="H1410" s="5" t="s">
        <v>5022</v>
      </c>
      <c r="I1410" t="s">
        <v>5022</v>
      </c>
      <c r="J1410" t="b">
        <f>AND(CCData[[#This Row],[Date]]&gt;=Calculation!$E$3,CCData[[#This Row],[Date]]&lt;Calculation!$E$3+7)</f>
        <v>0</v>
      </c>
    </row>
    <row r="1411" spans="1:10">
      <c r="A1411" t="s">
        <v>1410</v>
      </c>
      <c r="B1411" s="2">
        <v>42030.411</v>
      </c>
      <c r="C1411" s="3" t="s">
        <v>5007</v>
      </c>
      <c r="D1411" t="s">
        <v>5014</v>
      </c>
      <c r="E1411" t="s">
        <v>5018</v>
      </c>
      <c r="F1411" t="s">
        <v>5018</v>
      </c>
      <c r="G1411">
        <v>79</v>
      </c>
      <c r="H1411" s="5">
        <v>1.9623965122788161E-3</v>
      </c>
      <c r="I1411">
        <v>3</v>
      </c>
      <c r="J1411" t="b">
        <f>AND(CCData[[#This Row],[Date]]&gt;=Calculation!$E$3,CCData[[#This Row],[Date]]&lt;Calculation!$E$3+7)</f>
        <v>0</v>
      </c>
    </row>
    <row r="1412" spans="1:10">
      <c r="A1412" t="s">
        <v>1411</v>
      </c>
      <c r="B1412" s="2">
        <v>42030.436000000002</v>
      </c>
      <c r="C1412" s="3" t="s">
        <v>5003</v>
      </c>
      <c r="D1412" t="s">
        <v>5012</v>
      </c>
      <c r="E1412" t="s">
        <v>5018</v>
      </c>
      <c r="F1412" t="s">
        <v>5018</v>
      </c>
      <c r="G1412">
        <v>103</v>
      </c>
      <c r="H1412" s="5">
        <v>1.7446088284950932E-3</v>
      </c>
      <c r="I1412">
        <v>3</v>
      </c>
      <c r="J1412" t="b">
        <f>AND(CCData[[#This Row],[Date]]&gt;=Calculation!$E$3,CCData[[#This Row],[Date]]&lt;Calculation!$E$3+7)</f>
        <v>0</v>
      </c>
    </row>
    <row r="1413" spans="1:10">
      <c r="A1413" t="s">
        <v>1412</v>
      </c>
      <c r="B1413" s="2">
        <v>42030.436000000002</v>
      </c>
      <c r="C1413" s="3" t="s">
        <v>5003</v>
      </c>
      <c r="D1413" t="s">
        <v>5012</v>
      </c>
      <c r="E1413" t="s">
        <v>5018</v>
      </c>
      <c r="F1413" t="s">
        <v>5018</v>
      </c>
      <c r="G1413">
        <v>68</v>
      </c>
      <c r="H1413" s="5">
        <v>1.5993401679838329E-3</v>
      </c>
      <c r="I1413">
        <v>3</v>
      </c>
      <c r="J1413" t="b">
        <f>AND(CCData[[#This Row],[Date]]&gt;=Calculation!$E$3,CCData[[#This Row],[Date]]&lt;Calculation!$E$3+7)</f>
        <v>0</v>
      </c>
    </row>
    <row r="1414" spans="1:10">
      <c r="A1414" t="s">
        <v>1413</v>
      </c>
      <c r="B1414" s="2">
        <v>42030.445</v>
      </c>
      <c r="C1414" s="3" t="s">
        <v>5003</v>
      </c>
      <c r="D1414" t="s">
        <v>5012</v>
      </c>
      <c r="E1414" t="s">
        <v>5018</v>
      </c>
      <c r="F1414" t="s">
        <v>5018</v>
      </c>
      <c r="G1414">
        <v>57</v>
      </c>
      <c r="H1414" s="5">
        <v>3.8040715823967823E-3</v>
      </c>
      <c r="I1414">
        <v>2</v>
      </c>
      <c r="J1414" t="b">
        <f>AND(CCData[[#This Row],[Date]]&gt;=Calculation!$E$3,CCData[[#This Row],[Date]]&lt;Calculation!$E$3+7)</f>
        <v>0</v>
      </c>
    </row>
    <row r="1415" spans="1:10">
      <c r="A1415" t="s">
        <v>1414</v>
      </c>
      <c r="B1415" s="2">
        <v>42030.445</v>
      </c>
      <c r="C1415" s="3" t="s">
        <v>5005</v>
      </c>
      <c r="D1415" t="s">
        <v>5014</v>
      </c>
      <c r="E1415" t="s">
        <v>5019</v>
      </c>
      <c r="F1415" t="s">
        <v>5019</v>
      </c>
      <c r="G1415" t="s">
        <v>5022</v>
      </c>
      <c r="H1415" s="5" t="s">
        <v>5022</v>
      </c>
      <c r="I1415" t="s">
        <v>5022</v>
      </c>
      <c r="J1415" t="b">
        <f>AND(CCData[[#This Row],[Date]]&gt;=Calculation!$E$3,CCData[[#This Row],[Date]]&lt;Calculation!$E$3+7)</f>
        <v>0</v>
      </c>
    </row>
    <row r="1416" spans="1:10">
      <c r="A1416" t="s">
        <v>1415</v>
      </c>
      <c r="B1416" s="2">
        <v>42030.451999999997</v>
      </c>
      <c r="C1416" s="3" t="s">
        <v>5003</v>
      </c>
      <c r="D1416" t="s">
        <v>5014</v>
      </c>
      <c r="E1416" t="s">
        <v>5018</v>
      </c>
      <c r="F1416" t="s">
        <v>5018</v>
      </c>
      <c r="G1416">
        <v>72</v>
      </c>
      <c r="H1416" s="5">
        <v>1.0505127802047111E-3</v>
      </c>
      <c r="I1416">
        <v>3</v>
      </c>
      <c r="J1416" t="b">
        <f>AND(CCData[[#This Row],[Date]]&gt;=Calculation!$E$3,CCData[[#This Row],[Date]]&lt;Calculation!$E$3+7)</f>
        <v>0</v>
      </c>
    </row>
    <row r="1417" spans="1:10">
      <c r="A1417" t="s">
        <v>1416</v>
      </c>
      <c r="B1417" s="2">
        <v>42030.451999999997</v>
      </c>
      <c r="C1417" s="3" t="s">
        <v>5005</v>
      </c>
      <c r="D1417" t="s">
        <v>5016</v>
      </c>
      <c r="E1417" t="s">
        <v>5018</v>
      </c>
      <c r="F1417" t="s">
        <v>5018</v>
      </c>
      <c r="G1417">
        <v>53</v>
      </c>
      <c r="H1417" s="5">
        <v>4.0797515979212468E-3</v>
      </c>
      <c r="I1417">
        <v>5</v>
      </c>
      <c r="J1417" t="b">
        <f>AND(CCData[[#This Row],[Date]]&gt;=Calculation!$E$3,CCData[[#This Row],[Date]]&lt;Calculation!$E$3+7)</f>
        <v>0</v>
      </c>
    </row>
    <row r="1418" spans="1:10">
      <c r="A1418" t="s">
        <v>1417</v>
      </c>
      <c r="B1418" s="2">
        <v>42030.453000000001</v>
      </c>
      <c r="C1418" s="3" t="s">
        <v>5004</v>
      </c>
      <c r="D1418" t="s">
        <v>5012</v>
      </c>
      <c r="E1418" t="s">
        <v>5018</v>
      </c>
      <c r="F1418" t="s">
        <v>5018</v>
      </c>
      <c r="G1418">
        <v>16</v>
      </c>
      <c r="H1418" s="5">
        <v>2.4887454829608307E-3</v>
      </c>
      <c r="I1418">
        <v>1</v>
      </c>
      <c r="J1418" t="b">
        <f>AND(CCData[[#This Row],[Date]]&gt;=Calculation!$E$3,CCData[[#This Row],[Date]]&lt;Calculation!$E$3+7)</f>
        <v>0</v>
      </c>
    </row>
    <row r="1419" spans="1:10">
      <c r="A1419" t="s">
        <v>1418</v>
      </c>
      <c r="B1419" s="2">
        <v>42030.453000000001</v>
      </c>
      <c r="C1419" s="3" t="s">
        <v>5004</v>
      </c>
      <c r="D1419" t="s">
        <v>5013</v>
      </c>
      <c r="E1419" t="s">
        <v>5018</v>
      </c>
      <c r="F1419" t="s">
        <v>5018</v>
      </c>
      <c r="G1419">
        <v>77</v>
      </c>
      <c r="H1419" s="5">
        <v>1.1750310193553426E-3</v>
      </c>
      <c r="I1419">
        <v>3</v>
      </c>
      <c r="J1419" t="b">
        <f>AND(CCData[[#This Row],[Date]]&gt;=Calculation!$E$3,CCData[[#This Row],[Date]]&lt;Calculation!$E$3+7)</f>
        <v>0</v>
      </c>
    </row>
    <row r="1420" spans="1:10">
      <c r="A1420" t="s">
        <v>1419</v>
      </c>
      <c r="B1420" s="2">
        <v>42030.457999999999</v>
      </c>
      <c r="C1420" s="3" t="s">
        <v>5010</v>
      </c>
      <c r="D1420" t="s">
        <v>5014</v>
      </c>
      <c r="E1420" t="s">
        <v>5018</v>
      </c>
      <c r="F1420" t="s">
        <v>5018</v>
      </c>
      <c r="G1420">
        <v>68</v>
      </c>
      <c r="H1420" s="5">
        <v>4.7266073874669455E-3</v>
      </c>
      <c r="I1420">
        <v>5</v>
      </c>
      <c r="J1420" t="b">
        <f>AND(CCData[[#This Row],[Date]]&gt;=Calculation!$E$3,CCData[[#This Row],[Date]]&lt;Calculation!$E$3+7)</f>
        <v>0</v>
      </c>
    </row>
    <row r="1421" spans="1:10">
      <c r="A1421" t="s">
        <v>1420</v>
      </c>
      <c r="B1421" s="2">
        <v>42030.457999999999</v>
      </c>
      <c r="C1421" s="3" t="s">
        <v>5010</v>
      </c>
      <c r="D1421" t="s">
        <v>5016</v>
      </c>
      <c r="E1421" t="s">
        <v>5018</v>
      </c>
      <c r="F1421" t="s">
        <v>5018</v>
      </c>
      <c r="G1421">
        <v>50</v>
      </c>
      <c r="H1421" s="5">
        <v>1.9250206408944954E-3</v>
      </c>
      <c r="I1421">
        <v>4</v>
      </c>
      <c r="J1421" t="b">
        <f>AND(CCData[[#This Row],[Date]]&gt;=Calculation!$E$3,CCData[[#This Row],[Date]]&lt;Calculation!$E$3+7)</f>
        <v>0</v>
      </c>
    </row>
    <row r="1422" spans="1:10">
      <c r="A1422" t="s">
        <v>1421</v>
      </c>
      <c r="B1422" s="2">
        <v>42030.472000000002</v>
      </c>
      <c r="C1422" s="3" t="s">
        <v>5008</v>
      </c>
      <c r="D1422" t="s">
        <v>5015</v>
      </c>
      <c r="E1422" t="s">
        <v>5019</v>
      </c>
      <c r="F1422" t="s">
        <v>5019</v>
      </c>
      <c r="G1422" t="s">
        <v>5022</v>
      </c>
      <c r="H1422" s="5" t="s">
        <v>5022</v>
      </c>
      <c r="I1422" t="s">
        <v>5022</v>
      </c>
      <c r="J1422" t="b">
        <f>AND(CCData[[#This Row],[Date]]&gt;=Calculation!$E$3,CCData[[#This Row],[Date]]&lt;Calculation!$E$3+7)</f>
        <v>0</v>
      </c>
    </row>
    <row r="1423" spans="1:10">
      <c r="A1423" t="s">
        <v>1422</v>
      </c>
      <c r="B1423" s="2">
        <v>42030.472000000002</v>
      </c>
      <c r="C1423" s="3" t="s">
        <v>5010</v>
      </c>
      <c r="D1423" t="s">
        <v>5014</v>
      </c>
      <c r="E1423" t="s">
        <v>5018</v>
      </c>
      <c r="F1423" t="s">
        <v>5018</v>
      </c>
      <c r="G1423">
        <v>68</v>
      </c>
      <c r="H1423" s="5">
        <v>3.6594134826760322E-3</v>
      </c>
      <c r="I1423">
        <v>3</v>
      </c>
      <c r="J1423" t="b">
        <f>AND(CCData[[#This Row],[Date]]&gt;=Calculation!$E$3,CCData[[#This Row],[Date]]&lt;Calculation!$E$3+7)</f>
        <v>0</v>
      </c>
    </row>
    <row r="1424" spans="1:10">
      <c r="A1424" t="s">
        <v>1423</v>
      </c>
      <c r="B1424" s="2">
        <v>42030.491000000002</v>
      </c>
      <c r="C1424" s="3" t="s">
        <v>5003</v>
      </c>
      <c r="D1424" t="s">
        <v>5016</v>
      </c>
      <c r="E1424" t="s">
        <v>5018</v>
      </c>
      <c r="F1424" t="s">
        <v>5018</v>
      </c>
      <c r="G1424">
        <v>39</v>
      </c>
      <c r="H1424" s="5">
        <v>2.6853035001411117E-3</v>
      </c>
      <c r="I1424">
        <v>5</v>
      </c>
      <c r="J1424" t="b">
        <f>AND(CCData[[#This Row],[Date]]&gt;=Calculation!$E$3,CCData[[#This Row],[Date]]&lt;Calculation!$E$3+7)</f>
        <v>0</v>
      </c>
    </row>
    <row r="1425" spans="1:10">
      <c r="A1425" t="s">
        <v>1424</v>
      </c>
      <c r="B1425" s="2">
        <v>42030.491000000002</v>
      </c>
      <c r="C1425" s="3" t="s">
        <v>5003</v>
      </c>
      <c r="D1425" t="s">
        <v>5012</v>
      </c>
      <c r="E1425" t="s">
        <v>5018</v>
      </c>
      <c r="F1425" t="s">
        <v>5018</v>
      </c>
      <c r="G1425">
        <v>78</v>
      </c>
      <c r="H1425" s="5">
        <v>4.5710822920314465E-3</v>
      </c>
      <c r="I1425">
        <v>4</v>
      </c>
      <c r="J1425" t="b">
        <f>AND(CCData[[#This Row],[Date]]&gt;=Calculation!$E$3,CCData[[#This Row],[Date]]&lt;Calculation!$E$3+7)</f>
        <v>0</v>
      </c>
    </row>
    <row r="1426" spans="1:10">
      <c r="A1426" t="s">
        <v>1425</v>
      </c>
      <c r="B1426" s="2">
        <v>42030.534</v>
      </c>
      <c r="C1426" s="3" t="s">
        <v>5003</v>
      </c>
      <c r="D1426" t="s">
        <v>5016</v>
      </c>
      <c r="E1426" t="s">
        <v>5018</v>
      </c>
      <c r="F1426" t="s">
        <v>5018</v>
      </c>
      <c r="G1426">
        <v>106</v>
      </c>
      <c r="H1426" s="5">
        <v>1.2924957358704079E-3</v>
      </c>
      <c r="I1426">
        <v>3</v>
      </c>
      <c r="J1426" t="b">
        <f>AND(CCData[[#This Row],[Date]]&gt;=Calculation!$E$3,CCData[[#This Row],[Date]]&lt;Calculation!$E$3+7)</f>
        <v>0</v>
      </c>
    </row>
    <row r="1427" spans="1:10">
      <c r="A1427" t="s">
        <v>1426</v>
      </c>
      <c r="B1427" s="2">
        <v>42030.534</v>
      </c>
      <c r="C1427" s="3" t="s">
        <v>5004</v>
      </c>
      <c r="D1427" t="s">
        <v>5016</v>
      </c>
      <c r="E1427" t="s">
        <v>5019</v>
      </c>
      <c r="F1427" t="s">
        <v>5019</v>
      </c>
      <c r="G1427" t="s">
        <v>5022</v>
      </c>
      <c r="H1427" s="5" t="s">
        <v>5022</v>
      </c>
      <c r="I1427" t="s">
        <v>5022</v>
      </c>
      <c r="J1427" t="b">
        <f>AND(CCData[[#This Row],[Date]]&gt;=Calculation!$E$3,CCData[[#This Row],[Date]]&lt;Calculation!$E$3+7)</f>
        <v>0</v>
      </c>
    </row>
    <row r="1428" spans="1:10">
      <c r="A1428" t="s">
        <v>1427</v>
      </c>
      <c r="B1428" s="2">
        <v>42030.535000000003</v>
      </c>
      <c r="C1428" s="3" t="s">
        <v>5010</v>
      </c>
      <c r="D1428" t="s">
        <v>5015</v>
      </c>
      <c r="E1428" t="s">
        <v>5018</v>
      </c>
      <c r="F1428" t="s">
        <v>5018</v>
      </c>
      <c r="G1428">
        <v>66</v>
      </c>
      <c r="H1428" s="5">
        <v>5.0840284557753218E-4</v>
      </c>
      <c r="I1428">
        <v>3</v>
      </c>
      <c r="J1428" t="b">
        <f>AND(CCData[[#This Row],[Date]]&gt;=Calculation!$E$3,CCData[[#This Row],[Date]]&lt;Calculation!$E$3+7)</f>
        <v>0</v>
      </c>
    </row>
    <row r="1429" spans="1:10">
      <c r="A1429" t="s">
        <v>1428</v>
      </c>
      <c r="B1429" s="2">
        <v>42030.535000000003</v>
      </c>
      <c r="C1429" s="3" t="s">
        <v>5006</v>
      </c>
      <c r="D1429" t="s">
        <v>5013</v>
      </c>
      <c r="E1429" t="s">
        <v>5018</v>
      </c>
      <c r="F1429" t="s">
        <v>5018</v>
      </c>
      <c r="G1429">
        <v>120</v>
      </c>
      <c r="H1429" s="5">
        <v>3.0239431313560878E-3</v>
      </c>
      <c r="I1429">
        <v>5</v>
      </c>
      <c r="J1429" t="b">
        <f>AND(CCData[[#This Row],[Date]]&gt;=Calculation!$E$3,CCData[[#This Row],[Date]]&lt;Calculation!$E$3+7)</f>
        <v>0</v>
      </c>
    </row>
    <row r="1430" spans="1:10">
      <c r="A1430" t="s">
        <v>1429</v>
      </c>
      <c r="B1430" s="2">
        <v>42030.538999999997</v>
      </c>
      <c r="C1430" s="3" t="s">
        <v>5005</v>
      </c>
      <c r="D1430" t="s">
        <v>5016</v>
      </c>
      <c r="E1430" t="s">
        <v>5018</v>
      </c>
      <c r="F1430" t="s">
        <v>5018</v>
      </c>
      <c r="G1430">
        <v>115</v>
      </c>
      <c r="H1430" s="5">
        <v>1.7049004980463111E-3</v>
      </c>
      <c r="I1430">
        <v>3</v>
      </c>
      <c r="J1430" t="b">
        <f>AND(CCData[[#This Row],[Date]]&gt;=Calculation!$E$3,CCData[[#This Row],[Date]]&lt;Calculation!$E$3+7)</f>
        <v>0</v>
      </c>
    </row>
    <row r="1431" spans="1:10">
      <c r="A1431" t="s">
        <v>1430</v>
      </c>
      <c r="B1431" s="2">
        <v>42030.538999999997</v>
      </c>
      <c r="C1431" s="3" t="s">
        <v>5005</v>
      </c>
      <c r="D1431" t="s">
        <v>5014</v>
      </c>
      <c r="E1431" t="s">
        <v>5018</v>
      </c>
      <c r="F1431" t="s">
        <v>5018</v>
      </c>
      <c r="G1431">
        <v>28</v>
      </c>
      <c r="H1431" s="5">
        <v>3.2006930211383954E-3</v>
      </c>
      <c r="I1431">
        <v>4</v>
      </c>
      <c r="J1431" t="b">
        <f>AND(CCData[[#This Row],[Date]]&gt;=Calculation!$E$3,CCData[[#This Row],[Date]]&lt;Calculation!$E$3+7)</f>
        <v>0</v>
      </c>
    </row>
    <row r="1432" spans="1:10">
      <c r="A1432" t="s">
        <v>1431</v>
      </c>
      <c r="B1432" s="2">
        <v>42030.544999999998</v>
      </c>
      <c r="C1432" s="3" t="s">
        <v>5010</v>
      </c>
      <c r="D1432" t="s">
        <v>5016</v>
      </c>
      <c r="E1432" t="s">
        <v>5018</v>
      </c>
      <c r="F1432" t="s">
        <v>5018</v>
      </c>
      <c r="G1432">
        <v>57</v>
      </c>
      <c r="H1432" s="5">
        <v>1.0468094779899049E-3</v>
      </c>
      <c r="I1432">
        <v>3</v>
      </c>
      <c r="J1432" t="b">
        <f>AND(CCData[[#This Row],[Date]]&gt;=Calculation!$E$3,CCData[[#This Row],[Date]]&lt;Calculation!$E$3+7)</f>
        <v>0</v>
      </c>
    </row>
    <row r="1433" spans="1:10">
      <c r="A1433" t="s">
        <v>1432</v>
      </c>
      <c r="B1433" s="2">
        <v>42030.544999999998</v>
      </c>
      <c r="C1433" s="3" t="s">
        <v>5003</v>
      </c>
      <c r="D1433" t="s">
        <v>5016</v>
      </c>
      <c r="E1433" t="s">
        <v>5018</v>
      </c>
      <c r="F1433" t="s">
        <v>5018</v>
      </c>
      <c r="G1433">
        <v>110</v>
      </c>
      <c r="H1433" s="5">
        <v>3.6698265312072268E-3</v>
      </c>
      <c r="I1433">
        <v>2</v>
      </c>
      <c r="J1433" t="b">
        <f>AND(CCData[[#This Row],[Date]]&gt;=Calculation!$E$3,CCData[[#This Row],[Date]]&lt;Calculation!$E$3+7)</f>
        <v>0</v>
      </c>
    </row>
    <row r="1434" spans="1:10">
      <c r="A1434" t="s">
        <v>1433</v>
      </c>
      <c r="B1434" s="2">
        <v>42030.544999999998</v>
      </c>
      <c r="C1434" s="3" t="s">
        <v>5010</v>
      </c>
      <c r="D1434" t="s">
        <v>5013</v>
      </c>
      <c r="E1434" t="s">
        <v>5018</v>
      </c>
      <c r="F1434" t="s">
        <v>5018</v>
      </c>
      <c r="G1434">
        <v>103</v>
      </c>
      <c r="H1434" s="5">
        <v>1.9817508856975457E-3</v>
      </c>
      <c r="I1434">
        <v>4</v>
      </c>
      <c r="J1434" t="b">
        <f>AND(CCData[[#This Row],[Date]]&gt;=Calculation!$E$3,CCData[[#This Row],[Date]]&lt;Calculation!$E$3+7)</f>
        <v>0</v>
      </c>
    </row>
    <row r="1435" spans="1:10">
      <c r="A1435" t="s">
        <v>1434</v>
      </c>
      <c r="B1435" s="2">
        <v>42030.544999999998</v>
      </c>
      <c r="C1435" s="3" t="s">
        <v>5007</v>
      </c>
      <c r="D1435" t="s">
        <v>5013</v>
      </c>
      <c r="E1435" t="s">
        <v>5018</v>
      </c>
      <c r="F1435" t="s">
        <v>5018</v>
      </c>
      <c r="G1435">
        <v>94</v>
      </c>
      <c r="H1435" s="5">
        <v>4.306837575856157E-3</v>
      </c>
      <c r="I1435">
        <v>5</v>
      </c>
      <c r="J1435" t="b">
        <f>AND(CCData[[#This Row],[Date]]&gt;=Calculation!$E$3,CCData[[#This Row],[Date]]&lt;Calculation!$E$3+7)</f>
        <v>0</v>
      </c>
    </row>
    <row r="1436" spans="1:10">
      <c r="A1436" t="s">
        <v>1435</v>
      </c>
      <c r="B1436" s="2">
        <v>42030.589</v>
      </c>
      <c r="C1436" s="3" t="s">
        <v>5007</v>
      </c>
      <c r="D1436" t="s">
        <v>5016</v>
      </c>
      <c r="E1436" t="s">
        <v>5018</v>
      </c>
      <c r="F1436" t="s">
        <v>5018</v>
      </c>
      <c r="G1436">
        <v>61</v>
      </c>
      <c r="H1436" s="5">
        <v>3.3230841685750285E-3</v>
      </c>
      <c r="I1436">
        <v>5</v>
      </c>
      <c r="J1436" t="b">
        <f>AND(CCData[[#This Row],[Date]]&gt;=Calculation!$E$3,CCData[[#This Row],[Date]]&lt;Calculation!$E$3+7)</f>
        <v>0</v>
      </c>
    </row>
    <row r="1437" spans="1:10">
      <c r="A1437" t="s">
        <v>1436</v>
      </c>
      <c r="B1437" s="2">
        <v>42030.589</v>
      </c>
      <c r="C1437" s="3" t="s">
        <v>5005</v>
      </c>
      <c r="D1437" t="s">
        <v>5016</v>
      </c>
      <c r="E1437" t="s">
        <v>5019</v>
      </c>
      <c r="F1437" t="s">
        <v>5019</v>
      </c>
      <c r="G1437" t="s">
        <v>5022</v>
      </c>
      <c r="H1437" s="5" t="s">
        <v>5022</v>
      </c>
      <c r="I1437" t="s">
        <v>5022</v>
      </c>
      <c r="J1437" t="b">
        <f>AND(CCData[[#This Row],[Date]]&gt;=Calculation!$E$3,CCData[[#This Row],[Date]]&lt;Calculation!$E$3+7)</f>
        <v>0</v>
      </c>
    </row>
    <row r="1438" spans="1:10">
      <c r="A1438" t="s">
        <v>1437</v>
      </c>
      <c r="B1438" s="2">
        <v>42030.595999999998</v>
      </c>
      <c r="C1438" s="3" t="s">
        <v>5007</v>
      </c>
      <c r="D1438" t="s">
        <v>5016</v>
      </c>
      <c r="E1438" t="s">
        <v>5018</v>
      </c>
      <c r="F1438" t="s">
        <v>5018</v>
      </c>
      <c r="G1438">
        <v>77</v>
      </c>
      <c r="H1438" s="5">
        <v>3.0741452245331966E-3</v>
      </c>
      <c r="I1438">
        <v>2</v>
      </c>
      <c r="J1438" t="b">
        <f>AND(CCData[[#This Row],[Date]]&gt;=Calculation!$E$3,CCData[[#This Row],[Date]]&lt;Calculation!$E$3+7)</f>
        <v>0</v>
      </c>
    </row>
    <row r="1439" spans="1:10">
      <c r="A1439" t="s">
        <v>1438</v>
      </c>
      <c r="B1439" s="2">
        <v>42030.595999999998</v>
      </c>
      <c r="C1439" s="3" t="s">
        <v>5006</v>
      </c>
      <c r="D1439" t="s">
        <v>5012</v>
      </c>
      <c r="E1439" t="s">
        <v>5018</v>
      </c>
      <c r="F1439" t="s">
        <v>5018</v>
      </c>
      <c r="G1439">
        <v>56</v>
      </c>
      <c r="H1439" s="5">
        <v>2.5935982050963305E-3</v>
      </c>
      <c r="I1439">
        <v>4</v>
      </c>
      <c r="J1439" t="b">
        <f>AND(CCData[[#This Row],[Date]]&gt;=Calculation!$E$3,CCData[[#This Row],[Date]]&lt;Calculation!$E$3+7)</f>
        <v>0</v>
      </c>
    </row>
    <row r="1440" spans="1:10">
      <c r="A1440" t="s">
        <v>1439</v>
      </c>
      <c r="B1440" s="2">
        <v>42030.601999999999</v>
      </c>
      <c r="C1440" s="3" t="s">
        <v>5003</v>
      </c>
      <c r="D1440" t="s">
        <v>5015</v>
      </c>
      <c r="E1440" t="s">
        <v>5018</v>
      </c>
      <c r="F1440" t="s">
        <v>5018</v>
      </c>
      <c r="G1440">
        <v>65</v>
      </c>
      <c r="H1440" s="5">
        <v>4.6564398016483727E-3</v>
      </c>
      <c r="I1440">
        <v>5</v>
      </c>
      <c r="J1440" t="b">
        <f>AND(CCData[[#This Row],[Date]]&gt;=Calculation!$E$3,CCData[[#This Row],[Date]]&lt;Calculation!$E$3+7)</f>
        <v>0</v>
      </c>
    </row>
    <row r="1441" spans="1:10">
      <c r="A1441" t="s">
        <v>1440</v>
      </c>
      <c r="B1441" s="2">
        <v>42030.601999999999</v>
      </c>
      <c r="C1441" s="3" t="s">
        <v>5004</v>
      </c>
      <c r="D1441" t="s">
        <v>5013</v>
      </c>
      <c r="E1441" t="s">
        <v>5018</v>
      </c>
      <c r="F1441" t="s">
        <v>5018</v>
      </c>
      <c r="G1441">
        <v>99</v>
      </c>
      <c r="H1441" s="5">
        <v>3.9624952747650639E-3</v>
      </c>
      <c r="I1441">
        <v>3</v>
      </c>
      <c r="J1441" t="b">
        <f>AND(CCData[[#This Row],[Date]]&gt;=Calculation!$E$3,CCData[[#This Row],[Date]]&lt;Calculation!$E$3+7)</f>
        <v>0</v>
      </c>
    </row>
    <row r="1442" spans="1:10">
      <c r="A1442" t="s">
        <v>1441</v>
      </c>
      <c r="B1442" s="2">
        <v>42030.618999999999</v>
      </c>
      <c r="C1442" s="3" t="s">
        <v>5003</v>
      </c>
      <c r="D1442" t="s">
        <v>5015</v>
      </c>
      <c r="E1442" t="s">
        <v>5018</v>
      </c>
      <c r="F1442" t="s">
        <v>5018</v>
      </c>
      <c r="G1442">
        <v>40</v>
      </c>
      <c r="H1442" s="5">
        <v>3.3349617455649227E-3</v>
      </c>
      <c r="I1442">
        <v>3</v>
      </c>
      <c r="J1442" t="b">
        <f>AND(CCData[[#This Row],[Date]]&gt;=Calculation!$E$3,CCData[[#This Row],[Date]]&lt;Calculation!$E$3+7)</f>
        <v>0</v>
      </c>
    </row>
    <row r="1443" spans="1:10">
      <c r="A1443" t="s">
        <v>1442</v>
      </c>
      <c r="B1443" s="2">
        <v>42030.618999999999</v>
      </c>
      <c r="C1443" s="3" t="s">
        <v>5005</v>
      </c>
      <c r="D1443" t="s">
        <v>5014</v>
      </c>
      <c r="E1443" t="s">
        <v>5018</v>
      </c>
      <c r="F1443" t="s">
        <v>5018</v>
      </c>
      <c r="G1443">
        <v>110</v>
      </c>
      <c r="H1443" s="5">
        <v>3.7034174249163053E-3</v>
      </c>
      <c r="I1443">
        <v>3</v>
      </c>
      <c r="J1443" t="b">
        <f>AND(CCData[[#This Row],[Date]]&gt;=Calculation!$E$3,CCData[[#This Row],[Date]]&lt;Calculation!$E$3+7)</f>
        <v>0</v>
      </c>
    </row>
    <row r="1444" spans="1:10">
      <c r="A1444" t="s">
        <v>1443</v>
      </c>
      <c r="B1444" s="2">
        <v>42030.635999999999</v>
      </c>
      <c r="C1444" s="3" t="s">
        <v>5003</v>
      </c>
      <c r="D1444" t="s">
        <v>5015</v>
      </c>
      <c r="E1444" t="s">
        <v>5018</v>
      </c>
      <c r="F1444" t="s">
        <v>5018</v>
      </c>
      <c r="G1444">
        <v>109</v>
      </c>
      <c r="H1444" s="5">
        <v>5.9725690679141279E-4</v>
      </c>
      <c r="I1444">
        <v>1</v>
      </c>
      <c r="J1444" t="b">
        <f>AND(CCData[[#This Row],[Date]]&gt;=Calculation!$E$3,CCData[[#This Row],[Date]]&lt;Calculation!$E$3+7)</f>
        <v>0</v>
      </c>
    </row>
    <row r="1445" spans="1:10">
      <c r="A1445" t="s">
        <v>1444</v>
      </c>
      <c r="B1445" s="2">
        <v>42030.635999999999</v>
      </c>
      <c r="C1445" s="3" t="s">
        <v>5009</v>
      </c>
      <c r="D1445" t="s">
        <v>5012</v>
      </c>
      <c r="E1445" t="s">
        <v>5018</v>
      </c>
      <c r="F1445" t="s">
        <v>5018</v>
      </c>
      <c r="G1445">
        <v>116</v>
      </c>
      <c r="H1445" s="5">
        <v>3.5610107373946387E-3</v>
      </c>
      <c r="I1445">
        <v>3</v>
      </c>
      <c r="J1445" t="b">
        <f>AND(CCData[[#This Row],[Date]]&gt;=Calculation!$E$3,CCData[[#This Row],[Date]]&lt;Calculation!$E$3+7)</f>
        <v>0</v>
      </c>
    </row>
    <row r="1446" spans="1:10">
      <c r="A1446" t="s">
        <v>1445</v>
      </c>
      <c r="B1446" s="2">
        <v>42030.64</v>
      </c>
      <c r="C1446" s="3" t="s">
        <v>5009</v>
      </c>
      <c r="D1446" t="s">
        <v>5016</v>
      </c>
      <c r="E1446" t="s">
        <v>5018</v>
      </c>
      <c r="F1446" t="s">
        <v>5018</v>
      </c>
      <c r="G1446">
        <v>82</v>
      </c>
      <c r="H1446" s="5">
        <v>1.6011002486608159E-3</v>
      </c>
      <c r="I1446">
        <v>2</v>
      </c>
      <c r="J1446" t="b">
        <f>AND(CCData[[#This Row],[Date]]&gt;=Calculation!$E$3,CCData[[#This Row],[Date]]&lt;Calculation!$E$3+7)</f>
        <v>0</v>
      </c>
    </row>
    <row r="1447" spans="1:10">
      <c r="A1447" t="s">
        <v>1446</v>
      </c>
      <c r="B1447" s="2">
        <v>42030.64</v>
      </c>
      <c r="C1447" s="3" t="s">
        <v>5006</v>
      </c>
      <c r="D1447" t="s">
        <v>5012</v>
      </c>
      <c r="E1447" t="s">
        <v>5018</v>
      </c>
      <c r="F1447" t="s">
        <v>5018</v>
      </c>
      <c r="G1447">
        <v>65</v>
      </c>
      <c r="H1447" s="5">
        <v>1.725667735778336E-3</v>
      </c>
      <c r="I1447">
        <v>4</v>
      </c>
      <c r="J1447" t="b">
        <f>AND(CCData[[#This Row],[Date]]&gt;=Calculation!$E$3,CCData[[#This Row],[Date]]&lt;Calculation!$E$3+7)</f>
        <v>0</v>
      </c>
    </row>
    <row r="1448" spans="1:10">
      <c r="A1448" t="s">
        <v>1447</v>
      </c>
      <c r="B1448" s="2">
        <v>42030.642999999996</v>
      </c>
      <c r="C1448" s="3" t="s">
        <v>5010</v>
      </c>
      <c r="D1448" t="s">
        <v>5012</v>
      </c>
      <c r="E1448" t="s">
        <v>5018</v>
      </c>
      <c r="F1448" t="s">
        <v>5018</v>
      </c>
      <c r="G1448">
        <v>24</v>
      </c>
      <c r="H1448" s="5">
        <v>2.4165958023644302E-3</v>
      </c>
      <c r="I1448">
        <v>4</v>
      </c>
      <c r="J1448" t="b">
        <f>AND(CCData[[#This Row],[Date]]&gt;=Calculation!$E$3,CCData[[#This Row],[Date]]&lt;Calculation!$E$3+7)</f>
        <v>0</v>
      </c>
    </row>
    <row r="1449" spans="1:10">
      <c r="A1449" t="s">
        <v>1448</v>
      </c>
      <c r="B1449" s="2">
        <v>42030.642999999996</v>
      </c>
      <c r="C1449" s="3" t="s">
        <v>5003</v>
      </c>
      <c r="D1449" t="s">
        <v>5014</v>
      </c>
      <c r="E1449" t="s">
        <v>5018</v>
      </c>
      <c r="F1449" t="s">
        <v>5018</v>
      </c>
      <c r="G1449">
        <v>125</v>
      </c>
      <c r="H1449" s="5">
        <v>9.5272974141687389E-4</v>
      </c>
      <c r="I1449">
        <v>5</v>
      </c>
      <c r="J1449" t="b">
        <f>AND(CCData[[#This Row],[Date]]&gt;=Calculation!$E$3,CCData[[#This Row],[Date]]&lt;Calculation!$E$3+7)</f>
        <v>0</v>
      </c>
    </row>
    <row r="1450" spans="1:10">
      <c r="A1450" t="s">
        <v>1449</v>
      </c>
      <c r="B1450" s="2">
        <v>42030.644999999997</v>
      </c>
      <c r="C1450" s="3" t="s">
        <v>5006</v>
      </c>
      <c r="D1450" t="s">
        <v>5015</v>
      </c>
      <c r="E1450" t="s">
        <v>5018</v>
      </c>
      <c r="F1450" t="s">
        <v>5018</v>
      </c>
      <c r="G1450">
        <v>87</v>
      </c>
      <c r="H1450" s="5">
        <v>7.4075520803498155E-4</v>
      </c>
      <c r="I1450">
        <v>5</v>
      </c>
      <c r="J1450" t="b">
        <f>AND(CCData[[#This Row],[Date]]&gt;=Calculation!$E$3,CCData[[#This Row],[Date]]&lt;Calculation!$E$3+7)</f>
        <v>0</v>
      </c>
    </row>
    <row r="1451" spans="1:10">
      <c r="A1451" t="s">
        <v>1450</v>
      </c>
      <c r="B1451" s="2">
        <v>42030.644999999997</v>
      </c>
      <c r="C1451" s="3" t="s">
        <v>5007</v>
      </c>
      <c r="D1451" t="s">
        <v>5016</v>
      </c>
      <c r="E1451" t="s">
        <v>5018</v>
      </c>
      <c r="F1451" t="s">
        <v>5018</v>
      </c>
      <c r="G1451">
        <v>119</v>
      </c>
      <c r="H1451" s="5">
        <v>4.9455933829678598E-4</v>
      </c>
      <c r="I1451">
        <v>4</v>
      </c>
      <c r="J1451" t="b">
        <f>AND(CCData[[#This Row],[Date]]&gt;=Calculation!$E$3,CCData[[#This Row],[Date]]&lt;Calculation!$E$3+7)</f>
        <v>0</v>
      </c>
    </row>
    <row r="1452" spans="1:10">
      <c r="A1452" t="s">
        <v>1451</v>
      </c>
      <c r="B1452" s="2">
        <v>42030.646000000001</v>
      </c>
      <c r="C1452" s="3" t="s">
        <v>5003</v>
      </c>
      <c r="D1452" t="s">
        <v>5012</v>
      </c>
      <c r="E1452" t="s">
        <v>5018</v>
      </c>
      <c r="F1452" t="s">
        <v>5018</v>
      </c>
      <c r="G1452">
        <v>94</v>
      </c>
      <c r="H1452" s="5">
        <v>5.2823299674653005E-4</v>
      </c>
      <c r="I1452">
        <v>4</v>
      </c>
      <c r="J1452" t="b">
        <f>AND(CCData[[#This Row],[Date]]&gt;=Calculation!$E$3,CCData[[#This Row],[Date]]&lt;Calculation!$E$3+7)</f>
        <v>0</v>
      </c>
    </row>
    <row r="1453" spans="1:10">
      <c r="A1453" t="s">
        <v>1452</v>
      </c>
      <c r="B1453" s="2">
        <v>42030.646000000001</v>
      </c>
      <c r="C1453" s="3" t="s">
        <v>5010</v>
      </c>
      <c r="D1453" t="s">
        <v>5014</v>
      </c>
      <c r="E1453" t="s">
        <v>5019</v>
      </c>
      <c r="F1453" t="s">
        <v>5019</v>
      </c>
      <c r="G1453" t="s">
        <v>5022</v>
      </c>
      <c r="H1453" s="5" t="s">
        <v>5022</v>
      </c>
      <c r="I1453" t="s">
        <v>5022</v>
      </c>
      <c r="J1453" t="b">
        <f>AND(CCData[[#This Row],[Date]]&gt;=Calculation!$E$3,CCData[[#This Row],[Date]]&lt;Calculation!$E$3+7)</f>
        <v>0</v>
      </c>
    </row>
    <row r="1454" spans="1:10">
      <c r="A1454" t="s">
        <v>1453</v>
      </c>
      <c r="B1454" s="2">
        <v>42030.650999999998</v>
      </c>
      <c r="C1454" s="3" t="s">
        <v>5010</v>
      </c>
      <c r="D1454" t="s">
        <v>5014</v>
      </c>
      <c r="E1454" t="s">
        <v>5018</v>
      </c>
      <c r="F1454" t="s">
        <v>5018</v>
      </c>
      <c r="G1454">
        <v>19</v>
      </c>
      <c r="H1454" s="5">
        <v>3.8994663081618843E-3</v>
      </c>
      <c r="I1454">
        <v>1</v>
      </c>
      <c r="J1454" t="b">
        <f>AND(CCData[[#This Row],[Date]]&gt;=Calculation!$E$3,CCData[[#This Row],[Date]]&lt;Calculation!$E$3+7)</f>
        <v>0</v>
      </c>
    </row>
    <row r="1455" spans="1:10">
      <c r="A1455" t="s">
        <v>1454</v>
      </c>
      <c r="B1455" s="2">
        <v>42030.650999999998</v>
      </c>
      <c r="C1455" s="3" t="s">
        <v>5010</v>
      </c>
      <c r="D1455" t="s">
        <v>5012</v>
      </c>
      <c r="E1455" t="s">
        <v>5018</v>
      </c>
      <c r="F1455" t="s">
        <v>5018</v>
      </c>
      <c r="G1455">
        <v>68</v>
      </c>
      <c r="H1455" s="5">
        <v>1.8976412791350886E-3</v>
      </c>
      <c r="I1455">
        <v>3</v>
      </c>
      <c r="J1455" t="b">
        <f>AND(CCData[[#This Row],[Date]]&gt;=Calculation!$E$3,CCData[[#This Row],[Date]]&lt;Calculation!$E$3+7)</f>
        <v>0</v>
      </c>
    </row>
    <row r="1456" spans="1:10">
      <c r="A1456" t="s">
        <v>1455</v>
      </c>
      <c r="B1456" s="2">
        <v>42030.667000000001</v>
      </c>
      <c r="C1456" s="3" t="s">
        <v>5008</v>
      </c>
      <c r="D1456" t="s">
        <v>5014</v>
      </c>
      <c r="E1456" t="s">
        <v>5018</v>
      </c>
      <c r="F1456" t="s">
        <v>5018</v>
      </c>
      <c r="G1456">
        <v>36</v>
      </c>
      <c r="H1456" s="5">
        <v>4.4211089712258289E-3</v>
      </c>
      <c r="I1456">
        <v>3</v>
      </c>
      <c r="J1456" t="b">
        <f>AND(CCData[[#This Row],[Date]]&gt;=Calculation!$E$3,CCData[[#This Row],[Date]]&lt;Calculation!$E$3+7)</f>
        <v>0</v>
      </c>
    </row>
    <row r="1457" spans="1:10">
      <c r="A1457" t="s">
        <v>1456</v>
      </c>
      <c r="B1457" s="2">
        <v>42030.667000000001</v>
      </c>
      <c r="C1457" s="3" t="s">
        <v>5009</v>
      </c>
      <c r="D1457" t="s">
        <v>5014</v>
      </c>
      <c r="E1457" t="s">
        <v>5018</v>
      </c>
      <c r="F1457" t="s">
        <v>5018</v>
      </c>
      <c r="G1457">
        <v>50</v>
      </c>
      <c r="H1457" s="5">
        <v>7.629231550977622E-4</v>
      </c>
      <c r="I1457">
        <v>4</v>
      </c>
      <c r="J1457" t="b">
        <f>AND(CCData[[#This Row],[Date]]&gt;=Calculation!$E$3,CCData[[#This Row],[Date]]&lt;Calculation!$E$3+7)</f>
        <v>0</v>
      </c>
    </row>
    <row r="1458" spans="1:10">
      <c r="A1458" t="s">
        <v>1457</v>
      </c>
      <c r="B1458" s="2">
        <v>42030.671000000002</v>
      </c>
      <c r="C1458" s="3" t="s">
        <v>5004</v>
      </c>
      <c r="D1458" t="s">
        <v>5014</v>
      </c>
      <c r="E1458" t="s">
        <v>5019</v>
      </c>
      <c r="F1458" t="s">
        <v>5019</v>
      </c>
      <c r="G1458" t="s">
        <v>5022</v>
      </c>
      <c r="H1458" s="5" t="s">
        <v>5022</v>
      </c>
      <c r="I1458" t="s">
        <v>5022</v>
      </c>
      <c r="J1458" t="b">
        <f>AND(CCData[[#This Row],[Date]]&gt;=Calculation!$E$3,CCData[[#This Row],[Date]]&lt;Calculation!$E$3+7)</f>
        <v>0</v>
      </c>
    </row>
    <row r="1459" spans="1:10">
      <c r="A1459" t="s">
        <v>1458</v>
      </c>
      <c r="B1459" s="2">
        <v>42030.671000000002</v>
      </c>
      <c r="C1459" s="3" t="s">
        <v>5006</v>
      </c>
      <c r="D1459" t="s">
        <v>5012</v>
      </c>
      <c r="E1459" t="s">
        <v>5018</v>
      </c>
      <c r="F1459" t="s">
        <v>5018</v>
      </c>
      <c r="G1459">
        <v>60</v>
      </c>
      <c r="H1459" s="5">
        <v>1.5510643715731353E-3</v>
      </c>
      <c r="I1459">
        <v>3</v>
      </c>
      <c r="J1459" t="b">
        <f>AND(CCData[[#This Row],[Date]]&gt;=Calculation!$E$3,CCData[[#This Row],[Date]]&lt;Calculation!$E$3+7)</f>
        <v>0</v>
      </c>
    </row>
    <row r="1460" spans="1:10">
      <c r="A1460" t="s">
        <v>1459</v>
      </c>
      <c r="B1460" s="2">
        <v>42030.720999999998</v>
      </c>
      <c r="C1460" s="3" t="s">
        <v>5004</v>
      </c>
      <c r="D1460" t="s">
        <v>5012</v>
      </c>
      <c r="E1460" t="s">
        <v>5018</v>
      </c>
      <c r="F1460" t="s">
        <v>5018</v>
      </c>
      <c r="G1460">
        <v>38</v>
      </c>
      <c r="H1460" s="5">
        <v>4.8365534217484924E-3</v>
      </c>
      <c r="I1460">
        <v>1</v>
      </c>
      <c r="J1460" t="b">
        <f>AND(CCData[[#This Row],[Date]]&gt;=Calculation!$E$3,CCData[[#This Row],[Date]]&lt;Calculation!$E$3+7)</f>
        <v>0</v>
      </c>
    </row>
    <row r="1461" spans="1:10">
      <c r="A1461" t="s">
        <v>1460</v>
      </c>
      <c r="B1461" s="2">
        <v>42030.720999999998</v>
      </c>
      <c r="C1461" s="3" t="s">
        <v>5004</v>
      </c>
      <c r="D1461" t="s">
        <v>5012</v>
      </c>
      <c r="E1461" t="s">
        <v>5018</v>
      </c>
      <c r="F1461" t="s">
        <v>5018</v>
      </c>
      <c r="G1461">
        <v>115</v>
      </c>
      <c r="H1461" s="5">
        <v>4.3346914718621257E-3</v>
      </c>
      <c r="I1461">
        <v>3</v>
      </c>
      <c r="J1461" t="b">
        <f>AND(CCData[[#This Row],[Date]]&gt;=Calculation!$E$3,CCData[[#This Row],[Date]]&lt;Calculation!$E$3+7)</f>
        <v>0</v>
      </c>
    </row>
    <row r="1462" spans="1:10">
      <c r="A1462" t="s">
        <v>1461</v>
      </c>
      <c r="B1462" s="2">
        <v>42030.745000000003</v>
      </c>
      <c r="C1462" s="3" t="s">
        <v>5010</v>
      </c>
      <c r="D1462" t="s">
        <v>5016</v>
      </c>
      <c r="E1462" t="s">
        <v>5018</v>
      </c>
      <c r="F1462" t="s">
        <v>5018</v>
      </c>
      <c r="G1462">
        <v>82</v>
      </c>
      <c r="H1462" s="5">
        <v>4.594216781665504E-3</v>
      </c>
      <c r="I1462">
        <v>1</v>
      </c>
      <c r="J1462" t="b">
        <f>AND(CCData[[#This Row],[Date]]&gt;=Calculation!$E$3,CCData[[#This Row],[Date]]&lt;Calculation!$E$3+7)</f>
        <v>0</v>
      </c>
    </row>
    <row r="1463" spans="1:10">
      <c r="A1463" t="s">
        <v>1462</v>
      </c>
      <c r="B1463" s="2">
        <v>42030.745000000003</v>
      </c>
      <c r="C1463" s="3" t="s">
        <v>5007</v>
      </c>
      <c r="D1463" t="s">
        <v>5013</v>
      </c>
      <c r="E1463" t="s">
        <v>5018</v>
      </c>
      <c r="F1463" t="s">
        <v>5018</v>
      </c>
      <c r="G1463">
        <v>34</v>
      </c>
      <c r="H1463" s="5">
        <v>2.984443167332069E-3</v>
      </c>
      <c r="I1463">
        <v>2</v>
      </c>
      <c r="J1463" t="b">
        <f>AND(CCData[[#This Row],[Date]]&gt;=Calculation!$E$3,CCData[[#This Row],[Date]]&lt;Calculation!$E$3+7)</f>
        <v>0</v>
      </c>
    </row>
    <row r="1464" spans="1:10">
      <c r="A1464" t="s">
        <v>1463</v>
      </c>
      <c r="B1464" s="2">
        <v>42031.381999999998</v>
      </c>
      <c r="C1464" s="3" t="s">
        <v>5003</v>
      </c>
      <c r="D1464" t="s">
        <v>5016</v>
      </c>
      <c r="E1464" t="s">
        <v>5018</v>
      </c>
      <c r="F1464" t="s">
        <v>5018</v>
      </c>
      <c r="G1464">
        <v>95</v>
      </c>
      <c r="H1464" s="5">
        <v>2.0276116746683823E-3</v>
      </c>
      <c r="I1464">
        <v>3</v>
      </c>
      <c r="J1464" t="b">
        <f>AND(CCData[[#This Row],[Date]]&gt;=Calculation!$E$3,CCData[[#This Row],[Date]]&lt;Calculation!$E$3+7)</f>
        <v>0</v>
      </c>
    </row>
    <row r="1465" spans="1:10">
      <c r="A1465" t="s">
        <v>1464</v>
      </c>
      <c r="B1465" s="2">
        <v>42031.381999999998</v>
      </c>
      <c r="C1465" s="3" t="s">
        <v>5003</v>
      </c>
      <c r="D1465" t="s">
        <v>5012</v>
      </c>
      <c r="E1465" t="s">
        <v>5018</v>
      </c>
      <c r="F1465" t="s">
        <v>5018</v>
      </c>
      <c r="G1465">
        <v>13</v>
      </c>
      <c r="H1465" s="5">
        <v>2.2467201994379789E-3</v>
      </c>
      <c r="I1465">
        <v>5</v>
      </c>
      <c r="J1465" t="b">
        <f>AND(CCData[[#This Row],[Date]]&gt;=Calculation!$E$3,CCData[[#This Row],[Date]]&lt;Calculation!$E$3+7)</f>
        <v>0</v>
      </c>
    </row>
    <row r="1466" spans="1:10">
      <c r="A1466" t="s">
        <v>1465</v>
      </c>
      <c r="B1466" s="2">
        <v>42031.402000000002</v>
      </c>
      <c r="C1466" s="3" t="s">
        <v>5004</v>
      </c>
      <c r="D1466" t="s">
        <v>5013</v>
      </c>
      <c r="E1466" t="s">
        <v>5018</v>
      </c>
      <c r="F1466" t="s">
        <v>5018</v>
      </c>
      <c r="G1466">
        <v>22</v>
      </c>
      <c r="H1466" s="5">
        <v>2.9152951702460625E-3</v>
      </c>
      <c r="I1466">
        <v>3</v>
      </c>
      <c r="J1466" t="b">
        <f>AND(CCData[[#This Row],[Date]]&gt;=Calculation!$E$3,CCData[[#This Row],[Date]]&lt;Calculation!$E$3+7)</f>
        <v>0</v>
      </c>
    </row>
    <row r="1467" spans="1:10">
      <c r="A1467" t="s">
        <v>1466</v>
      </c>
      <c r="B1467" s="2">
        <v>42031.402000000002</v>
      </c>
      <c r="C1467" s="3" t="s">
        <v>5006</v>
      </c>
      <c r="D1467" t="s">
        <v>5016</v>
      </c>
      <c r="E1467" t="s">
        <v>5019</v>
      </c>
      <c r="F1467" t="s">
        <v>5019</v>
      </c>
      <c r="G1467" t="s">
        <v>5022</v>
      </c>
      <c r="H1467" s="5" t="s">
        <v>5022</v>
      </c>
      <c r="I1467" t="s">
        <v>5022</v>
      </c>
      <c r="J1467" t="b">
        <f>AND(CCData[[#This Row],[Date]]&gt;=Calculation!$E$3,CCData[[#This Row],[Date]]&lt;Calculation!$E$3+7)</f>
        <v>0</v>
      </c>
    </row>
    <row r="1468" spans="1:10">
      <c r="A1468" t="s">
        <v>1467</v>
      </c>
      <c r="B1468" s="2">
        <v>42031.404000000002</v>
      </c>
      <c r="C1468" s="3" t="s">
        <v>5009</v>
      </c>
      <c r="D1468" t="s">
        <v>5015</v>
      </c>
      <c r="E1468" t="s">
        <v>5018</v>
      </c>
      <c r="F1468" t="s">
        <v>5018</v>
      </c>
      <c r="G1468">
        <v>86</v>
      </c>
      <c r="H1468" s="5">
        <v>1.991561425553557E-3</v>
      </c>
      <c r="I1468">
        <v>1</v>
      </c>
      <c r="J1468" t="b">
        <f>AND(CCData[[#This Row],[Date]]&gt;=Calculation!$E$3,CCData[[#This Row],[Date]]&lt;Calculation!$E$3+7)</f>
        <v>0</v>
      </c>
    </row>
    <row r="1469" spans="1:10">
      <c r="A1469" t="s">
        <v>1468</v>
      </c>
      <c r="B1469" s="2">
        <v>42031.404000000002</v>
      </c>
      <c r="C1469" s="3" t="s">
        <v>5008</v>
      </c>
      <c r="D1469" t="s">
        <v>5012</v>
      </c>
      <c r="E1469" t="s">
        <v>5018</v>
      </c>
      <c r="F1469" t="s">
        <v>5018</v>
      </c>
      <c r="G1469">
        <v>20</v>
      </c>
      <c r="H1469" s="5">
        <v>3.0416553157657901E-3</v>
      </c>
      <c r="I1469">
        <v>4</v>
      </c>
      <c r="J1469" t="b">
        <f>AND(CCData[[#This Row],[Date]]&gt;=Calculation!$E$3,CCData[[#This Row],[Date]]&lt;Calculation!$E$3+7)</f>
        <v>0</v>
      </c>
    </row>
    <row r="1470" spans="1:10">
      <c r="A1470" t="s">
        <v>1469</v>
      </c>
      <c r="B1470" s="2">
        <v>42031.413</v>
      </c>
      <c r="C1470" s="3" t="s">
        <v>5006</v>
      </c>
      <c r="D1470" t="s">
        <v>5014</v>
      </c>
      <c r="E1470" t="s">
        <v>5019</v>
      </c>
      <c r="F1470" t="s">
        <v>5019</v>
      </c>
      <c r="G1470" t="s">
        <v>5022</v>
      </c>
      <c r="H1470" s="5" t="s">
        <v>5022</v>
      </c>
      <c r="I1470" t="s">
        <v>5022</v>
      </c>
      <c r="J1470" t="b">
        <f>AND(CCData[[#This Row],[Date]]&gt;=Calculation!$E$3,CCData[[#This Row],[Date]]&lt;Calculation!$E$3+7)</f>
        <v>0</v>
      </c>
    </row>
    <row r="1471" spans="1:10">
      <c r="A1471" t="s">
        <v>1470</v>
      </c>
      <c r="B1471" s="2">
        <v>42031.413</v>
      </c>
      <c r="C1471" s="3" t="s">
        <v>5009</v>
      </c>
      <c r="D1471" t="s">
        <v>5012</v>
      </c>
      <c r="E1471" t="s">
        <v>5018</v>
      </c>
      <c r="F1471" t="s">
        <v>5018</v>
      </c>
      <c r="G1471">
        <v>36</v>
      </c>
      <c r="H1471" s="5">
        <v>3.0173044492043943E-3</v>
      </c>
      <c r="I1471">
        <v>4</v>
      </c>
      <c r="J1471" t="b">
        <f>AND(CCData[[#This Row],[Date]]&gt;=Calculation!$E$3,CCData[[#This Row],[Date]]&lt;Calculation!$E$3+7)</f>
        <v>0</v>
      </c>
    </row>
    <row r="1472" spans="1:10">
      <c r="A1472" t="s">
        <v>1471</v>
      </c>
      <c r="B1472" s="2">
        <v>42031.415000000001</v>
      </c>
      <c r="C1472" s="3" t="s">
        <v>5009</v>
      </c>
      <c r="D1472" t="s">
        <v>5016</v>
      </c>
      <c r="E1472" t="s">
        <v>5018</v>
      </c>
      <c r="F1472" t="s">
        <v>5018</v>
      </c>
      <c r="G1472">
        <v>118</v>
      </c>
      <c r="H1472" s="5">
        <v>2.3960858780067602E-3</v>
      </c>
      <c r="I1472">
        <v>4</v>
      </c>
      <c r="J1472" t="b">
        <f>AND(CCData[[#This Row],[Date]]&gt;=Calculation!$E$3,CCData[[#This Row],[Date]]&lt;Calculation!$E$3+7)</f>
        <v>0</v>
      </c>
    </row>
    <row r="1473" spans="1:10">
      <c r="A1473" t="s">
        <v>1472</v>
      </c>
      <c r="B1473" s="2">
        <v>42031.415000000001</v>
      </c>
      <c r="C1473" s="3" t="s">
        <v>5005</v>
      </c>
      <c r="D1473" t="s">
        <v>5012</v>
      </c>
      <c r="E1473" t="s">
        <v>5018</v>
      </c>
      <c r="F1473" t="s">
        <v>5018</v>
      </c>
      <c r="G1473">
        <v>40</v>
      </c>
      <c r="H1473" s="5">
        <v>2.8425529264383066E-3</v>
      </c>
      <c r="I1473">
        <v>4</v>
      </c>
      <c r="J1473" t="b">
        <f>AND(CCData[[#This Row],[Date]]&gt;=Calculation!$E$3,CCData[[#This Row],[Date]]&lt;Calculation!$E$3+7)</f>
        <v>0</v>
      </c>
    </row>
    <row r="1474" spans="1:10">
      <c r="A1474" t="s">
        <v>1473</v>
      </c>
      <c r="B1474" s="2">
        <v>42031.447</v>
      </c>
      <c r="C1474" s="3" t="s">
        <v>5007</v>
      </c>
      <c r="D1474" t="s">
        <v>5012</v>
      </c>
      <c r="E1474" t="s">
        <v>5018</v>
      </c>
      <c r="F1474" t="s">
        <v>5018</v>
      </c>
      <c r="G1474">
        <v>97</v>
      </c>
      <c r="H1474" s="5">
        <v>4.5936602522472069E-3</v>
      </c>
      <c r="I1474">
        <v>4</v>
      </c>
      <c r="J1474" t="b">
        <f>AND(CCData[[#This Row],[Date]]&gt;=Calculation!$E$3,CCData[[#This Row],[Date]]&lt;Calculation!$E$3+7)</f>
        <v>0</v>
      </c>
    </row>
    <row r="1475" spans="1:10">
      <c r="A1475" t="s">
        <v>1474</v>
      </c>
      <c r="B1475" s="2">
        <v>42031.447</v>
      </c>
      <c r="C1475" s="3" t="s">
        <v>5009</v>
      </c>
      <c r="D1475" t="s">
        <v>5012</v>
      </c>
      <c r="E1475" t="s">
        <v>5018</v>
      </c>
      <c r="F1475" t="s">
        <v>5018</v>
      </c>
      <c r="G1475">
        <v>75</v>
      </c>
      <c r="H1475" s="5">
        <v>1.9673843888600097E-3</v>
      </c>
      <c r="I1475">
        <v>4</v>
      </c>
      <c r="J1475" t="b">
        <f>AND(CCData[[#This Row],[Date]]&gt;=Calculation!$E$3,CCData[[#This Row],[Date]]&lt;Calculation!$E$3+7)</f>
        <v>0</v>
      </c>
    </row>
    <row r="1476" spans="1:10">
      <c r="A1476" t="s">
        <v>1475</v>
      </c>
      <c r="B1476" s="2">
        <v>42031.464999999997</v>
      </c>
      <c r="C1476" s="3" t="s">
        <v>5010</v>
      </c>
      <c r="D1476" t="s">
        <v>5013</v>
      </c>
      <c r="E1476" t="s">
        <v>5018</v>
      </c>
      <c r="F1476" t="s">
        <v>5018</v>
      </c>
      <c r="G1476">
        <v>61</v>
      </c>
      <c r="H1476" s="5">
        <v>1.8454584581506163E-3</v>
      </c>
      <c r="I1476">
        <v>3</v>
      </c>
      <c r="J1476" t="b">
        <f>AND(CCData[[#This Row],[Date]]&gt;=Calculation!$E$3,CCData[[#This Row],[Date]]&lt;Calculation!$E$3+7)</f>
        <v>0</v>
      </c>
    </row>
    <row r="1477" spans="1:10">
      <c r="A1477" t="s">
        <v>1476</v>
      </c>
      <c r="B1477" s="2">
        <v>42031.464999999997</v>
      </c>
      <c r="C1477" s="3" t="s">
        <v>5010</v>
      </c>
      <c r="D1477" t="s">
        <v>5016</v>
      </c>
      <c r="E1477" t="s">
        <v>5018</v>
      </c>
      <c r="F1477" t="s">
        <v>5018</v>
      </c>
      <c r="G1477">
        <v>125</v>
      </c>
      <c r="H1477" s="5">
        <v>4.2240575105946913E-3</v>
      </c>
      <c r="I1477">
        <v>5</v>
      </c>
      <c r="J1477" t="b">
        <f>AND(CCData[[#This Row],[Date]]&gt;=Calculation!$E$3,CCData[[#This Row],[Date]]&lt;Calculation!$E$3+7)</f>
        <v>0</v>
      </c>
    </row>
    <row r="1478" spans="1:10">
      <c r="A1478" t="s">
        <v>1477</v>
      </c>
      <c r="B1478" s="2">
        <v>42031.527999999998</v>
      </c>
      <c r="C1478" s="3" t="s">
        <v>5007</v>
      </c>
      <c r="D1478" t="s">
        <v>5012</v>
      </c>
      <c r="E1478" t="s">
        <v>5019</v>
      </c>
      <c r="F1478" t="s">
        <v>5019</v>
      </c>
      <c r="G1478" t="s">
        <v>5022</v>
      </c>
      <c r="H1478" s="5" t="s">
        <v>5022</v>
      </c>
      <c r="I1478" t="s">
        <v>5022</v>
      </c>
      <c r="J1478" t="b">
        <f>AND(CCData[[#This Row],[Date]]&gt;=Calculation!$E$3,CCData[[#This Row],[Date]]&lt;Calculation!$E$3+7)</f>
        <v>0</v>
      </c>
    </row>
    <row r="1479" spans="1:10">
      <c r="A1479" t="s">
        <v>1478</v>
      </c>
      <c r="B1479" s="2">
        <v>42031.527999999998</v>
      </c>
      <c r="C1479" s="3" t="s">
        <v>5010</v>
      </c>
      <c r="D1479" t="s">
        <v>5013</v>
      </c>
      <c r="E1479" t="s">
        <v>5018</v>
      </c>
      <c r="F1479" t="s">
        <v>5018</v>
      </c>
      <c r="G1479">
        <v>33</v>
      </c>
      <c r="H1479" s="5">
        <v>4.0780683702440132E-3</v>
      </c>
      <c r="I1479">
        <v>5</v>
      </c>
      <c r="J1479" t="b">
        <f>AND(CCData[[#This Row],[Date]]&gt;=Calculation!$E$3,CCData[[#This Row],[Date]]&lt;Calculation!$E$3+7)</f>
        <v>0</v>
      </c>
    </row>
    <row r="1480" spans="1:10">
      <c r="A1480" t="s">
        <v>1479</v>
      </c>
      <c r="B1480" s="2">
        <v>42031.542000000001</v>
      </c>
      <c r="C1480" s="3" t="s">
        <v>5009</v>
      </c>
      <c r="D1480" t="s">
        <v>5013</v>
      </c>
      <c r="E1480" t="s">
        <v>5019</v>
      </c>
      <c r="F1480" t="s">
        <v>5019</v>
      </c>
      <c r="G1480" t="s">
        <v>5022</v>
      </c>
      <c r="H1480" s="5" t="s">
        <v>5022</v>
      </c>
      <c r="I1480" t="s">
        <v>5022</v>
      </c>
      <c r="J1480" t="b">
        <f>AND(CCData[[#This Row],[Date]]&gt;=Calculation!$E$3,CCData[[#This Row],[Date]]&lt;Calculation!$E$3+7)</f>
        <v>0</v>
      </c>
    </row>
    <row r="1481" spans="1:10">
      <c r="A1481" t="s">
        <v>1480</v>
      </c>
      <c r="B1481" s="2">
        <v>42031.542000000001</v>
      </c>
      <c r="C1481" s="3" t="s">
        <v>5009</v>
      </c>
      <c r="D1481" t="s">
        <v>5016</v>
      </c>
      <c r="E1481" t="s">
        <v>5018</v>
      </c>
      <c r="F1481" t="s">
        <v>5018</v>
      </c>
      <c r="G1481">
        <v>50</v>
      </c>
      <c r="H1481" s="5">
        <v>2.6682795974132096E-3</v>
      </c>
      <c r="I1481">
        <v>5</v>
      </c>
      <c r="J1481" t="b">
        <f>AND(CCData[[#This Row],[Date]]&gt;=Calculation!$E$3,CCData[[#This Row],[Date]]&lt;Calculation!$E$3+7)</f>
        <v>0</v>
      </c>
    </row>
    <row r="1482" spans="1:10">
      <c r="A1482" t="s">
        <v>1481</v>
      </c>
      <c r="B1482" s="2">
        <v>42031.544000000002</v>
      </c>
      <c r="C1482" s="3" t="s">
        <v>5007</v>
      </c>
      <c r="D1482" t="s">
        <v>5015</v>
      </c>
      <c r="E1482" t="s">
        <v>5018</v>
      </c>
      <c r="F1482" t="s">
        <v>5018</v>
      </c>
      <c r="G1482">
        <v>114</v>
      </c>
      <c r="H1482" s="5">
        <v>3.0229645549680888E-3</v>
      </c>
      <c r="I1482">
        <v>3</v>
      </c>
      <c r="J1482" t="b">
        <f>AND(CCData[[#This Row],[Date]]&gt;=Calculation!$E$3,CCData[[#This Row],[Date]]&lt;Calculation!$E$3+7)</f>
        <v>0</v>
      </c>
    </row>
    <row r="1483" spans="1:10">
      <c r="A1483" t="s">
        <v>1482</v>
      </c>
      <c r="B1483" s="2">
        <v>42031.544000000002</v>
      </c>
      <c r="C1483" s="3" t="s">
        <v>5007</v>
      </c>
      <c r="D1483" t="s">
        <v>5013</v>
      </c>
      <c r="E1483" t="s">
        <v>5019</v>
      </c>
      <c r="F1483" t="s">
        <v>5019</v>
      </c>
      <c r="G1483" t="s">
        <v>5022</v>
      </c>
      <c r="H1483" s="5" t="s">
        <v>5022</v>
      </c>
      <c r="I1483" t="s">
        <v>5022</v>
      </c>
      <c r="J1483" t="b">
        <f>AND(CCData[[#This Row],[Date]]&gt;=Calculation!$E$3,CCData[[#This Row],[Date]]&lt;Calculation!$E$3+7)</f>
        <v>0</v>
      </c>
    </row>
    <row r="1484" spans="1:10">
      <c r="A1484" t="s">
        <v>1483</v>
      </c>
      <c r="B1484" s="2">
        <v>42031.546999999999</v>
      </c>
      <c r="C1484" s="3" t="s">
        <v>5010</v>
      </c>
      <c r="D1484" t="s">
        <v>5016</v>
      </c>
      <c r="E1484" t="s">
        <v>5018</v>
      </c>
      <c r="F1484" t="s">
        <v>5018</v>
      </c>
      <c r="G1484">
        <v>58</v>
      </c>
      <c r="H1484" s="5">
        <v>1.3998483253088491E-3</v>
      </c>
      <c r="I1484">
        <v>4</v>
      </c>
      <c r="J1484" t="b">
        <f>AND(CCData[[#This Row],[Date]]&gt;=Calculation!$E$3,CCData[[#This Row],[Date]]&lt;Calculation!$E$3+7)</f>
        <v>0</v>
      </c>
    </row>
    <row r="1485" spans="1:10">
      <c r="A1485" t="s">
        <v>1484</v>
      </c>
      <c r="B1485" s="2">
        <v>42031.546999999999</v>
      </c>
      <c r="C1485" s="3" t="s">
        <v>5003</v>
      </c>
      <c r="D1485" t="s">
        <v>5016</v>
      </c>
      <c r="E1485" t="s">
        <v>5018</v>
      </c>
      <c r="F1485" t="s">
        <v>5018</v>
      </c>
      <c r="G1485">
        <v>86</v>
      </c>
      <c r="H1485" s="5">
        <v>2.3926820545779885E-3</v>
      </c>
      <c r="I1485">
        <v>2</v>
      </c>
      <c r="J1485" t="b">
        <f>AND(CCData[[#This Row],[Date]]&gt;=Calculation!$E$3,CCData[[#This Row],[Date]]&lt;Calculation!$E$3+7)</f>
        <v>0</v>
      </c>
    </row>
    <row r="1486" spans="1:10">
      <c r="A1486" t="s">
        <v>1485</v>
      </c>
      <c r="B1486" s="2">
        <v>42031.548000000003</v>
      </c>
      <c r="C1486" s="3" t="s">
        <v>5010</v>
      </c>
      <c r="D1486" t="s">
        <v>5016</v>
      </c>
      <c r="E1486" t="s">
        <v>5018</v>
      </c>
      <c r="F1486" t="s">
        <v>5018</v>
      </c>
      <c r="G1486">
        <v>45</v>
      </c>
      <c r="H1486" s="5">
        <v>2.6925283977420294E-3</v>
      </c>
      <c r="I1486">
        <v>5</v>
      </c>
      <c r="J1486" t="b">
        <f>AND(CCData[[#This Row],[Date]]&gt;=Calculation!$E$3,CCData[[#This Row],[Date]]&lt;Calculation!$E$3+7)</f>
        <v>0</v>
      </c>
    </row>
    <row r="1487" spans="1:10">
      <c r="A1487" t="s">
        <v>1486</v>
      </c>
      <c r="B1487" s="2">
        <v>42031.548000000003</v>
      </c>
      <c r="C1487" s="3" t="s">
        <v>5010</v>
      </c>
      <c r="D1487" t="s">
        <v>5016</v>
      </c>
      <c r="E1487" t="s">
        <v>5018</v>
      </c>
      <c r="F1487" t="s">
        <v>5018</v>
      </c>
      <c r="G1487">
        <v>84</v>
      </c>
      <c r="H1487" s="5">
        <v>1.7754760112120211E-3</v>
      </c>
      <c r="I1487">
        <v>2</v>
      </c>
      <c r="J1487" t="b">
        <f>AND(CCData[[#This Row],[Date]]&gt;=Calculation!$E$3,CCData[[#This Row],[Date]]&lt;Calculation!$E$3+7)</f>
        <v>0</v>
      </c>
    </row>
    <row r="1488" spans="1:10">
      <c r="A1488" t="s">
        <v>1487</v>
      </c>
      <c r="B1488" s="2">
        <v>42031.557000000001</v>
      </c>
      <c r="C1488" s="3" t="s">
        <v>5003</v>
      </c>
      <c r="D1488" t="s">
        <v>5012</v>
      </c>
      <c r="E1488" t="s">
        <v>5018</v>
      </c>
      <c r="F1488" t="s">
        <v>5018</v>
      </c>
      <c r="G1488">
        <v>15</v>
      </c>
      <c r="H1488" s="5">
        <v>4.791587215650291E-3</v>
      </c>
      <c r="I1488">
        <v>2</v>
      </c>
      <c r="J1488" t="b">
        <f>AND(CCData[[#This Row],[Date]]&gt;=Calculation!$E$3,CCData[[#This Row],[Date]]&lt;Calculation!$E$3+7)</f>
        <v>0</v>
      </c>
    </row>
    <row r="1489" spans="1:10">
      <c r="A1489" t="s">
        <v>1488</v>
      </c>
      <c r="B1489" s="2">
        <v>42031.557000000001</v>
      </c>
      <c r="C1489" s="3" t="s">
        <v>5005</v>
      </c>
      <c r="D1489" t="s">
        <v>5015</v>
      </c>
      <c r="E1489" t="s">
        <v>5018</v>
      </c>
      <c r="F1489" t="s">
        <v>5018</v>
      </c>
      <c r="G1489">
        <v>47</v>
      </c>
      <c r="H1489" s="5">
        <v>2.8623665723540108E-3</v>
      </c>
      <c r="I1489">
        <v>2</v>
      </c>
      <c r="J1489" t="b">
        <f>AND(CCData[[#This Row],[Date]]&gt;=Calculation!$E$3,CCData[[#This Row],[Date]]&lt;Calculation!$E$3+7)</f>
        <v>0</v>
      </c>
    </row>
    <row r="1490" spans="1:10">
      <c r="A1490" t="s">
        <v>1489</v>
      </c>
      <c r="B1490" s="2">
        <v>42031.561000000002</v>
      </c>
      <c r="C1490" s="3" t="s">
        <v>5010</v>
      </c>
      <c r="D1490" t="s">
        <v>5014</v>
      </c>
      <c r="E1490" t="s">
        <v>5018</v>
      </c>
      <c r="F1490" t="s">
        <v>5018</v>
      </c>
      <c r="G1490">
        <v>27</v>
      </c>
      <c r="H1490" s="5">
        <v>1.813935825351643E-3</v>
      </c>
      <c r="I1490">
        <v>3</v>
      </c>
      <c r="J1490" t="b">
        <f>AND(CCData[[#This Row],[Date]]&gt;=Calculation!$E$3,CCData[[#This Row],[Date]]&lt;Calculation!$E$3+7)</f>
        <v>0</v>
      </c>
    </row>
    <row r="1491" spans="1:10">
      <c r="A1491" t="s">
        <v>1490</v>
      </c>
      <c r="B1491" s="2">
        <v>42031.561000000002</v>
      </c>
      <c r="C1491" s="3" t="s">
        <v>5009</v>
      </c>
      <c r="D1491" t="s">
        <v>5015</v>
      </c>
      <c r="E1491" t="s">
        <v>5018</v>
      </c>
      <c r="F1491" t="s">
        <v>5018</v>
      </c>
      <c r="G1491">
        <v>49</v>
      </c>
      <c r="H1491" s="5">
        <v>9.6791777165529218E-4</v>
      </c>
      <c r="I1491">
        <v>4</v>
      </c>
      <c r="J1491" t="b">
        <f>AND(CCData[[#This Row],[Date]]&gt;=Calculation!$E$3,CCData[[#This Row],[Date]]&lt;Calculation!$E$3+7)</f>
        <v>0</v>
      </c>
    </row>
    <row r="1492" spans="1:10">
      <c r="A1492" t="s">
        <v>1491</v>
      </c>
      <c r="B1492" s="2">
        <v>42031.578000000001</v>
      </c>
      <c r="C1492" s="3" t="s">
        <v>5008</v>
      </c>
      <c r="D1492" t="s">
        <v>5012</v>
      </c>
      <c r="E1492" t="s">
        <v>5018</v>
      </c>
      <c r="F1492" t="s">
        <v>5018</v>
      </c>
      <c r="G1492">
        <v>50</v>
      </c>
      <c r="H1492" s="5">
        <v>1.2151593965172998E-3</v>
      </c>
      <c r="I1492">
        <v>4</v>
      </c>
      <c r="J1492" t="b">
        <f>AND(CCData[[#This Row],[Date]]&gt;=Calculation!$E$3,CCData[[#This Row],[Date]]&lt;Calculation!$E$3+7)</f>
        <v>0</v>
      </c>
    </row>
    <row r="1493" spans="1:10">
      <c r="A1493" t="s">
        <v>1492</v>
      </c>
      <c r="B1493" s="2">
        <v>42031.578000000001</v>
      </c>
      <c r="C1493" s="3" t="s">
        <v>5006</v>
      </c>
      <c r="D1493" t="s">
        <v>5016</v>
      </c>
      <c r="E1493" t="s">
        <v>5018</v>
      </c>
      <c r="F1493" t="s">
        <v>5018</v>
      </c>
      <c r="G1493">
        <v>87</v>
      </c>
      <c r="H1493" s="5">
        <v>3.4802332846198816E-3</v>
      </c>
      <c r="I1493">
        <v>2</v>
      </c>
      <c r="J1493" t="b">
        <f>AND(CCData[[#This Row],[Date]]&gt;=Calculation!$E$3,CCData[[#This Row],[Date]]&lt;Calculation!$E$3+7)</f>
        <v>0</v>
      </c>
    </row>
    <row r="1494" spans="1:10">
      <c r="A1494" t="s">
        <v>1493</v>
      </c>
      <c r="B1494" s="2">
        <v>42031.614999999998</v>
      </c>
      <c r="C1494" s="3" t="s">
        <v>5007</v>
      </c>
      <c r="D1494" t="s">
        <v>5015</v>
      </c>
      <c r="E1494" t="s">
        <v>5018</v>
      </c>
      <c r="F1494" t="s">
        <v>5018</v>
      </c>
      <c r="G1494">
        <v>87</v>
      </c>
      <c r="H1494" s="5">
        <v>4.5636073984913596E-3</v>
      </c>
      <c r="I1494">
        <v>3</v>
      </c>
      <c r="J1494" t="b">
        <f>AND(CCData[[#This Row],[Date]]&gt;=Calculation!$E$3,CCData[[#This Row],[Date]]&lt;Calculation!$E$3+7)</f>
        <v>0</v>
      </c>
    </row>
    <row r="1495" spans="1:10">
      <c r="A1495" t="s">
        <v>1494</v>
      </c>
      <c r="B1495" s="2">
        <v>42031.614999999998</v>
      </c>
      <c r="C1495" s="3" t="s">
        <v>5007</v>
      </c>
      <c r="D1495" t="s">
        <v>5014</v>
      </c>
      <c r="E1495" t="s">
        <v>5018</v>
      </c>
      <c r="F1495" t="s">
        <v>5018</v>
      </c>
      <c r="G1495">
        <v>15</v>
      </c>
      <c r="H1495" s="5">
        <v>4.1477631136337054E-3</v>
      </c>
      <c r="I1495">
        <v>3</v>
      </c>
      <c r="J1495" t="b">
        <f>AND(CCData[[#This Row],[Date]]&gt;=Calculation!$E$3,CCData[[#This Row],[Date]]&lt;Calculation!$E$3+7)</f>
        <v>0</v>
      </c>
    </row>
    <row r="1496" spans="1:10">
      <c r="A1496" t="s">
        <v>1495</v>
      </c>
      <c r="B1496" s="2">
        <v>42031.620999999999</v>
      </c>
      <c r="C1496" s="3" t="s">
        <v>5010</v>
      </c>
      <c r="D1496" t="s">
        <v>5013</v>
      </c>
      <c r="E1496" t="s">
        <v>5018</v>
      </c>
      <c r="F1496" t="s">
        <v>5018</v>
      </c>
      <c r="G1496">
        <v>123</v>
      </c>
      <c r="H1496" s="5">
        <v>4.730358250701729E-3</v>
      </c>
      <c r="I1496">
        <v>5</v>
      </c>
      <c r="J1496" t="b">
        <f>AND(CCData[[#This Row],[Date]]&gt;=Calculation!$E$3,CCData[[#This Row],[Date]]&lt;Calculation!$E$3+7)</f>
        <v>0</v>
      </c>
    </row>
    <row r="1497" spans="1:10">
      <c r="A1497" t="s">
        <v>1496</v>
      </c>
      <c r="B1497" s="2">
        <v>42031.620999999999</v>
      </c>
      <c r="C1497" s="3" t="s">
        <v>5004</v>
      </c>
      <c r="D1497" t="s">
        <v>5014</v>
      </c>
      <c r="E1497" t="s">
        <v>5018</v>
      </c>
      <c r="F1497" t="s">
        <v>5018</v>
      </c>
      <c r="G1497">
        <v>32</v>
      </c>
      <c r="H1497" s="5">
        <v>3.2675721280014361E-3</v>
      </c>
      <c r="I1497">
        <v>3</v>
      </c>
      <c r="J1497" t="b">
        <f>AND(CCData[[#This Row],[Date]]&gt;=Calculation!$E$3,CCData[[#This Row],[Date]]&lt;Calculation!$E$3+7)</f>
        <v>0</v>
      </c>
    </row>
    <row r="1498" spans="1:10">
      <c r="A1498" t="s">
        <v>1497</v>
      </c>
      <c r="B1498" s="2">
        <v>42031.64</v>
      </c>
      <c r="C1498" s="3" t="s">
        <v>5005</v>
      </c>
      <c r="D1498" t="s">
        <v>5014</v>
      </c>
      <c r="E1498" t="s">
        <v>5018</v>
      </c>
      <c r="F1498" t="s">
        <v>5018</v>
      </c>
      <c r="G1498">
        <v>10</v>
      </c>
      <c r="H1498" s="5">
        <v>9.8141594058326017E-4</v>
      </c>
      <c r="I1498">
        <v>5</v>
      </c>
      <c r="J1498" t="b">
        <f>AND(CCData[[#This Row],[Date]]&gt;=Calculation!$E$3,CCData[[#This Row],[Date]]&lt;Calculation!$E$3+7)</f>
        <v>0</v>
      </c>
    </row>
    <row r="1499" spans="1:10">
      <c r="A1499" t="s">
        <v>1498</v>
      </c>
      <c r="B1499" s="2">
        <v>42031.64</v>
      </c>
      <c r="C1499" s="3" t="s">
        <v>5010</v>
      </c>
      <c r="D1499" t="s">
        <v>5015</v>
      </c>
      <c r="E1499" t="s">
        <v>5018</v>
      </c>
      <c r="F1499" t="s">
        <v>5018</v>
      </c>
      <c r="G1499">
        <v>19</v>
      </c>
      <c r="H1499" s="5">
        <v>3.2709808623260922E-3</v>
      </c>
      <c r="I1499">
        <v>2</v>
      </c>
      <c r="J1499" t="b">
        <f>AND(CCData[[#This Row],[Date]]&gt;=Calculation!$E$3,CCData[[#This Row],[Date]]&lt;Calculation!$E$3+7)</f>
        <v>0</v>
      </c>
    </row>
    <row r="1500" spans="1:10">
      <c r="A1500" t="s">
        <v>1499</v>
      </c>
      <c r="B1500" s="2">
        <v>42031.641000000003</v>
      </c>
      <c r="C1500" s="3" t="s">
        <v>5004</v>
      </c>
      <c r="D1500" t="s">
        <v>5015</v>
      </c>
      <c r="E1500" t="s">
        <v>5018</v>
      </c>
      <c r="F1500" t="s">
        <v>5018</v>
      </c>
      <c r="G1500">
        <v>10</v>
      </c>
      <c r="H1500" s="5">
        <v>4.2115369898122618E-3</v>
      </c>
      <c r="I1500">
        <v>5</v>
      </c>
      <c r="J1500" t="b">
        <f>AND(CCData[[#This Row],[Date]]&gt;=Calculation!$E$3,CCData[[#This Row],[Date]]&lt;Calculation!$E$3+7)</f>
        <v>0</v>
      </c>
    </row>
    <row r="1501" spans="1:10">
      <c r="A1501" t="s">
        <v>1500</v>
      </c>
      <c r="B1501" s="2">
        <v>42031.641000000003</v>
      </c>
      <c r="C1501" s="3" t="s">
        <v>5003</v>
      </c>
      <c r="D1501" t="s">
        <v>5016</v>
      </c>
      <c r="E1501" t="s">
        <v>5019</v>
      </c>
      <c r="F1501" t="s">
        <v>5019</v>
      </c>
      <c r="G1501" t="s">
        <v>5022</v>
      </c>
      <c r="H1501" s="5" t="s">
        <v>5022</v>
      </c>
      <c r="I1501" t="s">
        <v>5022</v>
      </c>
      <c r="J1501" t="b">
        <f>AND(CCData[[#This Row],[Date]]&gt;=Calculation!$E$3,CCData[[#This Row],[Date]]&lt;Calculation!$E$3+7)</f>
        <v>0</v>
      </c>
    </row>
    <row r="1502" spans="1:10">
      <c r="A1502" t="s">
        <v>1501</v>
      </c>
      <c r="B1502" s="2">
        <v>42031.652999999998</v>
      </c>
      <c r="C1502" s="3" t="s">
        <v>5005</v>
      </c>
      <c r="D1502" t="s">
        <v>5016</v>
      </c>
      <c r="E1502" t="s">
        <v>5018</v>
      </c>
      <c r="F1502" t="s">
        <v>5018</v>
      </c>
      <c r="G1502">
        <v>112</v>
      </c>
      <c r="H1502" s="5">
        <v>1.883031670298073E-3</v>
      </c>
      <c r="I1502">
        <v>4</v>
      </c>
      <c r="J1502" t="b">
        <f>AND(CCData[[#This Row],[Date]]&gt;=Calculation!$E$3,CCData[[#This Row],[Date]]&lt;Calculation!$E$3+7)</f>
        <v>0</v>
      </c>
    </row>
    <row r="1503" spans="1:10">
      <c r="A1503" t="s">
        <v>1502</v>
      </c>
      <c r="B1503" s="2">
        <v>42031.652999999998</v>
      </c>
      <c r="C1503" s="3" t="s">
        <v>5004</v>
      </c>
      <c r="D1503" t="s">
        <v>5012</v>
      </c>
      <c r="E1503" t="s">
        <v>5018</v>
      </c>
      <c r="F1503" t="s">
        <v>5019</v>
      </c>
      <c r="G1503">
        <v>10</v>
      </c>
      <c r="H1503" s="5">
        <v>2.5656691294235591E-3</v>
      </c>
      <c r="I1503">
        <v>4</v>
      </c>
      <c r="J1503" t="b">
        <f>AND(CCData[[#This Row],[Date]]&gt;=Calculation!$E$3,CCData[[#This Row],[Date]]&lt;Calculation!$E$3+7)</f>
        <v>0</v>
      </c>
    </row>
    <row r="1504" spans="1:10">
      <c r="A1504" t="s">
        <v>1503</v>
      </c>
      <c r="B1504" s="2">
        <v>42031.667000000001</v>
      </c>
      <c r="C1504" s="3" t="s">
        <v>5007</v>
      </c>
      <c r="D1504" t="s">
        <v>5015</v>
      </c>
      <c r="E1504" t="s">
        <v>5018</v>
      </c>
      <c r="F1504" t="s">
        <v>5018</v>
      </c>
      <c r="G1504">
        <v>26</v>
      </c>
      <c r="H1504" s="5">
        <v>1.3375931032683786E-3</v>
      </c>
      <c r="I1504">
        <v>2</v>
      </c>
      <c r="J1504" t="b">
        <f>AND(CCData[[#This Row],[Date]]&gt;=Calculation!$E$3,CCData[[#This Row],[Date]]&lt;Calculation!$E$3+7)</f>
        <v>0</v>
      </c>
    </row>
    <row r="1505" spans="1:10">
      <c r="A1505" t="s">
        <v>1504</v>
      </c>
      <c r="B1505" s="2">
        <v>42031.667000000001</v>
      </c>
      <c r="C1505" s="3" t="s">
        <v>5009</v>
      </c>
      <c r="D1505" t="s">
        <v>5015</v>
      </c>
      <c r="E1505" t="s">
        <v>5018</v>
      </c>
      <c r="F1505" t="s">
        <v>5018</v>
      </c>
      <c r="G1505">
        <v>96</v>
      </c>
      <c r="H1505" s="5">
        <v>4.5018984680925342E-3</v>
      </c>
      <c r="I1505">
        <v>4</v>
      </c>
      <c r="J1505" t="b">
        <f>AND(CCData[[#This Row],[Date]]&gt;=Calculation!$E$3,CCData[[#This Row],[Date]]&lt;Calculation!$E$3+7)</f>
        <v>0</v>
      </c>
    </row>
    <row r="1506" spans="1:10">
      <c r="A1506" t="s">
        <v>1505</v>
      </c>
      <c r="B1506" s="2">
        <v>42031.667999999998</v>
      </c>
      <c r="C1506" s="3" t="s">
        <v>5010</v>
      </c>
      <c r="D1506" t="s">
        <v>5014</v>
      </c>
      <c r="E1506" t="s">
        <v>5018</v>
      </c>
      <c r="F1506" t="s">
        <v>5018</v>
      </c>
      <c r="G1506">
        <v>99</v>
      </c>
      <c r="H1506" s="5">
        <v>3.0327215461139713E-3</v>
      </c>
      <c r="I1506">
        <v>3</v>
      </c>
      <c r="J1506" t="b">
        <f>AND(CCData[[#This Row],[Date]]&gt;=Calculation!$E$3,CCData[[#This Row],[Date]]&lt;Calculation!$E$3+7)</f>
        <v>0</v>
      </c>
    </row>
    <row r="1507" spans="1:10">
      <c r="A1507" t="s">
        <v>1506</v>
      </c>
      <c r="B1507" s="2">
        <v>42031.667999999998</v>
      </c>
      <c r="C1507" s="3" t="s">
        <v>5006</v>
      </c>
      <c r="D1507" t="s">
        <v>5013</v>
      </c>
      <c r="E1507" t="s">
        <v>5019</v>
      </c>
      <c r="F1507" t="s">
        <v>5019</v>
      </c>
      <c r="G1507" t="s">
        <v>5022</v>
      </c>
      <c r="H1507" s="5" t="s">
        <v>5022</v>
      </c>
      <c r="I1507" t="s">
        <v>5022</v>
      </c>
      <c r="J1507" t="b">
        <f>AND(CCData[[#This Row],[Date]]&gt;=Calculation!$E$3,CCData[[#This Row],[Date]]&lt;Calculation!$E$3+7)</f>
        <v>0</v>
      </c>
    </row>
    <row r="1508" spans="1:10">
      <c r="A1508" t="s">
        <v>1507</v>
      </c>
      <c r="B1508" s="2">
        <v>42031.673999999999</v>
      </c>
      <c r="C1508" s="3" t="s">
        <v>5007</v>
      </c>
      <c r="D1508" t="s">
        <v>5015</v>
      </c>
      <c r="E1508" t="s">
        <v>5018</v>
      </c>
      <c r="F1508" t="s">
        <v>5018</v>
      </c>
      <c r="G1508">
        <v>77</v>
      </c>
      <c r="H1508" s="5">
        <v>2.2519550906497077E-3</v>
      </c>
      <c r="I1508">
        <v>5</v>
      </c>
      <c r="J1508" t="b">
        <f>AND(CCData[[#This Row],[Date]]&gt;=Calculation!$E$3,CCData[[#This Row],[Date]]&lt;Calculation!$E$3+7)</f>
        <v>0</v>
      </c>
    </row>
    <row r="1509" spans="1:10">
      <c r="A1509" t="s">
        <v>1508</v>
      </c>
      <c r="B1509" s="2">
        <v>42031.673999999999</v>
      </c>
      <c r="C1509" s="3" t="s">
        <v>5008</v>
      </c>
      <c r="D1509" t="s">
        <v>5015</v>
      </c>
      <c r="E1509" t="s">
        <v>5018</v>
      </c>
      <c r="F1509" t="s">
        <v>5018</v>
      </c>
      <c r="G1509">
        <v>16</v>
      </c>
      <c r="H1509" s="5">
        <v>3.7209612121608228E-3</v>
      </c>
      <c r="I1509">
        <v>4</v>
      </c>
      <c r="J1509" t="b">
        <f>AND(CCData[[#This Row],[Date]]&gt;=Calculation!$E$3,CCData[[#This Row],[Date]]&lt;Calculation!$E$3+7)</f>
        <v>0</v>
      </c>
    </row>
    <row r="1510" spans="1:10">
      <c r="A1510" t="s">
        <v>1509</v>
      </c>
      <c r="B1510" s="2">
        <v>42031.707000000002</v>
      </c>
      <c r="C1510" s="3" t="s">
        <v>5009</v>
      </c>
      <c r="D1510" t="s">
        <v>5012</v>
      </c>
      <c r="E1510" t="s">
        <v>5018</v>
      </c>
      <c r="F1510" t="s">
        <v>5018</v>
      </c>
      <c r="G1510">
        <v>100</v>
      </c>
      <c r="H1510" s="5">
        <v>1.8890774323644833E-3</v>
      </c>
      <c r="I1510">
        <v>4</v>
      </c>
      <c r="J1510" t="b">
        <f>AND(CCData[[#This Row],[Date]]&gt;=Calculation!$E$3,CCData[[#This Row],[Date]]&lt;Calculation!$E$3+7)</f>
        <v>0</v>
      </c>
    </row>
    <row r="1511" spans="1:10">
      <c r="A1511" t="s">
        <v>1510</v>
      </c>
      <c r="B1511" s="2">
        <v>42031.707000000002</v>
      </c>
      <c r="C1511" s="3" t="s">
        <v>5007</v>
      </c>
      <c r="D1511" t="s">
        <v>5012</v>
      </c>
      <c r="E1511" t="s">
        <v>5018</v>
      </c>
      <c r="F1511" t="s">
        <v>5018</v>
      </c>
      <c r="G1511">
        <v>27</v>
      </c>
      <c r="H1511" s="5">
        <v>3.5751186380019923E-3</v>
      </c>
      <c r="I1511">
        <v>3</v>
      </c>
      <c r="J1511" t="b">
        <f>AND(CCData[[#This Row],[Date]]&gt;=Calculation!$E$3,CCData[[#This Row],[Date]]&lt;Calculation!$E$3+7)</f>
        <v>0</v>
      </c>
    </row>
    <row r="1512" spans="1:10">
      <c r="A1512" t="s">
        <v>1511</v>
      </c>
      <c r="B1512" s="2">
        <v>42031.709000000003</v>
      </c>
      <c r="C1512" s="3" t="s">
        <v>5004</v>
      </c>
      <c r="D1512" t="s">
        <v>5014</v>
      </c>
      <c r="E1512" t="s">
        <v>5018</v>
      </c>
      <c r="F1512" t="s">
        <v>5018</v>
      </c>
      <c r="G1512">
        <v>31</v>
      </c>
      <c r="H1512" s="5">
        <v>3.0893698418819871E-3</v>
      </c>
      <c r="I1512">
        <v>1</v>
      </c>
      <c r="J1512" t="b">
        <f>AND(CCData[[#This Row],[Date]]&gt;=Calculation!$E$3,CCData[[#This Row],[Date]]&lt;Calculation!$E$3+7)</f>
        <v>0</v>
      </c>
    </row>
    <row r="1513" spans="1:10">
      <c r="A1513" t="s">
        <v>1512</v>
      </c>
      <c r="B1513" s="2">
        <v>42031.709000000003</v>
      </c>
      <c r="C1513" s="3" t="s">
        <v>5008</v>
      </c>
      <c r="D1513" t="s">
        <v>5012</v>
      </c>
      <c r="E1513" t="s">
        <v>5018</v>
      </c>
      <c r="F1513" t="s">
        <v>5018</v>
      </c>
      <c r="G1513">
        <v>33</v>
      </c>
      <c r="H1513" s="5">
        <v>4.5392816567231707E-3</v>
      </c>
      <c r="I1513">
        <v>2</v>
      </c>
      <c r="J1513" t="b">
        <f>AND(CCData[[#This Row],[Date]]&gt;=Calculation!$E$3,CCData[[#This Row],[Date]]&lt;Calculation!$E$3+7)</f>
        <v>0</v>
      </c>
    </row>
    <row r="1514" spans="1:10">
      <c r="A1514" t="s">
        <v>1513</v>
      </c>
      <c r="B1514" s="2">
        <v>42031.716999999997</v>
      </c>
      <c r="C1514" s="3" t="s">
        <v>5007</v>
      </c>
      <c r="D1514" t="s">
        <v>5016</v>
      </c>
      <c r="E1514" t="s">
        <v>5018</v>
      </c>
      <c r="F1514" t="s">
        <v>5018</v>
      </c>
      <c r="G1514">
        <v>107</v>
      </c>
      <c r="H1514" s="5">
        <v>2.1612464756236545E-3</v>
      </c>
      <c r="I1514">
        <v>4</v>
      </c>
      <c r="J1514" t="b">
        <f>AND(CCData[[#This Row],[Date]]&gt;=Calculation!$E$3,CCData[[#This Row],[Date]]&lt;Calculation!$E$3+7)</f>
        <v>0</v>
      </c>
    </row>
    <row r="1515" spans="1:10">
      <c r="A1515" t="s">
        <v>1514</v>
      </c>
      <c r="B1515" s="2">
        <v>42031.716999999997</v>
      </c>
      <c r="C1515" s="3" t="s">
        <v>5010</v>
      </c>
      <c r="D1515" t="s">
        <v>5014</v>
      </c>
      <c r="E1515" t="s">
        <v>5018</v>
      </c>
      <c r="F1515" t="s">
        <v>5018</v>
      </c>
      <c r="G1515">
        <v>77</v>
      </c>
      <c r="H1515" s="5">
        <v>4.2072614191261256E-3</v>
      </c>
      <c r="I1515">
        <v>3</v>
      </c>
      <c r="J1515" t="b">
        <f>AND(CCData[[#This Row],[Date]]&gt;=Calculation!$E$3,CCData[[#This Row],[Date]]&lt;Calculation!$E$3+7)</f>
        <v>0</v>
      </c>
    </row>
    <row r="1516" spans="1:10">
      <c r="A1516" t="s">
        <v>1515</v>
      </c>
      <c r="B1516" s="2">
        <v>42031.720999999998</v>
      </c>
      <c r="C1516" s="3" t="s">
        <v>5007</v>
      </c>
      <c r="D1516" t="s">
        <v>5016</v>
      </c>
      <c r="E1516" t="s">
        <v>5018</v>
      </c>
      <c r="F1516" t="s">
        <v>5018</v>
      </c>
      <c r="G1516">
        <v>28</v>
      </c>
      <c r="H1516" s="5">
        <v>2.1251745505210754E-3</v>
      </c>
      <c r="I1516">
        <v>5</v>
      </c>
      <c r="J1516" t="b">
        <f>AND(CCData[[#This Row],[Date]]&gt;=Calculation!$E$3,CCData[[#This Row],[Date]]&lt;Calculation!$E$3+7)</f>
        <v>0</v>
      </c>
    </row>
    <row r="1517" spans="1:10">
      <c r="A1517" t="s">
        <v>1516</v>
      </c>
      <c r="B1517" s="2">
        <v>42031.720999999998</v>
      </c>
      <c r="C1517" s="3" t="s">
        <v>5006</v>
      </c>
      <c r="D1517" t="s">
        <v>5012</v>
      </c>
      <c r="E1517" t="s">
        <v>5019</v>
      </c>
      <c r="F1517" t="s">
        <v>5019</v>
      </c>
      <c r="G1517" t="s">
        <v>5022</v>
      </c>
      <c r="H1517" s="5" t="s">
        <v>5022</v>
      </c>
      <c r="I1517" t="s">
        <v>5022</v>
      </c>
      <c r="J1517" t="b">
        <f>AND(CCData[[#This Row],[Date]]&gt;=Calculation!$E$3,CCData[[#This Row],[Date]]&lt;Calculation!$E$3+7)</f>
        <v>0</v>
      </c>
    </row>
    <row r="1518" spans="1:10">
      <c r="A1518" t="s">
        <v>1517</v>
      </c>
      <c r="B1518" s="2">
        <v>42031.737999999998</v>
      </c>
      <c r="C1518" s="3" t="s">
        <v>5007</v>
      </c>
      <c r="D1518" t="s">
        <v>5012</v>
      </c>
      <c r="E1518" t="s">
        <v>5018</v>
      </c>
      <c r="F1518" t="s">
        <v>5018</v>
      </c>
      <c r="G1518">
        <v>93</v>
      </c>
      <c r="H1518" s="5">
        <v>6.4628730050609847E-4</v>
      </c>
      <c r="I1518">
        <v>4</v>
      </c>
      <c r="J1518" t="b">
        <f>AND(CCData[[#This Row],[Date]]&gt;=Calculation!$E$3,CCData[[#This Row],[Date]]&lt;Calculation!$E$3+7)</f>
        <v>0</v>
      </c>
    </row>
    <row r="1519" spans="1:10">
      <c r="A1519" t="s">
        <v>1518</v>
      </c>
      <c r="B1519" s="2">
        <v>42031.737999999998</v>
      </c>
      <c r="C1519" s="3" t="s">
        <v>5009</v>
      </c>
      <c r="D1519" t="s">
        <v>5013</v>
      </c>
      <c r="E1519" t="s">
        <v>5019</v>
      </c>
      <c r="F1519" t="s">
        <v>5019</v>
      </c>
      <c r="G1519" t="s">
        <v>5022</v>
      </c>
      <c r="H1519" s="5" t="s">
        <v>5022</v>
      </c>
      <c r="I1519" t="s">
        <v>5022</v>
      </c>
      <c r="J1519" t="b">
        <f>AND(CCData[[#This Row],[Date]]&gt;=Calculation!$E$3,CCData[[#This Row],[Date]]&lt;Calculation!$E$3+7)</f>
        <v>0</v>
      </c>
    </row>
    <row r="1520" spans="1:10">
      <c r="A1520" t="s">
        <v>1519</v>
      </c>
      <c r="B1520" s="2">
        <v>42032.377999999997</v>
      </c>
      <c r="C1520" s="3" t="s">
        <v>5007</v>
      </c>
      <c r="D1520" t="s">
        <v>5016</v>
      </c>
      <c r="E1520" t="s">
        <v>5018</v>
      </c>
      <c r="F1520" t="s">
        <v>5018</v>
      </c>
      <c r="G1520">
        <v>46</v>
      </c>
      <c r="H1520" s="5">
        <v>3.0852618421973147E-3</v>
      </c>
      <c r="I1520">
        <v>5</v>
      </c>
      <c r="J1520" t="b">
        <f>AND(CCData[[#This Row],[Date]]&gt;=Calculation!$E$3,CCData[[#This Row],[Date]]&lt;Calculation!$E$3+7)</f>
        <v>0</v>
      </c>
    </row>
    <row r="1521" spans="1:10">
      <c r="A1521" t="s">
        <v>1520</v>
      </c>
      <c r="B1521" s="2">
        <v>42032.377999999997</v>
      </c>
      <c r="C1521" s="3" t="s">
        <v>5008</v>
      </c>
      <c r="D1521" t="s">
        <v>5016</v>
      </c>
      <c r="E1521" t="s">
        <v>5018</v>
      </c>
      <c r="F1521" t="s">
        <v>5018</v>
      </c>
      <c r="G1521">
        <v>14</v>
      </c>
      <c r="H1521" s="5">
        <v>3.9463579188286219E-3</v>
      </c>
      <c r="I1521">
        <v>3</v>
      </c>
      <c r="J1521" t="b">
        <f>AND(CCData[[#This Row],[Date]]&gt;=Calculation!$E$3,CCData[[#This Row],[Date]]&lt;Calculation!$E$3+7)</f>
        <v>0</v>
      </c>
    </row>
    <row r="1522" spans="1:10">
      <c r="A1522" t="s">
        <v>1521</v>
      </c>
      <c r="B1522" s="2">
        <v>42032.383000000002</v>
      </c>
      <c r="C1522" s="3" t="s">
        <v>5006</v>
      </c>
      <c r="D1522" t="s">
        <v>5015</v>
      </c>
      <c r="E1522" t="s">
        <v>5018</v>
      </c>
      <c r="F1522" t="s">
        <v>5018</v>
      </c>
      <c r="G1522">
        <v>58</v>
      </c>
      <c r="H1522" s="5">
        <v>3.4385032240093327E-3</v>
      </c>
      <c r="I1522">
        <v>3</v>
      </c>
      <c r="J1522" t="b">
        <f>AND(CCData[[#This Row],[Date]]&gt;=Calculation!$E$3,CCData[[#This Row],[Date]]&lt;Calculation!$E$3+7)</f>
        <v>0</v>
      </c>
    </row>
    <row r="1523" spans="1:10">
      <c r="A1523" t="s">
        <v>1522</v>
      </c>
      <c r="B1523" s="2">
        <v>42032.383000000002</v>
      </c>
      <c r="C1523" s="3" t="s">
        <v>5009</v>
      </c>
      <c r="D1523" t="s">
        <v>5014</v>
      </c>
      <c r="E1523" t="s">
        <v>5018</v>
      </c>
      <c r="F1523" t="s">
        <v>5018</v>
      </c>
      <c r="G1523">
        <v>61</v>
      </c>
      <c r="H1523" s="5">
        <v>3.6631340538143551E-3</v>
      </c>
      <c r="I1523">
        <v>3</v>
      </c>
      <c r="J1523" t="b">
        <f>AND(CCData[[#This Row],[Date]]&gt;=Calculation!$E$3,CCData[[#This Row],[Date]]&lt;Calculation!$E$3+7)</f>
        <v>0</v>
      </c>
    </row>
    <row r="1524" spans="1:10">
      <c r="A1524" t="s">
        <v>1523</v>
      </c>
      <c r="B1524" s="2">
        <v>42032.383999999998</v>
      </c>
      <c r="C1524" s="3" t="s">
        <v>5009</v>
      </c>
      <c r="D1524" t="s">
        <v>5014</v>
      </c>
      <c r="E1524" t="s">
        <v>5018</v>
      </c>
      <c r="F1524" t="s">
        <v>5018</v>
      </c>
      <c r="G1524">
        <v>38</v>
      </c>
      <c r="H1524" s="5">
        <v>4.443261261841097E-3</v>
      </c>
      <c r="I1524">
        <v>4</v>
      </c>
      <c r="J1524" t="b">
        <f>AND(CCData[[#This Row],[Date]]&gt;=Calculation!$E$3,CCData[[#This Row],[Date]]&lt;Calculation!$E$3+7)</f>
        <v>0</v>
      </c>
    </row>
    <row r="1525" spans="1:10">
      <c r="A1525" t="s">
        <v>1524</v>
      </c>
      <c r="B1525" s="2">
        <v>42032.383999999998</v>
      </c>
      <c r="C1525" s="3" t="s">
        <v>5009</v>
      </c>
      <c r="D1525" t="s">
        <v>5014</v>
      </c>
      <c r="E1525" t="s">
        <v>5018</v>
      </c>
      <c r="F1525" t="s">
        <v>5018</v>
      </c>
      <c r="G1525">
        <v>39</v>
      </c>
      <c r="H1525" s="5">
        <v>3.8866497603020429E-3</v>
      </c>
      <c r="I1525">
        <v>3</v>
      </c>
      <c r="J1525" t="b">
        <f>AND(CCData[[#This Row],[Date]]&gt;=Calculation!$E$3,CCData[[#This Row],[Date]]&lt;Calculation!$E$3+7)</f>
        <v>0</v>
      </c>
    </row>
    <row r="1526" spans="1:10">
      <c r="A1526" t="s">
        <v>1525</v>
      </c>
      <c r="B1526" s="2">
        <v>42032.406999999999</v>
      </c>
      <c r="C1526" s="3" t="s">
        <v>5005</v>
      </c>
      <c r="D1526" t="s">
        <v>5013</v>
      </c>
      <c r="E1526" t="s">
        <v>5018</v>
      </c>
      <c r="F1526" t="s">
        <v>5018</v>
      </c>
      <c r="G1526">
        <v>87</v>
      </c>
      <c r="H1526" s="5">
        <v>1.0911610096527714E-3</v>
      </c>
      <c r="I1526">
        <v>4</v>
      </c>
      <c r="J1526" t="b">
        <f>AND(CCData[[#This Row],[Date]]&gt;=Calculation!$E$3,CCData[[#This Row],[Date]]&lt;Calculation!$E$3+7)</f>
        <v>0</v>
      </c>
    </row>
    <row r="1527" spans="1:10">
      <c r="A1527" t="s">
        <v>1526</v>
      </c>
      <c r="B1527" s="2">
        <v>42032.406999999999</v>
      </c>
      <c r="C1527" s="3" t="s">
        <v>5005</v>
      </c>
      <c r="D1527" t="s">
        <v>5013</v>
      </c>
      <c r="E1527" t="s">
        <v>5018</v>
      </c>
      <c r="F1527" t="s">
        <v>5018</v>
      </c>
      <c r="G1527">
        <v>26</v>
      </c>
      <c r="H1527" s="5">
        <v>1.3355187324511847E-3</v>
      </c>
      <c r="I1527">
        <v>2</v>
      </c>
      <c r="J1527" t="b">
        <f>AND(CCData[[#This Row],[Date]]&gt;=Calculation!$E$3,CCData[[#This Row],[Date]]&lt;Calculation!$E$3+7)</f>
        <v>0</v>
      </c>
    </row>
    <row r="1528" spans="1:10">
      <c r="A1528" t="s">
        <v>1527</v>
      </c>
      <c r="B1528" s="2">
        <v>42032.42</v>
      </c>
      <c r="C1528" s="3" t="s">
        <v>5006</v>
      </c>
      <c r="D1528" t="s">
        <v>5013</v>
      </c>
      <c r="E1528" t="s">
        <v>5018</v>
      </c>
      <c r="F1528" t="s">
        <v>5019</v>
      </c>
      <c r="G1528">
        <v>120</v>
      </c>
      <c r="H1528" s="5">
        <v>1.0066552967345651E-3</v>
      </c>
      <c r="I1528">
        <v>4</v>
      </c>
      <c r="J1528" t="b">
        <f>AND(CCData[[#This Row],[Date]]&gt;=Calculation!$E$3,CCData[[#This Row],[Date]]&lt;Calculation!$E$3+7)</f>
        <v>0</v>
      </c>
    </row>
    <row r="1529" spans="1:10">
      <c r="A1529" t="s">
        <v>1528</v>
      </c>
      <c r="B1529" s="2">
        <v>42032.42</v>
      </c>
      <c r="C1529" s="3" t="s">
        <v>5010</v>
      </c>
      <c r="D1529" t="s">
        <v>5014</v>
      </c>
      <c r="E1529" t="s">
        <v>5018</v>
      </c>
      <c r="F1529" t="s">
        <v>5018</v>
      </c>
      <c r="G1529">
        <v>123</v>
      </c>
      <c r="H1529" s="5">
        <v>1.3495641773166652E-3</v>
      </c>
      <c r="I1529">
        <v>4</v>
      </c>
      <c r="J1529" t="b">
        <f>AND(CCData[[#This Row],[Date]]&gt;=Calculation!$E$3,CCData[[#This Row],[Date]]&lt;Calculation!$E$3+7)</f>
        <v>0</v>
      </c>
    </row>
    <row r="1530" spans="1:10">
      <c r="A1530" t="s">
        <v>1529</v>
      </c>
      <c r="B1530" s="2">
        <v>42032.445</v>
      </c>
      <c r="C1530" s="3" t="s">
        <v>5003</v>
      </c>
      <c r="D1530" t="s">
        <v>5012</v>
      </c>
      <c r="E1530" t="s">
        <v>5018</v>
      </c>
      <c r="F1530" t="s">
        <v>5018</v>
      </c>
      <c r="G1530">
        <v>48</v>
      </c>
      <c r="H1530" s="5">
        <v>1.05626836934913E-3</v>
      </c>
      <c r="I1530">
        <v>3</v>
      </c>
      <c r="J1530" t="b">
        <f>AND(CCData[[#This Row],[Date]]&gt;=Calculation!$E$3,CCData[[#This Row],[Date]]&lt;Calculation!$E$3+7)</f>
        <v>0</v>
      </c>
    </row>
    <row r="1531" spans="1:10">
      <c r="A1531" t="s">
        <v>1530</v>
      </c>
      <c r="B1531" s="2">
        <v>42032.445</v>
      </c>
      <c r="C1531" s="3" t="s">
        <v>5003</v>
      </c>
      <c r="D1531" t="s">
        <v>5016</v>
      </c>
      <c r="E1531" t="s">
        <v>5018</v>
      </c>
      <c r="F1531" t="s">
        <v>5019</v>
      </c>
      <c r="G1531">
        <v>58</v>
      </c>
      <c r="H1531" s="5">
        <v>1.7981877361622157E-3</v>
      </c>
      <c r="I1531">
        <v>1</v>
      </c>
      <c r="J1531" t="b">
        <f>AND(CCData[[#This Row],[Date]]&gt;=Calculation!$E$3,CCData[[#This Row],[Date]]&lt;Calculation!$E$3+7)</f>
        <v>0</v>
      </c>
    </row>
    <row r="1532" spans="1:10">
      <c r="A1532" t="s">
        <v>1531</v>
      </c>
      <c r="B1532" s="2">
        <v>42032.453000000001</v>
      </c>
      <c r="C1532" s="3" t="s">
        <v>5009</v>
      </c>
      <c r="D1532" t="s">
        <v>5012</v>
      </c>
      <c r="E1532" t="s">
        <v>5018</v>
      </c>
      <c r="F1532" t="s">
        <v>5018</v>
      </c>
      <c r="G1532">
        <v>90</v>
      </c>
      <c r="H1532" s="5">
        <v>3.2957556605839509E-3</v>
      </c>
      <c r="I1532">
        <v>3</v>
      </c>
      <c r="J1532" t="b">
        <f>AND(CCData[[#This Row],[Date]]&gt;=Calculation!$E$3,CCData[[#This Row],[Date]]&lt;Calculation!$E$3+7)</f>
        <v>0</v>
      </c>
    </row>
    <row r="1533" spans="1:10">
      <c r="A1533" t="s">
        <v>1532</v>
      </c>
      <c r="B1533" s="2">
        <v>42032.453000000001</v>
      </c>
      <c r="C1533" s="3" t="s">
        <v>5010</v>
      </c>
      <c r="D1533" t="s">
        <v>5014</v>
      </c>
      <c r="E1533" t="s">
        <v>5018</v>
      </c>
      <c r="F1533" t="s">
        <v>5018</v>
      </c>
      <c r="G1533">
        <v>104</v>
      </c>
      <c r="H1533" s="5">
        <v>4.2936949093665732E-3</v>
      </c>
      <c r="I1533">
        <v>5</v>
      </c>
      <c r="J1533" t="b">
        <f>AND(CCData[[#This Row],[Date]]&gt;=Calculation!$E$3,CCData[[#This Row],[Date]]&lt;Calculation!$E$3+7)</f>
        <v>0</v>
      </c>
    </row>
    <row r="1534" spans="1:10">
      <c r="A1534" t="s">
        <v>1533</v>
      </c>
      <c r="B1534" s="2">
        <v>42032.463000000003</v>
      </c>
      <c r="C1534" s="3" t="s">
        <v>5005</v>
      </c>
      <c r="D1534" t="s">
        <v>5016</v>
      </c>
      <c r="E1534" t="s">
        <v>5018</v>
      </c>
      <c r="F1534" t="s">
        <v>5018</v>
      </c>
      <c r="G1534">
        <v>41</v>
      </c>
      <c r="H1534" s="5">
        <v>2.1735261659012158E-3</v>
      </c>
      <c r="I1534">
        <v>4</v>
      </c>
      <c r="J1534" t="b">
        <f>AND(CCData[[#This Row],[Date]]&gt;=Calculation!$E$3,CCData[[#This Row],[Date]]&lt;Calculation!$E$3+7)</f>
        <v>0</v>
      </c>
    </row>
    <row r="1535" spans="1:10">
      <c r="A1535" t="s">
        <v>1534</v>
      </c>
      <c r="B1535" s="2">
        <v>42032.463000000003</v>
      </c>
      <c r="C1535" s="3" t="s">
        <v>5006</v>
      </c>
      <c r="D1535" t="s">
        <v>5013</v>
      </c>
      <c r="E1535" t="s">
        <v>5018</v>
      </c>
      <c r="F1535" t="s">
        <v>5018</v>
      </c>
      <c r="G1535">
        <v>26</v>
      </c>
      <c r="H1535" s="5">
        <v>1.2367804449742719E-3</v>
      </c>
      <c r="I1535">
        <v>5</v>
      </c>
      <c r="J1535" t="b">
        <f>AND(CCData[[#This Row],[Date]]&gt;=Calculation!$E$3,CCData[[#This Row],[Date]]&lt;Calculation!$E$3+7)</f>
        <v>0</v>
      </c>
    </row>
    <row r="1536" spans="1:10">
      <c r="A1536" t="s">
        <v>1535</v>
      </c>
      <c r="B1536" s="2">
        <v>42032.472999999998</v>
      </c>
      <c r="C1536" s="3" t="s">
        <v>5004</v>
      </c>
      <c r="D1536" t="s">
        <v>5014</v>
      </c>
      <c r="E1536" t="s">
        <v>5018</v>
      </c>
      <c r="F1536" t="s">
        <v>5018</v>
      </c>
      <c r="G1536">
        <v>66</v>
      </c>
      <c r="H1536" s="5">
        <v>3.9861666915293028E-3</v>
      </c>
      <c r="I1536">
        <v>4</v>
      </c>
      <c r="J1536" t="b">
        <f>AND(CCData[[#This Row],[Date]]&gt;=Calculation!$E$3,CCData[[#This Row],[Date]]&lt;Calculation!$E$3+7)</f>
        <v>0</v>
      </c>
    </row>
    <row r="1537" spans="1:10">
      <c r="A1537" t="s">
        <v>1536</v>
      </c>
      <c r="B1537" s="2">
        <v>42032.472999999998</v>
      </c>
      <c r="C1537" s="3" t="s">
        <v>5004</v>
      </c>
      <c r="D1537" t="s">
        <v>5015</v>
      </c>
      <c r="E1537" t="s">
        <v>5018</v>
      </c>
      <c r="F1537" t="s">
        <v>5018</v>
      </c>
      <c r="G1537">
        <v>65</v>
      </c>
      <c r="H1537" s="5">
        <v>1.2856483032512391E-3</v>
      </c>
      <c r="I1537">
        <v>5</v>
      </c>
      <c r="J1537" t="b">
        <f>AND(CCData[[#This Row],[Date]]&gt;=Calculation!$E$3,CCData[[#This Row],[Date]]&lt;Calculation!$E$3+7)</f>
        <v>0</v>
      </c>
    </row>
    <row r="1538" spans="1:10">
      <c r="A1538" t="s">
        <v>1537</v>
      </c>
      <c r="B1538" s="2">
        <v>42032.478999999999</v>
      </c>
      <c r="C1538" s="3" t="s">
        <v>5004</v>
      </c>
      <c r="D1538" t="s">
        <v>5015</v>
      </c>
      <c r="E1538" t="s">
        <v>5018</v>
      </c>
      <c r="F1538" t="s">
        <v>5018</v>
      </c>
      <c r="G1538">
        <v>22</v>
      </c>
      <c r="H1538" s="5">
        <v>3.4977263909545019E-3</v>
      </c>
      <c r="I1538">
        <v>3</v>
      </c>
      <c r="J1538" t="b">
        <f>AND(CCData[[#This Row],[Date]]&gt;=Calculation!$E$3,CCData[[#This Row],[Date]]&lt;Calculation!$E$3+7)</f>
        <v>0</v>
      </c>
    </row>
    <row r="1539" spans="1:10">
      <c r="A1539" t="s">
        <v>1538</v>
      </c>
      <c r="B1539" s="2">
        <v>42032.478999999999</v>
      </c>
      <c r="C1539" s="3" t="s">
        <v>5008</v>
      </c>
      <c r="D1539" t="s">
        <v>5016</v>
      </c>
      <c r="E1539" t="s">
        <v>5018</v>
      </c>
      <c r="F1539" t="s">
        <v>5019</v>
      </c>
      <c r="G1539">
        <v>96</v>
      </c>
      <c r="H1539" s="5">
        <v>2.709515683047664E-3</v>
      </c>
      <c r="I1539">
        <v>1</v>
      </c>
      <c r="J1539" t="b">
        <f>AND(CCData[[#This Row],[Date]]&gt;=Calculation!$E$3,CCData[[#This Row],[Date]]&lt;Calculation!$E$3+7)</f>
        <v>0</v>
      </c>
    </row>
    <row r="1540" spans="1:10">
      <c r="A1540" t="s">
        <v>1539</v>
      </c>
      <c r="B1540" s="2">
        <v>42032.495999999999</v>
      </c>
      <c r="C1540" s="3" t="s">
        <v>5003</v>
      </c>
      <c r="D1540" t="s">
        <v>5013</v>
      </c>
      <c r="E1540" t="s">
        <v>5018</v>
      </c>
      <c r="F1540" t="s">
        <v>5018</v>
      </c>
      <c r="G1540">
        <v>101</v>
      </c>
      <c r="H1540" s="5">
        <v>3.29983377994618E-3</v>
      </c>
      <c r="I1540">
        <v>4</v>
      </c>
      <c r="J1540" t="b">
        <f>AND(CCData[[#This Row],[Date]]&gt;=Calculation!$E$3,CCData[[#This Row],[Date]]&lt;Calculation!$E$3+7)</f>
        <v>0</v>
      </c>
    </row>
    <row r="1541" spans="1:10">
      <c r="A1541" t="s">
        <v>1540</v>
      </c>
      <c r="B1541" s="2">
        <v>42032.495999999999</v>
      </c>
      <c r="C1541" s="3" t="s">
        <v>5004</v>
      </c>
      <c r="D1541" t="s">
        <v>5015</v>
      </c>
      <c r="E1541" t="s">
        <v>5018</v>
      </c>
      <c r="F1541" t="s">
        <v>5018</v>
      </c>
      <c r="G1541">
        <v>124</v>
      </c>
      <c r="H1541" s="5">
        <v>1.1330211130791688E-3</v>
      </c>
      <c r="I1541">
        <v>4</v>
      </c>
      <c r="J1541" t="b">
        <f>AND(CCData[[#This Row],[Date]]&gt;=Calculation!$E$3,CCData[[#This Row],[Date]]&lt;Calculation!$E$3+7)</f>
        <v>0</v>
      </c>
    </row>
    <row r="1542" spans="1:10">
      <c r="A1542" t="s">
        <v>1541</v>
      </c>
      <c r="B1542" s="2">
        <v>42032.497000000003</v>
      </c>
      <c r="C1542" s="3" t="s">
        <v>5010</v>
      </c>
      <c r="D1542" t="s">
        <v>5012</v>
      </c>
      <c r="E1542" t="s">
        <v>5018</v>
      </c>
      <c r="F1542" t="s">
        <v>5018</v>
      </c>
      <c r="G1542">
        <v>28</v>
      </c>
      <c r="H1542" s="5">
        <v>3.7636155233859501E-3</v>
      </c>
      <c r="I1542">
        <v>3</v>
      </c>
      <c r="J1542" t="b">
        <f>AND(CCData[[#This Row],[Date]]&gt;=Calculation!$E$3,CCData[[#This Row],[Date]]&lt;Calculation!$E$3+7)</f>
        <v>0</v>
      </c>
    </row>
    <row r="1543" spans="1:10">
      <c r="A1543" t="s">
        <v>1542</v>
      </c>
      <c r="B1543" s="2">
        <v>42032.497000000003</v>
      </c>
      <c r="C1543" s="3" t="s">
        <v>5004</v>
      </c>
      <c r="D1543" t="s">
        <v>5012</v>
      </c>
      <c r="E1543" t="s">
        <v>5018</v>
      </c>
      <c r="F1543" t="s">
        <v>5018</v>
      </c>
      <c r="G1543">
        <v>90</v>
      </c>
      <c r="H1543" s="5">
        <v>2.6521299130996909E-3</v>
      </c>
      <c r="I1543">
        <v>3</v>
      </c>
      <c r="J1543" t="b">
        <f>AND(CCData[[#This Row],[Date]]&gt;=Calculation!$E$3,CCData[[#This Row],[Date]]&lt;Calculation!$E$3+7)</f>
        <v>0</v>
      </c>
    </row>
    <row r="1544" spans="1:10">
      <c r="A1544" t="s">
        <v>1543</v>
      </c>
      <c r="B1544" s="2">
        <v>42032.531999999999</v>
      </c>
      <c r="C1544" s="3" t="s">
        <v>5009</v>
      </c>
      <c r="D1544" t="s">
        <v>5012</v>
      </c>
      <c r="E1544" t="s">
        <v>5018</v>
      </c>
      <c r="F1544" t="s">
        <v>5018</v>
      </c>
      <c r="G1544">
        <v>111</v>
      </c>
      <c r="H1544" s="5">
        <v>2.7170857294231631E-3</v>
      </c>
      <c r="I1544">
        <v>5</v>
      </c>
      <c r="J1544" t="b">
        <f>AND(CCData[[#This Row],[Date]]&gt;=Calculation!$E$3,CCData[[#This Row],[Date]]&lt;Calculation!$E$3+7)</f>
        <v>0</v>
      </c>
    </row>
    <row r="1545" spans="1:10">
      <c r="A1545" t="s">
        <v>1544</v>
      </c>
      <c r="B1545" s="2">
        <v>42032.531999999999</v>
      </c>
      <c r="C1545" s="3" t="s">
        <v>5004</v>
      </c>
      <c r="D1545" t="s">
        <v>5016</v>
      </c>
      <c r="E1545" t="s">
        <v>5018</v>
      </c>
      <c r="F1545" t="s">
        <v>5018</v>
      </c>
      <c r="G1545">
        <v>123</v>
      </c>
      <c r="H1545" s="5">
        <v>4.7740885518454386E-4</v>
      </c>
      <c r="I1545">
        <v>4</v>
      </c>
      <c r="J1545" t="b">
        <f>AND(CCData[[#This Row],[Date]]&gt;=Calculation!$E$3,CCData[[#This Row],[Date]]&lt;Calculation!$E$3+7)</f>
        <v>0</v>
      </c>
    </row>
    <row r="1546" spans="1:10">
      <c r="A1546" t="s">
        <v>1545</v>
      </c>
      <c r="B1546" s="2">
        <v>42032.542000000001</v>
      </c>
      <c r="C1546" s="3" t="s">
        <v>5007</v>
      </c>
      <c r="D1546" t="s">
        <v>5012</v>
      </c>
      <c r="E1546" t="s">
        <v>5019</v>
      </c>
      <c r="F1546" t="s">
        <v>5019</v>
      </c>
      <c r="G1546" t="s">
        <v>5022</v>
      </c>
      <c r="H1546" s="5" t="s">
        <v>5022</v>
      </c>
      <c r="I1546" t="s">
        <v>5022</v>
      </c>
      <c r="J1546" t="b">
        <f>AND(CCData[[#This Row],[Date]]&gt;=Calculation!$E$3,CCData[[#This Row],[Date]]&lt;Calculation!$E$3+7)</f>
        <v>0</v>
      </c>
    </row>
    <row r="1547" spans="1:10">
      <c r="A1547" t="s">
        <v>1546</v>
      </c>
      <c r="B1547" s="2">
        <v>42032.542000000001</v>
      </c>
      <c r="C1547" s="3" t="s">
        <v>5010</v>
      </c>
      <c r="D1547" t="s">
        <v>5016</v>
      </c>
      <c r="E1547" t="s">
        <v>5018</v>
      </c>
      <c r="F1547" t="s">
        <v>5018</v>
      </c>
      <c r="G1547">
        <v>101</v>
      </c>
      <c r="H1547" s="5">
        <v>3.7292034653473205E-3</v>
      </c>
      <c r="I1547">
        <v>4</v>
      </c>
      <c r="J1547" t="b">
        <f>AND(CCData[[#This Row],[Date]]&gt;=Calculation!$E$3,CCData[[#This Row],[Date]]&lt;Calculation!$E$3+7)</f>
        <v>0</v>
      </c>
    </row>
    <row r="1548" spans="1:10">
      <c r="A1548" t="s">
        <v>1547</v>
      </c>
      <c r="B1548" s="2">
        <v>42032.553999999996</v>
      </c>
      <c r="C1548" s="3" t="s">
        <v>5008</v>
      </c>
      <c r="D1548" t="s">
        <v>5015</v>
      </c>
      <c r="E1548" t="s">
        <v>5018</v>
      </c>
      <c r="F1548" t="s">
        <v>5018</v>
      </c>
      <c r="G1548">
        <v>44</v>
      </c>
      <c r="H1548" s="5">
        <v>1.4930189327358756E-3</v>
      </c>
      <c r="I1548">
        <v>5</v>
      </c>
      <c r="J1548" t="b">
        <f>AND(CCData[[#This Row],[Date]]&gt;=Calculation!$E$3,CCData[[#This Row],[Date]]&lt;Calculation!$E$3+7)</f>
        <v>0</v>
      </c>
    </row>
    <row r="1549" spans="1:10">
      <c r="A1549" t="s">
        <v>1548</v>
      </c>
      <c r="B1549" s="2">
        <v>42032.553999999996</v>
      </c>
      <c r="C1549" s="3" t="s">
        <v>5005</v>
      </c>
      <c r="D1549" t="s">
        <v>5016</v>
      </c>
      <c r="E1549" t="s">
        <v>5018</v>
      </c>
      <c r="F1549" t="s">
        <v>5018</v>
      </c>
      <c r="G1549">
        <v>10</v>
      </c>
      <c r="H1549" s="5">
        <v>1.2831218343390711E-3</v>
      </c>
      <c r="I1549">
        <v>3</v>
      </c>
      <c r="J1549" t="b">
        <f>AND(CCData[[#This Row],[Date]]&gt;=Calculation!$E$3,CCData[[#This Row],[Date]]&lt;Calculation!$E$3+7)</f>
        <v>0</v>
      </c>
    </row>
    <row r="1550" spans="1:10">
      <c r="A1550" t="s">
        <v>1549</v>
      </c>
      <c r="B1550" s="2">
        <v>42032.555</v>
      </c>
      <c r="C1550" s="3" t="s">
        <v>5003</v>
      </c>
      <c r="D1550" t="s">
        <v>5016</v>
      </c>
      <c r="E1550" t="s">
        <v>5018</v>
      </c>
      <c r="F1550" t="s">
        <v>5018</v>
      </c>
      <c r="G1550">
        <v>45</v>
      </c>
      <c r="H1550" s="5">
        <v>2.3824522625836148E-3</v>
      </c>
      <c r="I1550">
        <v>1</v>
      </c>
      <c r="J1550" t="b">
        <f>AND(CCData[[#This Row],[Date]]&gt;=Calculation!$E$3,CCData[[#This Row],[Date]]&lt;Calculation!$E$3+7)</f>
        <v>0</v>
      </c>
    </row>
    <row r="1551" spans="1:10">
      <c r="A1551" t="s">
        <v>1550</v>
      </c>
      <c r="B1551" s="2">
        <v>42032.555</v>
      </c>
      <c r="C1551" s="3" t="s">
        <v>5005</v>
      </c>
      <c r="D1551" t="s">
        <v>5013</v>
      </c>
      <c r="E1551" t="s">
        <v>5018</v>
      </c>
      <c r="F1551" t="s">
        <v>5018</v>
      </c>
      <c r="G1551">
        <v>24</v>
      </c>
      <c r="H1551" s="5">
        <v>1.5745833996715641E-3</v>
      </c>
      <c r="I1551">
        <v>4</v>
      </c>
      <c r="J1551" t="b">
        <f>AND(CCData[[#This Row],[Date]]&gt;=Calculation!$E$3,CCData[[#This Row],[Date]]&lt;Calculation!$E$3+7)</f>
        <v>0</v>
      </c>
    </row>
    <row r="1552" spans="1:10">
      <c r="A1552" t="s">
        <v>1551</v>
      </c>
      <c r="B1552" s="2">
        <v>42032.595999999998</v>
      </c>
      <c r="C1552" s="3" t="s">
        <v>5008</v>
      </c>
      <c r="D1552" t="s">
        <v>5014</v>
      </c>
      <c r="E1552" t="s">
        <v>5018</v>
      </c>
      <c r="F1552" t="s">
        <v>5018</v>
      </c>
      <c r="G1552">
        <v>70</v>
      </c>
      <c r="H1552" s="5">
        <v>4.0836369930544137E-3</v>
      </c>
      <c r="I1552">
        <v>1</v>
      </c>
      <c r="J1552" t="b">
        <f>AND(CCData[[#This Row],[Date]]&gt;=Calculation!$E$3,CCData[[#This Row],[Date]]&lt;Calculation!$E$3+7)</f>
        <v>0</v>
      </c>
    </row>
    <row r="1553" spans="1:10">
      <c r="A1553" t="s">
        <v>1552</v>
      </c>
      <c r="B1553" s="2">
        <v>42032.595999999998</v>
      </c>
      <c r="C1553" s="3" t="s">
        <v>5009</v>
      </c>
      <c r="D1553" t="s">
        <v>5016</v>
      </c>
      <c r="E1553" t="s">
        <v>5018</v>
      </c>
      <c r="F1553" t="s">
        <v>5018</v>
      </c>
      <c r="G1553">
        <v>101</v>
      </c>
      <c r="H1553" s="5">
        <v>4.0700391580232413E-3</v>
      </c>
      <c r="I1553">
        <v>5</v>
      </c>
      <c r="J1553" t="b">
        <f>AND(CCData[[#This Row],[Date]]&gt;=Calculation!$E$3,CCData[[#This Row],[Date]]&lt;Calculation!$E$3+7)</f>
        <v>0</v>
      </c>
    </row>
    <row r="1554" spans="1:10">
      <c r="A1554" t="s">
        <v>1553</v>
      </c>
      <c r="B1554" s="2">
        <v>42032.597000000002</v>
      </c>
      <c r="C1554" s="3" t="s">
        <v>5010</v>
      </c>
      <c r="D1554" t="s">
        <v>5016</v>
      </c>
      <c r="E1554" t="s">
        <v>5018</v>
      </c>
      <c r="F1554" t="s">
        <v>5018</v>
      </c>
      <c r="G1554">
        <v>23</v>
      </c>
      <c r="H1554" s="5">
        <v>2.2658506541556826E-3</v>
      </c>
      <c r="I1554">
        <v>3</v>
      </c>
      <c r="J1554" t="b">
        <f>AND(CCData[[#This Row],[Date]]&gt;=Calculation!$E$3,CCData[[#This Row],[Date]]&lt;Calculation!$E$3+7)</f>
        <v>0</v>
      </c>
    </row>
    <row r="1555" spans="1:10">
      <c r="A1555" t="s">
        <v>1554</v>
      </c>
      <c r="B1555" s="2">
        <v>42032.597000000002</v>
      </c>
      <c r="C1555" s="3" t="s">
        <v>5008</v>
      </c>
      <c r="D1555" t="s">
        <v>5012</v>
      </c>
      <c r="E1555" t="s">
        <v>5018</v>
      </c>
      <c r="F1555" t="s">
        <v>5019</v>
      </c>
      <c r="G1555">
        <v>86</v>
      </c>
      <c r="H1555" s="5">
        <v>2.6789789585380161E-3</v>
      </c>
      <c r="I1555">
        <v>3</v>
      </c>
      <c r="J1555" t="b">
        <f>AND(CCData[[#This Row],[Date]]&gt;=Calculation!$E$3,CCData[[#This Row],[Date]]&lt;Calculation!$E$3+7)</f>
        <v>0</v>
      </c>
    </row>
    <row r="1556" spans="1:10">
      <c r="A1556" t="s">
        <v>1555</v>
      </c>
      <c r="B1556" s="2">
        <v>42032.606</v>
      </c>
      <c r="C1556" s="3" t="s">
        <v>5010</v>
      </c>
      <c r="D1556" t="s">
        <v>5015</v>
      </c>
      <c r="E1556" t="s">
        <v>5018</v>
      </c>
      <c r="F1556" t="s">
        <v>5018</v>
      </c>
      <c r="G1556">
        <v>25</v>
      </c>
      <c r="H1556" s="5">
        <v>1.5638767187119581E-3</v>
      </c>
      <c r="I1556">
        <v>2</v>
      </c>
      <c r="J1556" t="b">
        <f>AND(CCData[[#This Row],[Date]]&gt;=Calculation!$E$3,CCData[[#This Row],[Date]]&lt;Calculation!$E$3+7)</f>
        <v>0</v>
      </c>
    </row>
    <row r="1557" spans="1:10">
      <c r="A1557" t="s">
        <v>1556</v>
      </c>
      <c r="B1557" s="2">
        <v>42032.606</v>
      </c>
      <c r="C1557" s="3" t="s">
        <v>5007</v>
      </c>
      <c r="D1557" t="s">
        <v>5015</v>
      </c>
      <c r="E1557" t="s">
        <v>5018</v>
      </c>
      <c r="F1557" t="s">
        <v>5018</v>
      </c>
      <c r="G1557">
        <v>46</v>
      </c>
      <c r="H1557" s="5">
        <v>2.0463191182726478E-3</v>
      </c>
      <c r="I1557">
        <v>4</v>
      </c>
      <c r="J1557" t="b">
        <f>AND(CCData[[#This Row],[Date]]&gt;=Calculation!$E$3,CCData[[#This Row],[Date]]&lt;Calculation!$E$3+7)</f>
        <v>0</v>
      </c>
    </row>
    <row r="1558" spans="1:10">
      <c r="A1558" t="s">
        <v>1557</v>
      </c>
      <c r="B1558" s="2">
        <v>42032.623</v>
      </c>
      <c r="C1558" s="3" t="s">
        <v>5003</v>
      </c>
      <c r="D1558" t="s">
        <v>5016</v>
      </c>
      <c r="E1558" t="s">
        <v>5018</v>
      </c>
      <c r="F1558" t="s">
        <v>5018</v>
      </c>
      <c r="G1558">
        <v>45</v>
      </c>
      <c r="H1558" s="5">
        <v>2.6801196663566321E-3</v>
      </c>
      <c r="I1558">
        <v>4</v>
      </c>
      <c r="J1558" t="b">
        <f>AND(CCData[[#This Row],[Date]]&gt;=Calculation!$E$3,CCData[[#This Row],[Date]]&lt;Calculation!$E$3+7)</f>
        <v>0</v>
      </c>
    </row>
    <row r="1559" spans="1:10">
      <c r="A1559" t="s">
        <v>1558</v>
      </c>
      <c r="B1559" s="2">
        <v>42032.623</v>
      </c>
      <c r="C1559" s="3" t="s">
        <v>5004</v>
      </c>
      <c r="D1559" t="s">
        <v>5013</v>
      </c>
      <c r="E1559" t="s">
        <v>5019</v>
      </c>
      <c r="F1559" t="s">
        <v>5019</v>
      </c>
      <c r="G1559" t="s">
        <v>5022</v>
      </c>
      <c r="H1559" s="5" t="s">
        <v>5022</v>
      </c>
      <c r="I1559" t="s">
        <v>5022</v>
      </c>
      <c r="J1559" t="b">
        <f>AND(CCData[[#This Row],[Date]]&gt;=Calculation!$E$3,CCData[[#This Row],[Date]]&lt;Calculation!$E$3+7)</f>
        <v>0</v>
      </c>
    </row>
    <row r="1560" spans="1:10">
      <c r="A1560" t="s">
        <v>1559</v>
      </c>
      <c r="B1560" s="2">
        <v>42032.661999999997</v>
      </c>
      <c r="C1560" s="3" t="s">
        <v>5006</v>
      </c>
      <c r="D1560" t="s">
        <v>5013</v>
      </c>
      <c r="E1560" t="s">
        <v>5018</v>
      </c>
      <c r="F1560" t="s">
        <v>5018</v>
      </c>
      <c r="G1560">
        <v>93</v>
      </c>
      <c r="H1560" s="5">
        <v>4.5199073343552701E-3</v>
      </c>
      <c r="I1560">
        <v>3</v>
      </c>
      <c r="J1560" t="b">
        <f>AND(CCData[[#This Row],[Date]]&gt;=Calculation!$E$3,CCData[[#This Row],[Date]]&lt;Calculation!$E$3+7)</f>
        <v>0</v>
      </c>
    </row>
    <row r="1561" spans="1:10">
      <c r="A1561" t="s">
        <v>1560</v>
      </c>
      <c r="B1561" s="2">
        <v>42032.661999999997</v>
      </c>
      <c r="C1561" s="3" t="s">
        <v>5008</v>
      </c>
      <c r="D1561" t="s">
        <v>5014</v>
      </c>
      <c r="E1561" t="s">
        <v>5018</v>
      </c>
      <c r="F1561" t="s">
        <v>5018</v>
      </c>
      <c r="G1561">
        <v>61</v>
      </c>
      <c r="H1561" s="5">
        <v>1.4033460865665759E-3</v>
      </c>
      <c r="I1561">
        <v>1</v>
      </c>
      <c r="J1561" t="b">
        <f>AND(CCData[[#This Row],[Date]]&gt;=Calculation!$E$3,CCData[[#This Row],[Date]]&lt;Calculation!$E$3+7)</f>
        <v>0</v>
      </c>
    </row>
    <row r="1562" spans="1:10">
      <c r="A1562" t="s">
        <v>1561</v>
      </c>
      <c r="B1562" s="2">
        <v>42032.675999999999</v>
      </c>
      <c r="C1562" s="3" t="s">
        <v>5003</v>
      </c>
      <c r="D1562" t="s">
        <v>5016</v>
      </c>
      <c r="E1562" t="s">
        <v>5019</v>
      </c>
      <c r="F1562" t="s">
        <v>5019</v>
      </c>
      <c r="G1562" t="s">
        <v>5022</v>
      </c>
      <c r="H1562" s="5" t="s">
        <v>5022</v>
      </c>
      <c r="I1562" t="s">
        <v>5022</v>
      </c>
      <c r="J1562" t="b">
        <f>AND(CCData[[#This Row],[Date]]&gt;=Calculation!$E$3,CCData[[#This Row],[Date]]&lt;Calculation!$E$3+7)</f>
        <v>0</v>
      </c>
    </row>
    <row r="1563" spans="1:10">
      <c r="A1563" t="s">
        <v>1562</v>
      </c>
      <c r="B1563" s="2">
        <v>42032.675999999999</v>
      </c>
      <c r="C1563" s="3" t="s">
        <v>5007</v>
      </c>
      <c r="D1563" t="s">
        <v>5016</v>
      </c>
      <c r="E1563" t="s">
        <v>5018</v>
      </c>
      <c r="F1563" t="s">
        <v>5018</v>
      </c>
      <c r="G1563">
        <v>66</v>
      </c>
      <c r="H1563" s="5">
        <v>1.804131011619081E-3</v>
      </c>
      <c r="I1563">
        <v>3</v>
      </c>
      <c r="J1563" t="b">
        <f>AND(CCData[[#This Row],[Date]]&gt;=Calculation!$E$3,CCData[[#This Row],[Date]]&lt;Calculation!$E$3+7)</f>
        <v>0</v>
      </c>
    </row>
    <row r="1564" spans="1:10">
      <c r="A1564" t="s">
        <v>1563</v>
      </c>
      <c r="B1564" s="2">
        <v>42032.68</v>
      </c>
      <c r="C1564" s="3" t="s">
        <v>5006</v>
      </c>
      <c r="D1564" t="s">
        <v>5012</v>
      </c>
      <c r="E1564" t="s">
        <v>5018</v>
      </c>
      <c r="F1564" t="s">
        <v>5018</v>
      </c>
      <c r="G1564">
        <v>29</v>
      </c>
      <c r="H1564" s="5">
        <v>3.1812274789959918E-3</v>
      </c>
      <c r="I1564">
        <v>3</v>
      </c>
      <c r="J1564" t="b">
        <f>AND(CCData[[#This Row],[Date]]&gt;=Calculation!$E$3,CCData[[#This Row],[Date]]&lt;Calculation!$E$3+7)</f>
        <v>0</v>
      </c>
    </row>
    <row r="1565" spans="1:10">
      <c r="A1565" t="s">
        <v>1564</v>
      </c>
      <c r="B1565" s="2">
        <v>42032.68</v>
      </c>
      <c r="C1565" s="3" t="s">
        <v>5006</v>
      </c>
      <c r="D1565" t="s">
        <v>5015</v>
      </c>
      <c r="E1565" t="s">
        <v>5018</v>
      </c>
      <c r="F1565" t="s">
        <v>5018</v>
      </c>
      <c r="G1565">
        <v>67</v>
      </c>
      <c r="H1565" s="5">
        <v>4.6582617635973766E-3</v>
      </c>
      <c r="I1565">
        <v>2</v>
      </c>
      <c r="J1565" t="b">
        <f>AND(CCData[[#This Row],[Date]]&gt;=Calculation!$E$3,CCData[[#This Row],[Date]]&lt;Calculation!$E$3+7)</f>
        <v>0</v>
      </c>
    </row>
    <row r="1566" spans="1:10">
      <c r="A1566" t="s">
        <v>1565</v>
      </c>
      <c r="B1566" s="2">
        <v>42032.695</v>
      </c>
      <c r="C1566" s="3" t="s">
        <v>5010</v>
      </c>
      <c r="D1566" t="s">
        <v>5012</v>
      </c>
      <c r="E1566" t="s">
        <v>5018</v>
      </c>
      <c r="F1566" t="s">
        <v>5018</v>
      </c>
      <c r="G1566">
        <v>94</v>
      </c>
      <c r="H1566" s="5">
        <v>1.1888040706487788E-3</v>
      </c>
      <c r="I1566">
        <v>4</v>
      </c>
      <c r="J1566" t="b">
        <f>AND(CCData[[#This Row],[Date]]&gt;=Calculation!$E$3,CCData[[#This Row],[Date]]&lt;Calculation!$E$3+7)</f>
        <v>0</v>
      </c>
    </row>
    <row r="1567" spans="1:10">
      <c r="A1567" t="s">
        <v>1566</v>
      </c>
      <c r="B1567" s="2">
        <v>42032.695</v>
      </c>
      <c r="C1567" s="3" t="s">
        <v>5008</v>
      </c>
      <c r="D1567" t="s">
        <v>5016</v>
      </c>
      <c r="E1567" t="s">
        <v>5018</v>
      </c>
      <c r="F1567" t="s">
        <v>5019</v>
      </c>
      <c r="G1567">
        <v>80</v>
      </c>
      <c r="H1567" s="5">
        <v>3.4778763521033031E-3</v>
      </c>
      <c r="I1567">
        <v>4</v>
      </c>
      <c r="J1567" t="b">
        <f>AND(CCData[[#This Row],[Date]]&gt;=Calculation!$E$3,CCData[[#This Row],[Date]]&lt;Calculation!$E$3+7)</f>
        <v>0</v>
      </c>
    </row>
    <row r="1568" spans="1:10">
      <c r="A1568" t="s">
        <v>1567</v>
      </c>
      <c r="B1568" s="2">
        <v>42032.711000000003</v>
      </c>
      <c r="C1568" s="3" t="s">
        <v>5010</v>
      </c>
      <c r="D1568" t="s">
        <v>5014</v>
      </c>
      <c r="E1568" t="s">
        <v>5018</v>
      </c>
      <c r="F1568" t="s">
        <v>5018</v>
      </c>
      <c r="G1568">
        <v>27</v>
      </c>
      <c r="H1568" s="5">
        <v>2.269159448179796E-3</v>
      </c>
      <c r="I1568">
        <v>4</v>
      </c>
      <c r="J1568" t="b">
        <f>AND(CCData[[#This Row],[Date]]&gt;=Calculation!$E$3,CCData[[#This Row],[Date]]&lt;Calculation!$E$3+7)</f>
        <v>0</v>
      </c>
    </row>
    <row r="1569" spans="1:10">
      <c r="A1569" t="s">
        <v>1568</v>
      </c>
      <c r="B1569" s="2">
        <v>42032.711000000003</v>
      </c>
      <c r="C1569" s="3" t="s">
        <v>5010</v>
      </c>
      <c r="D1569" t="s">
        <v>5016</v>
      </c>
      <c r="E1569" t="s">
        <v>5018</v>
      </c>
      <c r="F1569" t="s">
        <v>5018</v>
      </c>
      <c r="G1569">
        <v>41</v>
      </c>
      <c r="H1569" s="5">
        <v>2.2809318283899451E-3</v>
      </c>
      <c r="I1569">
        <v>4</v>
      </c>
      <c r="J1569" t="b">
        <f>AND(CCData[[#This Row],[Date]]&gt;=Calculation!$E$3,CCData[[#This Row],[Date]]&lt;Calculation!$E$3+7)</f>
        <v>0</v>
      </c>
    </row>
    <row r="1570" spans="1:10">
      <c r="A1570" t="s">
        <v>1569</v>
      </c>
      <c r="B1570" s="2">
        <v>42032.72</v>
      </c>
      <c r="C1570" s="3" t="s">
        <v>5009</v>
      </c>
      <c r="D1570" t="s">
        <v>5013</v>
      </c>
      <c r="E1570" t="s">
        <v>5018</v>
      </c>
      <c r="F1570" t="s">
        <v>5018</v>
      </c>
      <c r="G1570">
        <v>84</v>
      </c>
      <c r="H1570" s="5">
        <v>2.9704095752948328E-3</v>
      </c>
      <c r="I1570">
        <v>4</v>
      </c>
      <c r="J1570" t="b">
        <f>AND(CCData[[#This Row],[Date]]&gt;=Calculation!$E$3,CCData[[#This Row],[Date]]&lt;Calculation!$E$3+7)</f>
        <v>0</v>
      </c>
    </row>
    <row r="1571" spans="1:10">
      <c r="A1571" t="s">
        <v>1570</v>
      </c>
      <c r="B1571" s="2">
        <v>42032.72</v>
      </c>
      <c r="C1571" s="3" t="s">
        <v>5006</v>
      </c>
      <c r="D1571" t="s">
        <v>5012</v>
      </c>
      <c r="E1571" t="s">
        <v>5018</v>
      </c>
      <c r="F1571" t="s">
        <v>5018</v>
      </c>
      <c r="G1571">
        <v>121</v>
      </c>
      <c r="H1571" s="5">
        <v>1.3557098053048001E-3</v>
      </c>
      <c r="I1571">
        <v>4</v>
      </c>
      <c r="J1571" t="b">
        <f>AND(CCData[[#This Row],[Date]]&gt;=Calculation!$E$3,CCData[[#This Row],[Date]]&lt;Calculation!$E$3+7)</f>
        <v>0</v>
      </c>
    </row>
    <row r="1572" spans="1:10">
      <c r="A1572" t="s">
        <v>1571</v>
      </c>
      <c r="B1572" s="2">
        <v>42032.745000000003</v>
      </c>
      <c r="C1572" s="3" t="s">
        <v>5003</v>
      </c>
      <c r="D1572" t="s">
        <v>5014</v>
      </c>
      <c r="E1572" t="s">
        <v>5018</v>
      </c>
      <c r="F1572" t="s">
        <v>5018</v>
      </c>
      <c r="G1572">
        <v>61</v>
      </c>
      <c r="H1572" s="5">
        <v>4.9878698734344862E-4</v>
      </c>
      <c r="I1572">
        <v>1</v>
      </c>
      <c r="J1572" t="b">
        <f>AND(CCData[[#This Row],[Date]]&gt;=Calculation!$E$3,CCData[[#This Row],[Date]]&lt;Calculation!$E$3+7)</f>
        <v>0</v>
      </c>
    </row>
    <row r="1573" spans="1:10">
      <c r="A1573" t="s">
        <v>1572</v>
      </c>
      <c r="B1573" s="2">
        <v>42032.745000000003</v>
      </c>
      <c r="C1573" s="3" t="s">
        <v>5009</v>
      </c>
      <c r="D1573" t="s">
        <v>5015</v>
      </c>
      <c r="E1573" t="s">
        <v>5019</v>
      </c>
      <c r="F1573" t="s">
        <v>5019</v>
      </c>
      <c r="G1573" t="s">
        <v>5022</v>
      </c>
      <c r="H1573" s="5" t="s">
        <v>5022</v>
      </c>
      <c r="I1573" t="s">
        <v>5022</v>
      </c>
      <c r="J1573" t="b">
        <f>AND(CCData[[#This Row],[Date]]&gt;=Calculation!$E$3,CCData[[#This Row],[Date]]&lt;Calculation!$E$3+7)</f>
        <v>0</v>
      </c>
    </row>
    <row r="1574" spans="1:10">
      <c r="A1574" t="s">
        <v>1573</v>
      </c>
      <c r="B1574" s="2">
        <v>42032.75</v>
      </c>
      <c r="C1574" s="3" t="s">
        <v>5003</v>
      </c>
      <c r="D1574" t="s">
        <v>5014</v>
      </c>
      <c r="E1574" t="s">
        <v>5018</v>
      </c>
      <c r="F1574" t="s">
        <v>5018</v>
      </c>
      <c r="G1574">
        <v>54</v>
      </c>
      <c r="H1574" s="5">
        <v>4.2892783453262464E-3</v>
      </c>
      <c r="I1574">
        <v>2</v>
      </c>
      <c r="J1574" t="b">
        <f>AND(CCData[[#This Row],[Date]]&gt;=Calculation!$E$3,CCData[[#This Row],[Date]]&lt;Calculation!$E$3+7)</f>
        <v>0</v>
      </c>
    </row>
    <row r="1575" spans="1:10">
      <c r="A1575" t="s">
        <v>1574</v>
      </c>
      <c r="B1575" s="2">
        <v>42032.75</v>
      </c>
      <c r="C1575" s="3" t="s">
        <v>5005</v>
      </c>
      <c r="D1575" t="s">
        <v>5016</v>
      </c>
      <c r="E1575" t="s">
        <v>5018</v>
      </c>
      <c r="F1575" t="s">
        <v>5018</v>
      </c>
      <c r="G1575">
        <v>82</v>
      </c>
      <c r="H1575" s="5">
        <v>4.0022715083259681E-3</v>
      </c>
      <c r="I1575">
        <v>5</v>
      </c>
      <c r="J1575" t="b">
        <f>AND(CCData[[#This Row],[Date]]&gt;=Calculation!$E$3,CCData[[#This Row],[Date]]&lt;Calculation!$E$3+7)</f>
        <v>0</v>
      </c>
    </row>
    <row r="1576" spans="1:10">
      <c r="A1576" t="s">
        <v>1575</v>
      </c>
      <c r="B1576" s="2">
        <v>42033.377</v>
      </c>
      <c r="C1576" s="3" t="s">
        <v>5006</v>
      </c>
      <c r="D1576" t="s">
        <v>5015</v>
      </c>
      <c r="E1576" t="s">
        <v>5018</v>
      </c>
      <c r="F1576" t="s">
        <v>5018</v>
      </c>
      <c r="G1576">
        <v>55</v>
      </c>
      <c r="H1576" s="5">
        <v>2.1784167919474905E-3</v>
      </c>
      <c r="I1576">
        <v>4</v>
      </c>
      <c r="J1576" t="b">
        <f>AND(CCData[[#This Row],[Date]]&gt;=Calculation!$E$3,CCData[[#This Row],[Date]]&lt;Calculation!$E$3+7)</f>
        <v>0</v>
      </c>
    </row>
    <row r="1577" spans="1:10">
      <c r="A1577" t="s">
        <v>1576</v>
      </c>
      <c r="B1577" s="2">
        <v>42033.377</v>
      </c>
      <c r="C1577" s="3" t="s">
        <v>5007</v>
      </c>
      <c r="D1577" t="s">
        <v>5015</v>
      </c>
      <c r="E1577" t="s">
        <v>5019</v>
      </c>
      <c r="F1577" t="s">
        <v>5019</v>
      </c>
      <c r="G1577" t="s">
        <v>5022</v>
      </c>
      <c r="H1577" s="5" t="s">
        <v>5022</v>
      </c>
      <c r="I1577" t="s">
        <v>5022</v>
      </c>
      <c r="J1577" t="b">
        <f>AND(CCData[[#This Row],[Date]]&gt;=Calculation!$E$3,CCData[[#This Row],[Date]]&lt;Calculation!$E$3+7)</f>
        <v>0</v>
      </c>
    </row>
    <row r="1578" spans="1:10">
      <c r="A1578" t="s">
        <v>1577</v>
      </c>
      <c r="B1578" s="2">
        <v>42033.381000000001</v>
      </c>
      <c r="C1578" s="3" t="s">
        <v>5010</v>
      </c>
      <c r="D1578" t="s">
        <v>5014</v>
      </c>
      <c r="E1578" t="s">
        <v>5018</v>
      </c>
      <c r="F1578" t="s">
        <v>5018</v>
      </c>
      <c r="G1578">
        <v>87</v>
      </c>
      <c r="H1578" s="5">
        <v>7.9297088872826995E-4</v>
      </c>
      <c r="I1578">
        <v>5</v>
      </c>
      <c r="J1578" t="b">
        <f>AND(CCData[[#This Row],[Date]]&gt;=Calculation!$E$3,CCData[[#This Row],[Date]]&lt;Calculation!$E$3+7)</f>
        <v>0</v>
      </c>
    </row>
    <row r="1579" spans="1:10">
      <c r="A1579" t="s">
        <v>1578</v>
      </c>
      <c r="B1579" s="2">
        <v>42033.381000000001</v>
      </c>
      <c r="C1579" s="3" t="s">
        <v>5006</v>
      </c>
      <c r="D1579" t="s">
        <v>5014</v>
      </c>
      <c r="E1579" t="s">
        <v>5019</v>
      </c>
      <c r="F1579" t="s">
        <v>5019</v>
      </c>
      <c r="G1579" t="s">
        <v>5022</v>
      </c>
      <c r="H1579" s="5" t="s">
        <v>5022</v>
      </c>
      <c r="I1579" t="s">
        <v>5022</v>
      </c>
      <c r="J1579" t="b">
        <f>AND(CCData[[#This Row],[Date]]&gt;=Calculation!$E$3,CCData[[#This Row],[Date]]&lt;Calculation!$E$3+7)</f>
        <v>0</v>
      </c>
    </row>
    <row r="1580" spans="1:10">
      <c r="A1580" t="s">
        <v>1579</v>
      </c>
      <c r="B1580" s="2">
        <v>42033.389000000003</v>
      </c>
      <c r="C1580" s="3" t="s">
        <v>5006</v>
      </c>
      <c r="D1580" t="s">
        <v>5015</v>
      </c>
      <c r="E1580" t="s">
        <v>5018</v>
      </c>
      <c r="F1580" t="s">
        <v>5018</v>
      </c>
      <c r="G1580">
        <v>22</v>
      </c>
      <c r="H1580" s="5">
        <v>3.4369990592557332E-3</v>
      </c>
      <c r="I1580">
        <v>3</v>
      </c>
      <c r="J1580" t="b">
        <f>AND(CCData[[#This Row],[Date]]&gt;=Calculation!$E$3,CCData[[#This Row],[Date]]&lt;Calculation!$E$3+7)</f>
        <v>0</v>
      </c>
    </row>
    <row r="1581" spans="1:10">
      <c r="A1581" t="s">
        <v>1580</v>
      </c>
      <c r="B1581" s="2">
        <v>42033.389000000003</v>
      </c>
      <c r="C1581" s="3" t="s">
        <v>5005</v>
      </c>
      <c r="D1581" t="s">
        <v>5014</v>
      </c>
      <c r="E1581" t="s">
        <v>5019</v>
      </c>
      <c r="F1581" t="s">
        <v>5019</v>
      </c>
      <c r="G1581" t="s">
        <v>5022</v>
      </c>
      <c r="H1581" s="5" t="s">
        <v>5022</v>
      </c>
      <c r="I1581" t="s">
        <v>5022</v>
      </c>
      <c r="J1581" t="b">
        <f>AND(CCData[[#This Row],[Date]]&gt;=Calculation!$E$3,CCData[[#This Row],[Date]]&lt;Calculation!$E$3+7)</f>
        <v>0</v>
      </c>
    </row>
    <row r="1582" spans="1:10">
      <c r="A1582" t="s">
        <v>1581</v>
      </c>
      <c r="B1582" s="2">
        <v>42033.415000000001</v>
      </c>
      <c r="C1582" s="3" t="s">
        <v>5010</v>
      </c>
      <c r="D1582" t="s">
        <v>5016</v>
      </c>
      <c r="E1582" t="s">
        <v>5018</v>
      </c>
      <c r="F1582" t="s">
        <v>5018</v>
      </c>
      <c r="G1582">
        <v>95</v>
      </c>
      <c r="H1582" s="5">
        <v>1.2258587186295886E-3</v>
      </c>
      <c r="I1582">
        <v>5</v>
      </c>
      <c r="J1582" t="b">
        <f>AND(CCData[[#This Row],[Date]]&gt;=Calculation!$E$3,CCData[[#This Row],[Date]]&lt;Calculation!$E$3+7)</f>
        <v>0</v>
      </c>
    </row>
    <row r="1583" spans="1:10">
      <c r="A1583" t="s">
        <v>1582</v>
      </c>
      <c r="B1583" s="2">
        <v>42033.415000000001</v>
      </c>
      <c r="C1583" s="3" t="s">
        <v>5010</v>
      </c>
      <c r="D1583" t="s">
        <v>5013</v>
      </c>
      <c r="E1583" t="s">
        <v>5018</v>
      </c>
      <c r="F1583" t="s">
        <v>5018</v>
      </c>
      <c r="G1583">
        <v>23</v>
      </c>
      <c r="H1583" s="5">
        <v>4.3441336682027267E-3</v>
      </c>
      <c r="I1583">
        <v>4</v>
      </c>
      <c r="J1583" t="b">
        <f>AND(CCData[[#This Row],[Date]]&gt;=Calculation!$E$3,CCData[[#This Row],[Date]]&lt;Calculation!$E$3+7)</f>
        <v>0</v>
      </c>
    </row>
    <row r="1584" spans="1:10">
      <c r="A1584" t="s">
        <v>1583</v>
      </c>
      <c r="B1584" s="2">
        <v>42033.430999999997</v>
      </c>
      <c r="C1584" s="3" t="s">
        <v>5006</v>
      </c>
      <c r="D1584" t="s">
        <v>5015</v>
      </c>
      <c r="E1584" t="s">
        <v>5018</v>
      </c>
      <c r="F1584" t="s">
        <v>5018</v>
      </c>
      <c r="G1584">
        <v>43</v>
      </c>
      <c r="H1584" s="5">
        <v>1.4493053000426048E-3</v>
      </c>
      <c r="I1584">
        <v>4</v>
      </c>
      <c r="J1584" t="b">
        <f>AND(CCData[[#This Row],[Date]]&gt;=Calculation!$E$3,CCData[[#This Row],[Date]]&lt;Calculation!$E$3+7)</f>
        <v>0</v>
      </c>
    </row>
    <row r="1585" spans="1:10">
      <c r="A1585" t="s">
        <v>1584</v>
      </c>
      <c r="B1585" s="2">
        <v>42033.430999999997</v>
      </c>
      <c r="C1585" s="3" t="s">
        <v>5004</v>
      </c>
      <c r="D1585" t="s">
        <v>5014</v>
      </c>
      <c r="E1585" t="s">
        <v>5019</v>
      </c>
      <c r="F1585" t="s">
        <v>5019</v>
      </c>
      <c r="G1585" t="s">
        <v>5022</v>
      </c>
      <c r="H1585" s="5" t="s">
        <v>5022</v>
      </c>
      <c r="I1585" t="s">
        <v>5022</v>
      </c>
      <c r="J1585" t="b">
        <f>AND(CCData[[#This Row],[Date]]&gt;=Calculation!$E$3,CCData[[#This Row],[Date]]&lt;Calculation!$E$3+7)</f>
        <v>0</v>
      </c>
    </row>
    <row r="1586" spans="1:10">
      <c r="A1586" t="s">
        <v>1585</v>
      </c>
      <c r="B1586" s="2">
        <v>42033.436999999998</v>
      </c>
      <c r="C1586" s="3" t="s">
        <v>5008</v>
      </c>
      <c r="D1586" t="s">
        <v>5012</v>
      </c>
      <c r="E1586" t="s">
        <v>5018</v>
      </c>
      <c r="F1586" t="s">
        <v>5018</v>
      </c>
      <c r="G1586">
        <v>118</v>
      </c>
      <c r="H1586" s="5">
        <v>2.8155907820138402E-3</v>
      </c>
      <c r="I1586">
        <v>3</v>
      </c>
      <c r="J1586" t="b">
        <f>AND(CCData[[#This Row],[Date]]&gt;=Calculation!$E$3,CCData[[#This Row],[Date]]&lt;Calculation!$E$3+7)</f>
        <v>0</v>
      </c>
    </row>
    <row r="1587" spans="1:10">
      <c r="A1587" t="s">
        <v>1586</v>
      </c>
      <c r="B1587" s="2">
        <v>42033.436999999998</v>
      </c>
      <c r="C1587" s="3" t="s">
        <v>5007</v>
      </c>
      <c r="D1587" t="s">
        <v>5014</v>
      </c>
      <c r="E1587" t="s">
        <v>5018</v>
      </c>
      <c r="F1587" t="s">
        <v>5018</v>
      </c>
      <c r="G1587">
        <v>94</v>
      </c>
      <c r="H1587" s="5">
        <v>8.3435402392119005E-4</v>
      </c>
      <c r="I1587">
        <v>3</v>
      </c>
      <c r="J1587" t="b">
        <f>AND(CCData[[#This Row],[Date]]&gt;=Calculation!$E$3,CCData[[#This Row],[Date]]&lt;Calculation!$E$3+7)</f>
        <v>0</v>
      </c>
    </row>
    <row r="1588" spans="1:10">
      <c r="A1588" t="s">
        <v>1587</v>
      </c>
      <c r="B1588" s="2">
        <v>42033.451999999997</v>
      </c>
      <c r="C1588" s="3" t="s">
        <v>5003</v>
      </c>
      <c r="D1588" t="s">
        <v>5013</v>
      </c>
      <c r="E1588" t="s">
        <v>5018</v>
      </c>
      <c r="F1588" t="s">
        <v>5018</v>
      </c>
      <c r="G1588">
        <v>59</v>
      </c>
      <c r="H1588" s="5">
        <v>3.4129567323941332E-3</v>
      </c>
      <c r="I1588">
        <v>4</v>
      </c>
      <c r="J1588" t="b">
        <f>AND(CCData[[#This Row],[Date]]&gt;=Calculation!$E$3,CCData[[#This Row],[Date]]&lt;Calculation!$E$3+7)</f>
        <v>0</v>
      </c>
    </row>
    <row r="1589" spans="1:10">
      <c r="A1589" t="s">
        <v>1588</v>
      </c>
      <c r="B1589" s="2">
        <v>42033.451999999997</v>
      </c>
      <c r="C1589" s="3" t="s">
        <v>5007</v>
      </c>
      <c r="D1589" t="s">
        <v>5013</v>
      </c>
      <c r="E1589" t="s">
        <v>5019</v>
      </c>
      <c r="F1589" t="s">
        <v>5019</v>
      </c>
      <c r="G1589" t="s">
        <v>5022</v>
      </c>
      <c r="H1589" s="5" t="s">
        <v>5022</v>
      </c>
      <c r="I1589" t="s">
        <v>5022</v>
      </c>
      <c r="J1589" t="b">
        <f>AND(CCData[[#This Row],[Date]]&gt;=Calculation!$E$3,CCData[[#This Row],[Date]]&lt;Calculation!$E$3+7)</f>
        <v>0</v>
      </c>
    </row>
    <row r="1590" spans="1:10">
      <c r="A1590" t="s">
        <v>1589</v>
      </c>
      <c r="B1590" s="2">
        <v>42033.453000000001</v>
      </c>
      <c r="C1590" s="3" t="s">
        <v>5005</v>
      </c>
      <c r="D1590" t="s">
        <v>5015</v>
      </c>
      <c r="E1590" t="s">
        <v>5018</v>
      </c>
      <c r="F1590" t="s">
        <v>5018</v>
      </c>
      <c r="G1590">
        <v>92</v>
      </c>
      <c r="H1590" s="5">
        <v>2.2347021124162732E-3</v>
      </c>
      <c r="I1590">
        <v>5</v>
      </c>
      <c r="J1590" t="b">
        <f>AND(CCData[[#This Row],[Date]]&gt;=Calculation!$E$3,CCData[[#This Row],[Date]]&lt;Calculation!$E$3+7)</f>
        <v>0</v>
      </c>
    </row>
    <row r="1591" spans="1:10">
      <c r="A1591" t="s">
        <v>1590</v>
      </c>
      <c r="B1591" s="2">
        <v>42033.453000000001</v>
      </c>
      <c r="C1591" s="3" t="s">
        <v>5007</v>
      </c>
      <c r="D1591" t="s">
        <v>5013</v>
      </c>
      <c r="E1591" t="s">
        <v>5018</v>
      </c>
      <c r="F1591" t="s">
        <v>5018</v>
      </c>
      <c r="G1591">
        <v>51</v>
      </c>
      <c r="H1591" s="5">
        <v>1.8566358696194068E-3</v>
      </c>
      <c r="I1591">
        <v>2</v>
      </c>
      <c r="J1591" t="b">
        <f>AND(CCData[[#This Row],[Date]]&gt;=Calculation!$E$3,CCData[[#This Row],[Date]]&lt;Calculation!$E$3+7)</f>
        <v>0</v>
      </c>
    </row>
    <row r="1592" spans="1:10">
      <c r="A1592" t="s">
        <v>1591</v>
      </c>
      <c r="B1592" s="2">
        <v>42033.498</v>
      </c>
      <c r="C1592" s="3" t="s">
        <v>5003</v>
      </c>
      <c r="D1592" t="s">
        <v>5014</v>
      </c>
      <c r="E1592" t="s">
        <v>5019</v>
      </c>
      <c r="F1592" t="s">
        <v>5019</v>
      </c>
      <c r="G1592" t="s">
        <v>5022</v>
      </c>
      <c r="H1592" s="5" t="s">
        <v>5022</v>
      </c>
      <c r="I1592" t="s">
        <v>5022</v>
      </c>
      <c r="J1592" t="b">
        <f>AND(CCData[[#This Row],[Date]]&gt;=Calculation!$E$3,CCData[[#This Row],[Date]]&lt;Calculation!$E$3+7)</f>
        <v>0</v>
      </c>
    </row>
    <row r="1593" spans="1:10">
      <c r="A1593" t="s">
        <v>1592</v>
      </c>
      <c r="B1593" s="2">
        <v>42033.498</v>
      </c>
      <c r="C1593" s="3" t="s">
        <v>5006</v>
      </c>
      <c r="D1593" t="s">
        <v>5013</v>
      </c>
      <c r="E1593" t="s">
        <v>5018</v>
      </c>
      <c r="F1593" t="s">
        <v>5018</v>
      </c>
      <c r="G1593">
        <v>11</v>
      </c>
      <c r="H1593" s="5">
        <v>3.0410594493588002E-3</v>
      </c>
      <c r="I1593">
        <v>5</v>
      </c>
      <c r="J1593" t="b">
        <f>AND(CCData[[#This Row],[Date]]&gt;=Calculation!$E$3,CCData[[#This Row],[Date]]&lt;Calculation!$E$3+7)</f>
        <v>0</v>
      </c>
    </row>
    <row r="1594" spans="1:10">
      <c r="A1594" t="s">
        <v>1593</v>
      </c>
      <c r="B1594" s="2">
        <v>42033.531000000003</v>
      </c>
      <c r="C1594" s="3" t="s">
        <v>5008</v>
      </c>
      <c r="D1594" t="s">
        <v>5014</v>
      </c>
      <c r="E1594" t="s">
        <v>5018</v>
      </c>
      <c r="F1594" t="s">
        <v>5018</v>
      </c>
      <c r="G1594">
        <v>62</v>
      </c>
      <c r="H1594" s="5">
        <v>1.6342903623692794E-3</v>
      </c>
      <c r="I1594">
        <v>1</v>
      </c>
      <c r="J1594" t="b">
        <f>AND(CCData[[#This Row],[Date]]&gt;=Calculation!$E$3,CCData[[#This Row],[Date]]&lt;Calculation!$E$3+7)</f>
        <v>0</v>
      </c>
    </row>
    <row r="1595" spans="1:10">
      <c r="A1595" t="s">
        <v>1594</v>
      </c>
      <c r="B1595" s="2">
        <v>42033.531000000003</v>
      </c>
      <c r="C1595" s="3" t="s">
        <v>5008</v>
      </c>
      <c r="D1595" t="s">
        <v>5013</v>
      </c>
      <c r="E1595" t="s">
        <v>5018</v>
      </c>
      <c r="F1595" t="s">
        <v>5018</v>
      </c>
      <c r="G1595">
        <v>122</v>
      </c>
      <c r="H1595" s="5">
        <v>3.4463100399884021E-3</v>
      </c>
      <c r="I1595">
        <v>3</v>
      </c>
      <c r="J1595" t="b">
        <f>AND(CCData[[#This Row],[Date]]&gt;=Calculation!$E$3,CCData[[#This Row],[Date]]&lt;Calculation!$E$3+7)</f>
        <v>0</v>
      </c>
    </row>
    <row r="1596" spans="1:10">
      <c r="A1596" t="s">
        <v>1595</v>
      </c>
      <c r="B1596" s="2">
        <v>42033.531999999999</v>
      </c>
      <c r="C1596" s="3" t="s">
        <v>5010</v>
      </c>
      <c r="D1596" t="s">
        <v>5016</v>
      </c>
      <c r="E1596" t="s">
        <v>5018</v>
      </c>
      <c r="F1596" t="s">
        <v>5018</v>
      </c>
      <c r="G1596">
        <v>37</v>
      </c>
      <c r="H1596" s="5">
        <v>3.7336102267701075E-3</v>
      </c>
      <c r="I1596">
        <v>3</v>
      </c>
      <c r="J1596" t="b">
        <f>AND(CCData[[#This Row],[Date]]&gt;=Calculation!$E$3,CCData[[#This Row],[Date]]&lt;Calculation!$E$3+7)</f>
        <v>0</v>
      </c>
    </row>
    <row r="1597" spans="1:10">
      <c r="A1597" t="s">
        <v>1596</v>
      </c>
      <c r="B1597" s="2">
        <v>42033.531999999999</v>
      </c>
      <c r="C1597" s="3" t="s">
        <v>5005</v>
      </c>
      <c r="D1597" t="s">
        <v>5014</v>
      </c>
      <c r="E1597" t="s">
        <v>5018</v>
      </c>
      <c r="F1597" t="s">
        <v>5019</v>
      </c>
      <c r="G1597">
        <v>42</v>
      </c>
      <c r="H1597" s="5">
        <v>2.5083781306473991E-3</v>
      </c>
      <c r="I1597">
        <v>4</v>
      </c>
      <c r="J1597" t="b">
        <f>AND(CCData[[#This Row],[Date]]&gt;=Calculation!$E$3,CCData[[#This Row],[Date]]&lt;Calculation!$E$3+7)</f>
        <v>0</v>
      </c>
    </row>
    <row r="1598" spans="1:10">
      <c r="A1598" t="s">
        <v>1597</v>
      </c>
      <c r="B1598" s="2">
        <v>42033.536</v>
      </c>
      <c r="C1598" s="3" t="s">
        <v>5003</v>
      </c>
      <c r="D1598" t="s">
        <v>5013</v>
      </c>
      <c r="E1598" t="s">
        <v>5018</v>
      </c>
      <c r="F1598" t="s">
        <v>5018</v>
      </c>
      <c r="G1598">
        <v>112</v>
      </c>
      <c r="H1598" s="5">
        <v>3.1093246859955374E-3</v>
      </c>
      <c r="I1598">
        <v>3</v>
      </c>
      <c r="J1598" t="b">
        <f>AND(CCData[[#This Row],[Date]]&gt;=Calculation!$E$3,CCData[[#This Row],[Date]]&lt;Calculation!$E$3+7)</f>
        <v>0</v>
      </c>
    </row>
    <row r="1599" spans="1:10">
      <c r="A1599" t="s">
        <v>1598</v>
      </c>
      <c r="B1599" s="2">
        <v>42033.536</v>
      </c>
      <c r="C1599" s="3" t="s">
        <v>5009</v>
      </c>
      <c r="D1599" t="s">
        <v>5014</v>
      </c>
      <c r="E1599" t="s">
        <v>5018</v>
      </c>
      <c r="F1599" t="s">
        <v>5018</v>
      </c>
      <c r="G1599">
        <v>98</v>
      </c>
      <c r="H1599" s="5">
        <v>2.1894454310233884E-3</v>
      </c>
      <c r="I1599">
        <v>4</v>
      </c>
      <c r="J1599" t="b">
        <f>AND(CCData[[#This Row],[Date]]&gt;=Calculation!$E$3,CCData[[#This Row],[Date]]&lt;Calculation!$E$3+7)</f>
        <v>0</v>
      </c>
    </row>
    <row r="1600" spans="1:10">
      <c r="A1600" t="s">
        <v>1599</v>
      </c>
      <c r="B1600" s="2">
        <v>42033.536</v>
      </c>
      <c r="C1600" s="3" t="s">
        <v>5005</v>
      </c>
      <c r="D1600" t="s">
        <v>5014</v>
      </c>
      <c r="E1600" t="s">
        <v>5018</v>
      </c>
      <c r="F1600" t="s">
        <v>5018</v>
      </c>
      <c r="G1600">
        <v>105</v>
      </c>
      <c r="H1600" s="5">
        <v>2.2351392352245106E-3</v>
      </c>
      <c r="I1600">
        <v>2</v>
      </c>
      <c r="J1600" t="b">
        <f>AND(CCData[[#This Row],[Date]]&gt;=Calculation!$E$3,CCData[[#This Row],[Date]]&lt;Calculation!$E$3+7)</f>
        <v>0</v>
      </c>
    </row>
    <row r="1601" spans="1:10">
      <c r="A1601" t="s">
        <v>1600</v>
      </c>
      <c r="B1601" s="2">
        <v>42033.536</v>
      </c>
      <c r="C1601" s="3" t="s">
        <v>5003</v>
      </c>
      <c r="D1601" t="s">
        <v>5013</v>
      </c>
      <c r="E1601" t="s">
        <v>5018</v>
      </c>
      <c r="F1601" t="s">
        <v>5018</v>
      </c>
      <c r="G1601">
        <v>78</v>
      </c>
      <c r="H1601" s="5">
        <v>2.1193903055797608E-3</v>
      </c>
      <c r="I1601">
        <v>5</v>
      </c>
      <c r="J1601" t="b">
        <f>AND(CCData[[#This Row],[Date]]&gt;=Calculation!$E$3,CCData[[#This Row],[Date]]&lt;Calculation!$E$3+7)</f>
        <v>0</v>
      </c>
    </row>
    <row r="1602" spans="1:10">
      <c r="A1602" t="s">
        <v>1601</v>
      </c>
      <c r="B1602" s="2">
        <v>42033.542000000001</v>
      </c>
      <c r="C1602" s="3" t="s">
        <v>5009</v>
      </c>
      <c r="D1602" t="s">
        <v>5012</v>
      </c>
      <c r="E1602" t="s">
        <v>5018</v>
      </c>
      <c r="F1602" t="s">
        <v>5018</v>
      </c>
      <c r="G1602">
        <v>68</v>
      </c>
      <c r="H1602" s="5">
        <v>5.1875211420199772E-4</v>
      </c>
      <c r="I1602">
        <v>4</v>
      </c>
      <c r="J1602" t="b">
        <f>AND(CCData[[#This Row],[Date]]&gt;=Calculation!$E$3,CCData[[#This Row],[Date]]&lt;Calculation!$E$3+7)</f>
        <v>0</v>
      </c>
    </row>
    <row r="1603" spans="1:10">
      <c r="A1603" t="s">
        <v>1602</v>
      </c>
      <c r="B1603" s="2">
        <v>42033.542000000001</v>
      </c>
      <c r="C1603" s="3" t="s">
        <v>5007</v>
      </c>
      <c r="D1603" t="s">
        <v>5012</v>
      </c>
      <c r="E1603" t="s">
        <v>5018</v>
      </c>
      <c r="F1603" t="s">
        <v>5018</v>
      </c>
      <c r="G1603">
        <v>17</v>
      </c>
      <c r="H1603" s="5">
        <v>4.017801752406105E-3</v>
      </c>
      <c r="I1603">
        <v>3</v>
      </c>
      <c r="J1603" t="b">
        <f>AND(CCData[[#This Row],[Date]]&gt;=Calculation!$E$3,CCData[[#This Row],[Date]]&lt;Calculation!$E$3+7)</f>
        <v>0</v>
      </c>
    </row>
    <row r="1604" spans="1:10">
      <c r="A1604" t="s">
        <v>1603</v>
      </c>
      <c r="B1604" s="2">
        <v>42033.544999999998</v>
      </c>
      <c r="C1604" s="3" t="s">
        <v>5003</v>
      </c>
      <c r="D1604" t="s">
        <v>5015</v>
      </c>
      <c r="E1604" t="s">
        <v>5018</v>
      </c>
      <c r="F1604" t="s">
        <v>5018</v>
      </c>
      <c r="G1604">
        <v>23</v>
      </c>
      <c r="H1604" s="5">
        <v>9.2636065353804734E-4</v>
      </c>
      <c r="I1604">
        <v>4</v>
      </c>
      <c r="J1604" t="b">
        <f>AND(CCData[[#This Row],[Date]]&gt;=Calculation!$E$3,CCData[[#This Row],[Date]]&lt;Calculation!$E$3+7)</f>
        <v>0</v>
      </c>
    </row>
    <row r="1605" spans="1:10">
      <c r="A1605" t="s">
        <v>1604</v>
      </c>
      <c r="B1605" s="2">
        <v>42033.544999999998</v>
      </c>
      <c r="C1605" s="3" t="s">
        <v>5003</v>
      </c>
      <c r="D1605" t="s">
        <v>5015</v>
      </c>
      <c r="E1605" t="s">
        <v>5018</v>
      </c>
      <c r="F1605" t="s">
        <v>5018</v>
      </c>
      <c r="G1605">
        <v>39</v>
      </c>
      <c r="H1605" s="5">
        <v>7.9943877139901029E-4</v>
      </c>
      <c r="I1605">
        <v>1</v>
      </c>
      <c r="J1605" t="b">
        <f>AND(CCData[[#This Row],[Date]]&gt;=Calculation!$E$3,CCData[[#This Row],[Date]]&lt;Calculation!$E$3+7)</f>
        <v>0</v>
      </c>
    </row>
    <row r="1606" spans="1:10">
      <c r="A1606" t="s">
        <v>1605</v>
      </c>
      <c r="B1606" s="2">
        <v>42033.55</v>
      </c>
      <c r="C1606" s="3" t="s">
        <v>5006</v>
      </c>
      <c r="D1606" t="s">
        <v>5012</v>
      </c>
      <c r="E1606" t="s">
        <v>5018</v>
      </c>
      <c r="F1606" t="s">
        <v>5018</v>
      </c>
      <c r="G1606">
        <v>102</v>
      </c>
      <c r="H1606" s="5">
        <v>3.3007756234318193E-3</v>
      </c>
      <c r="I1606">
        <v>3</v>
      </c>
      <c r="J1606" t="b">
        <f>AND(CCData[[#This Row],[Date]]&gt;=Calculation!$E$3,CCData[[#This Row],[Date]]&lt;Calculation!$E$3+7)</f>
        <v>0</v>
      </c>
    </row>
    <row r="1607" spans="1:10">
      <c r="A1607" t="s">
        <v>1606</v>
      </c>
      <c r="B1607" s="2">
        <v>42033.55</v>
      </c>
      <c r="C1607" s="3" t="s">
        <v>5010</v>
      </c>
      <c r="D1607" t="s">
        <v>5015</v>
      </c>
      <c r="E1607" t="s">
        <v>5018</v>
      </c>
      <c r="F1607" t="s">
        <v>5019</v>
      </c>
      <c r="G1607">
        <v>75</v>
      </c>
      <c r="H1607" s="5">
        <v>3.8214807491242725E-3</v>
      </c>
      <c r="I1607">
        <v>3</v>
      </c>
      <c r="J1607" t="b">
        <f>AND(CCData[[#This Row],[Date]]&gt;=Calculation!$E$3,CCData[[#This Row],[Date]]&lt;Calculation!$E$3+7)</f>
        <v>0</v>
      </c>
    </row>
    <row r="1608" spans="1:10">
      <c r="A1608" t="s">
        <v>1607</v>
      </c>
      <c r="B1608" s="2">
        <v>42033.567999999999</v>
      </c>
      <c r="C1608" s="3" t="s">
        <v>5004</v>
      </c>
      <c r="D1608" t="s">
        <v>5012</v>
      </c>
      <c r="E1608" t="s">
        <v>5018</v>
      </c>
      <c r="F1608" t="s">
        <v>5018</v>
      </c>
      <c r="G1608">
        <v>14</v>
      </c>
      <c r="H1608" s="5">
        <v>1.5078960376927583E-3</v>
      </c>
      <c r="I1608">
        <v>4</v>
      </c>
      <c r="J1608" t="b">
        <f>AND(CCData[[#This Row],[Date]]&gt;=Calculation!$E$3,CCData[[#This Row],[Date]]&lt;Calculation!$E$3+7)</f>
        <v>0</v>
      </c>
    </row>
    <row r="1609" spans="1:10">
      <c r="A1609" t="s">
        <v>1608</v>
      </c>
      <c r="B1609" s="2">
        <v>42033.567999999999</v>
      </c>
      <c r="C1609" s="3" t="s">
        <v>5010</v>
      </c>
      <c r="D1609" t="s">
        <v>5014</v>
      </c>
      <c r="E1609" t="s">
        <v>5018</v>
      </c>
      <c r="F1609" t="s">
        <v>5018</v>
      </c>
      <c r="G1609">
        <v>77</v>
      </c>
      <c r="H1609" s="5">
        <v>1.8069971359857958E-3</v>
      </c>
      <c r="I1609">
        <v>3</v>
      </c>
      <c r="J1609" t="b">
        <f>AND(CCData[[#This Row],[Date]]&gt;=Calculation!$E$3,CCData[[#This Row],[Date]]&lt;Calculation!$E$3+7)</f>
        <v>0</v>
      </c>
    </row>
    <row r="1610" spans="1:10">
      <c r="A1610" t="s">
        <v>1609</v>
      </c>
      <c r="B1610" s="2">
        <v>42033.591</v>
      </c>
      <c r="C1610" s="3" t="s">
        <v>5003</v>
      </c>
      <c r="D1610" t="s">
        <v>5016</v>
      </c>
      <c r="E1610" t="s">
        <v>5018</v>
      </c>
      <c r="F1610" t="s">
        <v>5019</v>
      </c>
      <c r="G1610">
        <v>83</v>
      </c>
      <c r="H1610" s="5">
        <v>3.968264744639709E-4</v>
      </c>
      <c r="I1610">
        <v>4</v>
      </c>
      <c r="J1610" t="b">
        <f>AND(CCData[[#This Row],[Date]]&gt;=Calculation!$E$3,CCData[[#This Row],[Date]]&lt;Calculation!$E$3+7)</f>
        <v>0</v>
      </c>
    </row>
    <row r="1611" spans="1:10">
      <c r="A1611" t="s">
        <v>1610</v>
      </c>
      <c r="B1611" s="2">
        <v>42033.591</v>
      </c>
      <c r="C1611" s="3" t="s">
        <v>5005</v>
      </c>
      <c r="D1611" t="s">
        <v>5013</v>
      </c>
      <c r="E1611" t="s">
        <v>5019</v>
      </c>
      <c r="F1611" t="s">
        <v>5019</v>
      </c>
      <c r="G1611" t="s">
        <v>5022</v>
      </c>
      <c r="H1611" s="5" t="s">
        <v>5022</v>
      </c>
      <c r="I1611" t="s">
        <v>5022</v>
      </c>
      <c r="J1611" t="b">
        <f>AND(CCData[[#This Row],[Date]]&gt;=Calculation!$E$3,CCData[[#This Row],[Date]]&lt;Calculation!$E$3+7)</f>
        <v>0</v>
      </c>
    </row>
    <row r="1612" spans="1:10">
      <c r="A1612" t="s">
        <v>1611</v>
      </c>
      <c r="B1612" s="2">
        <v>42033.606</v>
      </c>
      <c r="C1612" s="3" t="s">
        <v>5005</v>
      </c>
      <c r="D1612" t="s">
        <v>5012</v>
      </c>
      <c r="E1612" t="s">
        <v>5019</v>
      </c>
      <c r="F1612" t="s">
        <v>5019</v>
      </c>
      <c r="G1612" t="s">
        <v>5022</v>
      </c>
      <c r="H1612" s="5" t="s">
        <v>5022</v>
      </c>
      <c r="I1612" t="s">
        <v>5022</v>
      </c>
      <c r="J1612" t="b">
        <f>AND(CCData[[#This Row],[Date]]&gt;=Calculation!$E$3,CCData[[#This Row],[Date]]&lt;Calculation!$E$3+7)</f>
        <v>0</v>
      </c>
    </row>
    <row r="1613" spans="1:10">
      <c r="A1613" t="s">
        <v>1612</v>
      </c>
      <c r="B1613" s="2">
        <v>42033.606</v>
      </c>
      <c r="C1613" s="3" t="s">
        <v>5010</v>
      </c>
      <c r="D1613" t="s">
        <v>5015</v>
      </c>
      <c r="E1613" t="s">
        <v>5018</v>
      </c>
      <c r="F1613" t="s">
        <v>5018</v>
      </c>
      <c r="G1613">
        <v>65</v>
      </c>
      <c r="H1613" s="5">
        <v>3.6196216142034285E-3</v>
      </c>
      <c r="I1613">
        <v>5</v>
      </c>
      <c r="J1613" t="b">
        <f>AND(CCData[[#This Row],[Date]]&gt;=Calculation!$E$3,CCData[[#This Row],[Date]]&lt;Calculation!$E$3+7)</f>
        <v>0</v>
      </c>
    </row>
    <row r="1614" spans="1:10">
      <c r="A1614" t="s">
        <v>1613</v>
      </c>
      <c r="B1614" s="2">
        <v>42033.618000000002</v>
      </c>
      <c r="C1614" s="3" t="s">
        <v>5004</v>
      </c>
      <c r="D1614" t="s">
        <v>5012</v>
      </c>
      <c r="E1614" t="s">
        <v>5018</v>
      </c>
      <c r="F1614" t="s">
        <v>5018</v>
      </c>
      <c r="G1614">
        <v>23</v>
      </c>
      <c r="H1614" s="5">
        <v>5.2573587100244567E-4</v>
      </c>
      <c r="I1614">
        <v>4</v>
      </c>
      <c r="J1614" t="b">
        <f>AND(CCData[[#This Row],[Date]]&gt;=Calculation!$E$3,CCData[[#This Row],[Date]]&lt;Calculation!$E$3+7)</f>
        <v>0</v>
      </c>
    </row>
    <row r="1615" spans="1:10">
      <c r="A1615" t="s">
        <v>1614</v>
      </c>
      <c r="B1615" s="2">
        <v>42033.618000000002</v>
      </c>
      <c r="C1615" s="3" t="s">
        <v>5007</v>
      </c>
      <c r="D1615" t="s">
        <v>5016</v>
      </c>
      <c r="E1615" t="s">
        <v>5018</v>
      </c>
      <c r="F1615" t="s">
        <v>5018</v>
      </c>
      <c r="G1615">
        <v>34</v>
      </c>
      <c r="H1615" s="5">
        <v>2.7066193073552779E-3</v>
      </c>
      <c r="I1615">
        <v>3</v>
      </c>
      <c r="J1615" t="b">
        <f>AND(CCData[[#This Row],[Date]]&gt;=Calculation!$E$3,CCData[[#This Row],[Date]]&lt;Calculation!$E$3+7)</f>
        <v>0</v>
      </c>
    </row>
    <row r="1616" spans="1:10">
      <c r="A1616" t="s">
        <v>1615</v>
      </c>
      <c r="B1616" s="2">
        <v>42033.631000000001</v>
      </c>
      <c r="C1616" s="3" t="s">
        <v>5003</v>
      </c>
      <c r="D1616" t="s">
        <v>5013</v>
      </c>
      <c r="E1616" t="s">
        <v>5018</v>
      </c>
      <c r="F1616" t="s">
        <v>5018</v>
      </c>
      <c r="G1616">
        <v>45</v>
      </c>
      <c r="H1616" s="5">
        <v>4.063450647781598E-3</v>
      </c>
      <c r="I1616">
        <v>3</v>
      </c>
      <c r="J1616" t="b">
        <f>AND(CCData[[#This Row],[Date]]&gt;=Calculation!$E$3,CCData[[#This Row],[Date]]&lt;Calculation!$E$3+7)</f>
        <v>0</v>
      </c>
    </row>
    <row r="1617" spans="1:10">
      <c r="A1617" t="s">
        <v>1616</v>
      </c>
      <c r="B1617" s="2">
        <v>42033.631000000001</v>
      </c>
      <c r="C1617" s="3" t="s">
        <v>5003</v>
      </c>
      <c r="D1617" t="s">
        <v>5013</v>
      </c>
      <c r="E1617" t="s">
        <v>5018</v>
      </c>
      <c r="F1617" t="s">
        <v>5018</v>
      </c>
      <c r="G1617">
        <v>29</v>
      </c>
      <c r="H1617" s="5">
        <v>3.3341975118458293E-3</v>
      </c>
      <c r="I1617">
        <v>3</v>
      </c>
      <c r="J1617" t="b">
        <f>AND(CCData[[#This Row],[Date]]&gt;=Calculation!$E$3,CCData[[#This Row],[Date]]&lt;Calculation!$E$3+7)</f>
        <v>0</v>
      </c>
    </row>
    <row r="1618" spans="1:10">
      <c r="A1618" t="s">
        <v>1617</v>
      </c>
      <c r="B1618" s="2">
        <v>42033.64</v>
      </c>
      <c r="C1618" s="3" t="s">
        <v>5005</v>
      </c>
      <c r="D1618" t="s">
        <v>5012</v>
      </c>
      <c r="E1618" t="s">
        <v>5018</v>
      </c>
      <c r="F1618" t="s">
        <v>5018</v>
      </c>
      <c r="G1618">
        <v>84</v>
      </c>
      <c r="H1618" s="5">
        <v>4.6640679622529154E-3</v>
      </c>
      <c r="I1618">
        <v>3</v>
      </c>
      <c r="J1618" t="b">
        <f>AND(CCData[[#This Row],[Date]]&gt;=Calculation!$E$3,CCData[[#This Row],[Date]]&lt;Calculation!$E$3+7)</f>
        <v>0</v>
      </c>
    </row>
    <row r="1619" spans="1:10">
      <c r="A1619" t="s">
        <v>1618</v>
      </c>
      <c r="B1619" s="2">
        <v>42033.64</v>
      </c>
      <c r="C1619" s="3" t="s">
        <v>5008</v>
      </c>
      <c r="D1619" t="s">
        <v>5014</v>
      </c>
      <c r="E1619" t="s">
        <v>5018</v>
      </c>
      <c r="F1619" t="s">
        <v>5019</v>
      </c>
      <c r="G1619">
        <v>105</v>
      </c>
      <c r="H1619" s="5">
        <v>1.6591061535314508E-3</v>
      </c>
      <c r="I1619">
        <v>3</v>
      </c>
      <c r="J1619" t="b">
        <f>AND(CCData[[#This Row],[Date]]&gt;=Calculation!$E$3,CCData[[#This Row],[Date]]&lt;Calculation!$E$3+7)</f>
        <v>0</v>
      </c>
    </row>
    <row r="1620" spans="1:10">
      <c r="A1620" t="s">
        <v>1619</v>
      </c>
      <c r="B1620" s="2">
        <v>42033.656000000003</v>
      </c>
      <c r="C1620" s="3" t="s">
        <v>5003</v>
      </c>
      <c r="D1620" t="s">
        <v>5014</v>
      </c>
      <c r="E1620" t="s">
        <v>5018</v>
      </c>
      <c r="F1620" t="s">
        <v>5018</v>
      </c>
      <c r="G1620">
        <v>75</v>
      </c>
      <c r="H1620" s="5">
        <v>2.9807648628850073E-3</v>
      </c>
      <c r="I1620">
        <v>2</v>
      </c>
      <c r="J1620" t="b">
        <f>AND(CCData[[#This Row],[Date]]&gt;=Calculation!$E$3,CCData[[#This Row],[Date]]&lt;Calculation!$E$3+7)</f>
        <v>0</v>
      </c>
    </row>
    <row r="1621" spans="1:10">
      <c r="A1621" t="s">
        <v>1620</v>
      </c>
      <c r="B1621" s="2">
        <v>42033.656000000003</v>
      </c>
      <c r="C1621" s="3" t="s">
        <v>5007</v>
      </c>
      <c r="D1621" t="s">
        <v>5012</v>
      </c>
      <c r="E1621" t="s">
        <v>5018</v>
      </c>
      <c r="F1621" t="s">
        <v>5018</v>
      </c>
      <c r="G1621">
        <v>20</v>
      </c>
      <c r="H1621" s="5">
        <v>4.7756525504736129E-3</v>
      </c>
      <c r="I1621">
        <v>3</v>
      </c>
      <c r="J1621" t="b">
        <f>AND(CCData[[#This Row],[Date]]&gt;=Calculation!$E$3,CCData[[#This Row],[Date]]&lt;Calculation!$E$3+7)</f>
        <v>0</v>
      </c>
    </row>
    <row r="1622" spans="1:10">
      <c r="A1622" t="s">
        <v>1621</v>
      </c>
      <c r="B1622" s="2">
        <v>42033.656999999999</v>
      </c>
      <c r="C1622" s="3" t="s">
        <v>5006</v>
      </c>
      <c r="D1622" t="s">
        <v>5015</v>
      </c>
      <c r="E1622" t="s">
        <v>5018</v>
      </c>
      <c r="F1622" t="s">
        <v>5018</v>
      </c>
      <c r="G1622">
        <v>88</v>
      </c>
      <c r="H1622" s="5">
        <v>4.0552392833941046E-3</v>
      </c>
      <c r="I1622">
        <v>5</v>
      </c>
      <c r="J1622" t="b">
        <f>AND(CCData[[#This Row],[Date]]&gt;=Calculation!$E$3,CCData[[#This Row],[Date]]&lt;Calculation!$E$3+7)</f>
        <v>0</v>
      </c>
    </row>
    <row r="1623" spans="1:10">
      <c r="A1623" t="s">
        <v>1622</v>
      </c>
      <c r="B1623" s="2">
        <v>42033.656999999999</v>
      </c>
      <c r="C1623" s="3" t="s">
        <v>5005</v>
      </c>
      <c r="D1623" t="s">
        <v>5013</v>
      </c>
      <c r="E1623" t="s">
        <v>5018</v>
      </c>
      <c r="F1623" t="s">
        <v>5018</v>
      </c>
      <c r="G1623">
        <v>93</v>
      </c>
      <c r="H1623" s="5">
        <v>2.1918773884585293E-3</v>
      </c>
      <c r="I1623">
        <v>5</v>
      </c>
      <c r="J1623" t="b">
        <f>AND(CCData[[#This Row],[Date]]&gt;=Calculation!$E$3,CCData[[#This Row],[Date]]&lt;Calculation!$E$3+7)</f>
        <v>0</v>
      </c>
    </row>
    <row r="1624" spans="1:10">
      <c r="A1624" t="s">
        <v>1623</v>
      </c>
      <c r="B1624" s="2">
        <v>42033.661</v>
      </c>
      <c r="C1624" s="3" t="s">
        <v>5010</v>
      </c>
      <c r="D1624" t="s">
        <v>5013</v>
      </c>
      <c r="E1624" t="s">
        <v>5018</v>
      </c>
      <c r="F1624" t="s">
        <v>5018</v>
      </c>
      <c r="G1624">
        <v>65</v>
      </c>
      <c r="H1624" s="5">
        <v>1.2503672390776393E-3</v>
      </c>
      <c r="I1624">
        <v>3</v>
      </c>
      <c r="J1624" t="b">
        <f>AND(CCData[[#This Row],[Date]]&gt;=Calculation!$E$3,CCData[[#This Row],[Date]]&lt;Calculation!$E$3+7)</f>
        <v>0</v>
      </c>
    </row>
    <row r="1625" spans="1:10">
      <c r="A1625" t="s">
        <v>1624</v>
      </c>
      <c r="B1625" s="2">
        <v>42033.661</v>
      </c>
      <c r="C1625" s="3" t="s">
        <v>5004</v>
      </c>
      <c r="D1625" t="s">
        <v>5014</v>
      </c>
      <c r="E1625" t="s">
        <v>5019</v>
      </c>
      <c r="F1625" t="s">
        <v>5019</v>
      </c>
      <c r="G1625" t="s">
        <v>5022</v>
      </c>
      <c r="H1625" s="5" t="s">
        <v>5022</v>
      </c>
      <c r="I1625" t="s">
        <v>5022</v>
      </c>
      <c r="J1625" t="b">
        <f>AND(CCData[[#This Row],[Date]]&gt;=Calculation!$E$3,CCData[[#This Row],[Date]]&lt;Calculation!$E$3+7)</f>
        <v>0</v>
      </c>
    </row>
    <row r="1626" spans="1:10">
      <c r="A1626" t="s">
        <v>1625</v>
      </c>
      <c r="B1626" s="2">
        <v>42033.673999999999</v>
      </c>
      <c r="C1626" s="3" t="s">
        <v>5008</v>
      </c>
      <c r="D1626" t="s">
        <v>5016</v>
      </c>
      <c r="E1626" t="s">
        <v>5019</v>
      </c>
      <c r="F1626" t="s">
        <v>5019</v>
      </c>
      <c r="G1626" t="s">
        <v>5022</v>
      </c>
      <c r="H1626" s="5" t="s">
        <v>5022</v>
      </c>
      <c r="I1626" t="s">
        <v>5022</v>
      </c>
      <c r="J1626" t="b">
        <f>AND(CCData[[#This Row],[Date]]&gt;=Calculation!$E$3,CCData[[#This Row],[Date]]&lt;Calculation!$E$3+7)</f>
        <v>0</v>
      </c>
    </row>
    <row r="1627" spans="1:10">
      <c r="A1627" t="s">
        <v>1626</v>
      </c>
      <c r="B1627" s="2">
        <v>42033.673999999999</v>
      </c>
      <c r="C1627" s="3" t="s">
        <v>5008</v>
      </c>
      <c r="D1627" t="s">
        <v>5013</v>
      </c>
      <c r="E1627" t="s">
        <v>5019</v>
      </c>
      <c r="F1627" t="s">
        <v>5019</v>
      </c>
      <c r="G1627" t="s">
        <v>5022</v>
      </c>
      <c r="H1627" s="5" t="s">
        <v>5022</v>
      </c>
      <c r="I1627" t="s">
        <v>5022</v>
      </c>
      <c r="J1627" t="b">
        <f>AND(CCData[[#This Row],[Date]]&gt;=Calculation!$E$3,CCData[[#This Row],[Date]]&lt;Calculation!$E$3+7)</f>
        <v>0</v>
      </c>
    </row>
    <row r="1628" spans="1:10">
      <c r="A1628" t="s">
        <v>1627</v>
      </c>
      <c r="B1628" s="2">
        <v>42033.716999999997</v>
      </c>
      <c r="C1628" s="3" t="s">
        <v>5006</v>
      </c>
      <c r="D1628" t="s">
        <v>5014</v>
      </c>
      <c r="E1628" t="s">
        <v>5018</v>
      </c>
      <c r="F1628" t="s">
        <v>5019</v>
      </c>
      <c r="G1628">
        <v>124</v>
      </c>
      <c r="H1628" s="5">
        <v>2.9908788612432783E-3</v>
      </c>
      <c r="I1628">
        <v>5</v>
      </c>
      <c r="J1628" t="b">
        <f>AND(CCData[[#This Row],[Date]]&gt;=Calculation!$E$3,CCData[[#This Row],[Date]]&lt;Calculation!$E$3+7)</f>
        <v>0</v>
      </c>
    </row>
    <row r="1629" spans="1:10">
      <c r="A1629" t="s">
        <v>1628</v>
      </c>
      <c r="B1629" s="2">
        <v>42033.716999999997</v>
      </c>
      <c r="C1629" s="3" t="s">
        <v>5009</v>
      </c>
      <c r="D1629" t="s">
        <v>5012</v>
      </c>
      <c r="E1629" t="s">
        <v>5018</v>
      </c>
      <c r="F1629" t="s">
        <v>5018</v>
      </c>
      <c r="G1629">
        <v>44</v>
      </c>
      <c r="H1629" s="5">
        <v>1.8123757089460882E-3</v>
      </c>
      <c r="I1629">
        <v>4</v>
      </c>
      <c r="J1629" t="b">
        <f>AND(CCData[[#This Row],[Date]]&gt;=Calculation!$E$3,CCData[[#This Row],[Date]]&lt;Calculation!$E$3+7)</f>
        <v>0</v>
      </c>
    </row>
    <row r="1630" spans="1:10">
      <c r="A1630" t="s">
        <v>1629</v>
      </c>
      <c r="B1630" s="2">
        <v>42033.737000000001</v>
      </c>
      <c r="C1630" s="3" t="s">
        <v>5006</v>
      </c>
      <c r="D1630" t="s">
        <v>5015</v>
      </c>
      <c r="E1630" t="s">
        <v>5018</v>
      </c>
      <c r="F1630" t="s">
        <v>5018</v>
      </c>
      <c r="G1630">
        <v>28</v>
      </c>
      <c r="H1630" s="5">
        <v>4.5399032773929743E-4</v>
      </c>
      <c r="I1630">
        <v>4</v>
      </c>
      <c r="J1630" t="b">
        <f>AND(CCData[[#This Row],[Date]]&gt;=Calculation!$E$3,CCData[[#This Row],[Date]]&lt;Calculation!$E$3+7)</f>
        <v>0</v>
      </c>
    </row>
    <row r="1631" spans="1:10">
      <c r="A1631" t="s">
        <v>1630</v>
      </c>
      <c r="B1631" s="2">
        <v>42033.737000000001</v>
      </c>
      <c r="C1631" s="3" t="s">
        <v>5003</v>
      </c>
      <c r="D1631" t="s">
        <v>5016</v>
      </c>
      <c r="E1631" t="s">
        <v>5018</v>
      </c>
      <c r="F1631" t="s">
        <v>5019</v>
      </c>
      <c r="G1631">
        <v>43</v>
      </c>
      <c r="H1631" s="5">
        <v>1.4835058761028903E-3</v>
      </c>
      <c r="I1631">
        <v>4</v>
      </c>
      <c r="J1631" t="b">
        <f>AND(CCData[[#This Row],[Date]]&gt;=Calculation!$E$3,CCData[[#This Row],[Date]]&lt;Calculation!$E$3+7)</f>
        <v>0</v>
      </c>
    </row>
    <row r="1632" spans="1:10">
      <c r="A1632" t="s">
        <v>1631</v>
      </c>
      <c r="B1632" s="2">
        <v>42033.745000000003</v>
      </c>
      <c r="C1632" s="3" t="s">
        <v>5005</v>
      </c>
      <c r="D1632" t="s">
        <v>5013</v>
      </c>
      <c r="E1632" t="s">
        <v>5019</v>
      </c>
      <c r="F1632" t="s">
        <v>5019</v>
      </c>
      <c r="G1632" t="s">
        <v>5022</v>
      </c>
      <c r="H1632" s="5" t="s">
        <v>5022</v>
      </c>
      <c r="I1632" t="s">
        <v>5022</v>
      </c>
      <c r="J1632" t="b">
        <f>AND(CCData[[#This Row],[Date]]&gt;=Calculation!$E$3,CCData[[#This Row],[Date]]&lt;Calculation!$E$3+7)</f>
        <v>0</v>
      </c>
    </row>
    <row r="1633" spans="1:10">
      <c r="A1633" t="s">
        <v>1632</v>
      </c>
      <c r="B1633" s="2">
        <v>42033.745000000003</v>
      </c>
      <c r="C1633" s="3" t="s">
        <v>5005</v>
      </c>
      <c r="D1633" t="s">
        <v>5015</v>
      </c>
      <c r="E1633" t="s">
        <v>5018</v>
      </c>
      <c r="F1633" t="s">
        <v>5018</v>
      </c>
      <c r="G1633">
        <v>53</v>
      </c>
      <c r="H1633" s="5">
        <v>1.2026856144053118E-3</v>
      </c>
      <c r="I1633">
        <v>4</v>
      </c>
      <c r="J1633" t="b">
        <f>AND(CCData[[#This Row],[Date]]&gt;=Calculation!$E$3,CCData[[#This Row],[Date]]&lt;Calculation!$E$3+7)</f>
        <v>0</v>
      </c>
    </row>
    <row r="1634" spans="1:10">
      <c r="A1634" t="s">
        <v>1633</v>
      </c>
      <c r="B1634" s="2">
        <v>42034.379000000001</v>
      </c>
      <c r="C1634" s="3" t="s">
        <v>5003</v>
      </c>
      <c r="D1634" t="s">
        <v>5012</v>
      </c>
      <c r="E1634" t="s">
        <v>5018</v>
      </c>
      <c r="F1634" t="s">
        <v>5018</v>
      </c>
      <c r="G1634">
        <v>84</v>
      </c>
      <c r="H1634" s="5">
        <v>1.1793687157498614E-3</v>
      </c>
      <c r="I1634">
        <v>4</v>
      </c>
      <c r="J1634" t="b">
        <f>AND(CCData[[#This Row],[Date]]&gt;=Calculation!$E$3,CCData[[#This Row],[Date]]&lt;Calculation!$E$3+7)</f>
        <v>0</v>
      </c>
    </row>
    <row r="1635" spans="1:10">
      <c r="A1635" t="s">
        <v>1634</v>
      </c>
      <c r="B1635" s="2">
        <v>42034.379000000001</v>
      </c>
      <c r="C1635" s="3" t="s">
        <v>5004</v>
      </c>
      <c r="D1635" t="s">
        <v>5014</v>
      </c>
      <c r="E1635" t="s">
        <v>5018</v>
      </c>
      <c r="F1635" t="s">
        <v>5018</v>
      </c>
      <c r="G1635">
        <v>84</v>
      </c>
      <c r="H1635" s="5">
        <v>3.4449951809101568E-3</v>
      </c>
      <c r="I1635">
        <v>5</v>
      </c>
      <c r="J1635" t="b">
        <f>AND(CCData[[#This Row],[Date]]&gt;=Calculation!$E$3,CCData[[#This Row],[Date]]&lt;Calculation!$E$3+7)</f>
        <v>0</v>
      </c>
    </row>
    <row r="1636" spans="1:10">
      <c r="A1636" t="s">
        <v>1635</v>
      </c>
      <c r="B1636" s="2">
        <v>42034.408000000003</v>
      </c>
      <c r="C1636" s="3" t="s">
        <v>5010</v>
      </c>
      <c r="D1636" t="s">
        <v>5015</v>
      </c>
      <c r="E1636" t="s">
        <v>5018</v>
      </c>
      <c r="F1636" t="s">
        <v>5018</v>
      </c>
      <c r="G1636">
        <v>12</v>
      </c>
      <c r="H1636" s="5">
        <v>4.1225126426168166E-3</v>
      </c>
      <c r="I1636">
        <v>5</v>
      </c>
      <c r="J1636" t="b">
        <f>AND(CCData[[#This Row],[Date]]&gt;=Calculation!$E$3,CCData[[#This Row],[Date]]&lt;Calculation!$E$3+7)</f>
        <v>0</v>
      </c>
    </row>
    <row r="1637" spans="1:10">
      <c r="A1637" t="s">
        <v>1636</v>
      </c>
      <c r="B1637" s="2">
        <v>42034.408000000003</v>
      </c>
      <c r="C1637" s="3" t="s">
        <v>5007</v>
      </c>
      <c r="D1637" t="s">
        <v>5012</v>
      </c>
      <c r="E1637" t="s">
        <v>5018</v>
      </c>
      <c r="F1637" t="s">
        <v>5018</v>
      </c>
      <c r="G1637">
        <v>85</v>
      </c>
      <c r="H1637" s="5">
        <v>2.5694657960729592E-3</v>
      </c>
      <c r="I1637">
        <v>3</v>
      </c>
      <c r="J1637" t="b">
        <f>AND(CCData[[#This Row],[Date]]&gt;=Calculation!$E$3,CCData[[#This Row],[Date]]&lt;Calculation!$E$3+7)</f>
        <v>0</v>
      </c>
    </row>
    <row r="1638" spans="1:10">
      <c r="A1638" t="s">
        <v>1637</v>
      </c>
      <c r="B1638" s="2">
        <v>42034.411999999997</v>
      </c>
      <c r="C1638" s="3" t="s">
        <v>5003</v>
      </c>
      <c r="D1638" t="s">
        <v>5016</v>
      </c>
      <c r="E1638" t="s">
        <v>5018</v>
      </c>
      <c r="F1638" t="s">
        <v>5018</v>
      </c>
      <c r="G1638">
        <v>124</v>
      </c>
      <c r="H1638" s="5">
        <v>7.0959216772825023E-4</v>
      </c>
      <c r="I1638">
        <v>4</v>
      </c>
      <c r="J1638" t="b">
        <f>AND(CCData[[#This Row],[Date]]&gt;=Calculation!$E$3,CCData[[#This Row],[Date]]&lt;Calculation!$E$3+7)</f>
        <v>0</v>
      </c>
    </row>
    <row r="1639" spans="1:10">
      <c r="A1639" t="s">
        <v>1638</v>
      </c>
      <c r="B1639" s="2">
        <v>42034.411999999997</v>
      </c>
      <c r="C1639" s="3" t="s">
        <v>5004</v>
      </c>
      <c r="D1639" t="s">
        <v>5014</v>
      </c>
      <c r="E1639" t="s">
        <v>5018</v>
      </c>
      <c r="F1639" t="s">
        <v>5019</v>
      </c>
      <c r="G1639">
        <v>92</v>
      </c>
      <c r="H1639" s="5">
        <v>1.3992532083830446E-3</v>
      </c>
      <c r="I1639">
        <v>5</v>
      </c>
      <c r="J1639" t="b">
        <f>AND(CCData[[#This Row],[Date]]&gt;=Calculation!$E$3,CCData[[#This Row],[Date]]&lt;Calculation!$E$3+7)</f>
        <v>0</v>
      </c>
    </row>
    <row r="1640" spans="1:10">
      <c r="A1640" t="s">
        <v>1639</v>
      </c>
      <c r="B1640" s="2">
        <v>42034.421999999999</v>
      </c>
      <c r="C1640" s="3" t="s">
        <v>5005</v>
      </c>
      <c r="D1640" t="s">
        <v>5013</v>
      </c>
      <c r="E1640" t="s">
        <v>5018</v>
      </c>
      <c r="F1640" t="s">
        <v>5018</v>
      </c>
      <c r="G1640">
        <v>116</v>
      </c>
      <c r="H1640" s="5">
        <v>2.4272170153538815E-3</v>
      </c>
      <c r="I1640">
        <v>1</v>
      </c>
      <c r="J1640" t="b">
        <f>AND(CCData[[#This Row],[Date]]&gt;=Calculation!$E$3,CCData[[#This Row],[Date]]&lt;Calculation!$E$3+7)</f>
        <v>0</v>
      </c>
    </row>
    <row r="1641" spans="1:10">
      <c r="A1641" t="s">
        <v>1640</v>
      </c>
      <c r="B1641" s="2">
        <v>42034.421999999999</v>
      </c>
      <c r="C1641" s="3" t="s">
        <v>5008</v>
      </c>
      <c r="D1641" t="s">
        <v>5016</v>
      </c>
      <c r="E1641" t="s">
        <v>5018</v>
      </c>
      <c r="F1641" t="s">
        <v>5018</v>
      </c>
      <c r="G1641">
        <v>118</v>
      </c>
      <c r="H1641" s="5">
        <v>1.921608082232537E-3</v>
      </c>
      <c r="I1641">
        <v>2</v>
      </c>
      <c r="J1641" t="b">
        <f>AND(CCData[[#This Row],[Date]]&gt;=Calculation!$E$3,CCData[[#This Row],[Date]]&lt;Calculation!$E$3+7)</f>
        <v>0</v>
      </c>
    </row>
    <row r="1642" spans="1:10">
      <c r="A1642" t="s">
        <v>1641</v>
      </c>
      <c r="B1642" s="2">
        <v>42034.423000000003</v>
      </c>
      <c r="C1642" s="3" t="s">
        <v>5006</v>
      </c>
      <c r="D1642" t="s">
        <v>5013</v>
      </c>
      <c r="E1642" t="s">
        <v>5018</v>
      </c>
      <c r="F1642" t="s">
        <v>5018</v>
      </c>
      <c r="G1642">
        <v>99</v>
      </c>
      <c r="H1642" s="5">
        <v>1.7644074445095507E-3</v>
      </c>
      <c r="I1642">
        <v>2</v>
      </c>
      <c r="J1642" t="b">
        <f>AND(CCData[[#This Row],[Date]]&gt;=Calculation!$E$3,CCData[[#This Row],[Date]]&lt;Calculation!$E$3+7)</f>
        <v>0</v>
      </c>
    </row>
    <row r="1643" spans="1:10">
      <c r="A1643" t="s">
        <v>1642</v>
      </c>
      <c r="B1643" s="2">
        <v>42034.423000000003</v>
      </c>
      <c r="C1643" s="3" t="s">
        <v>5008</v>
      </c>
      <c r="D1643" t="s">
        <v>5014</v>
      </c>
      <c r="E1643" t="s">
        <v>5018</v>
      </c>
      <c r="F1643" t="s">
        <v>5018</v>
      </c>
      <c r="G1643">
        <v>77</v>
      </c>
      <c r="H1643" s="5">
        <v>3.0600841578531743E-3</v>
      </c>
      <c r="I1643">
        <v>4</v>
      </c>
      <c r="J1643" t="b">
        <f>AND(CCData[[#This Row],[Date]]&gt;=Calculation!$E$3,CCData[[#This Row],[Date]]&lt;Calculation!$E$3+7)</f>
        <v>0</v>
      </c>
    </row>
    <row r="1644" spans="1:10">
      <c r="A1644" t="s">
        <v>1643</v>
      </c>
      <c r="B1644" s="2">
        <v>42034.436000000002</v>
      </c>
      <c r="C1644" s="3" t="s">
        <v>5007</v>
      </c>
      <c r="D1644" t="s">
        <v>5013</v>
      </c>
      <c r="E1644" t="s">
        <v>5018</v>
      </c>
      <c r="F1644" t="s">
        <v>5018</v>
      </c>
      <c r="G1644">
        <v>57</v>
      </c>
      <c r="H1644" s="5">
        <v>3.0742602720238059E-3</v>
      </c>
      <c r="I1644">
        <v>5</v>
      </c>
      <c r="J1644" t="b">
        <f>AND(CCData[[#This Row],[Date]]&gt;=Calculation!$E$3,CCData[[#This Row],[Date]]&lt;Calculation!$E$3+7)</f>
        <v>0</v>
      </c>
    </row>
    <row r="1645" spans="1:10">
      <c r="A1645" t="s">
        <v>1644</v>
      </c>
      <c r="B1645" s="2">
        <v>42034.436000000002</v>
      </c>
      <c r="C1645" s="3" t="s">
        <v>5009</v>
      </c>
      <c r="D1645" t="s">
        <v>5016</v>
      </c>
      <c r="E1645" t="s">
        <v>5018</v>
      </c>
      <c r="F1645" t="s">
        <v>5018</v>
      </c>
      <c r="G1645">
        <v>113</v>
      </c>
      <c r="H1645" s="5">
        <v>1.7801989480071116E-3</v>
      </c>
      <c r="I1645">
        <v>3</v>
      </c>
      <c r="J1645" t="b">
        <f>AND(CCData[[#This Row],[Date]]&gt;=Calculation!$E$3,CCData[[#This Row],[Date]]&lt;Calculation!$E$3+7)</f>
        <v>0</v>
      </c>
    </row>
    <row r="1646" spans="1:10">
      <c r="A1646" t="s">
        <v>1645</v>
      </c>
      <c r="B1646" s="2">
        <v>42034.445</v>
      </c>
      <c r="C1646" s="3" t="s">
        <v>5004</v>
      </c>
      <c r="D1646" t="s">
        <v>5014</v>
      </c>
      <c r="E1646" t="s">
        <v>5018</v>
      </c>
      <c r="F1646" t="s">
        <v>5018</v>
      </c>
      <c r="G1646">
        <v>22</v>
      </c>
      <c r="H1646" s="5">
        <v>4.9523282756719236E-4</v>
      </c>
      <c r="I1646">
        <v>3</v>
      </c>
      <c r="J1646" t="b">
        <f>AND(CCData[[#This Row],[Date]]&gt;=Calculation!$E$3,CCData[[#This Row],[Date]]&lt;Calculation!$E$3+7)</f>
        <v>0</v>
      </c>
    </row>
    <row r="1647" spans="1:10">
      <c r="A1647" t="s">
        <v>1646</v>
      </c>
      <c r="B1647" s="2">
        <v>42034.445</v>
      </c>
      <c r="C1647" s="3" t="s">
        <v>5003</v>
      </c>
      <c r="D1647" t="s">
        <v>5014</v>
      </c>
      <c r="E1647" t="s">
        <v>5018</v>
      </c>
      <c r="F1647" t="s">
        <v>5018</v>
      </c>
      <c r="G1647">
        <v>20</v>
      </c>
      <c r="H1647" s="5">
        <v>3.4539992825301101E-3</v>
      </c>
      <c r="I1647">
        <v>4</v>
      </c>
      <c r="J1647" t="b">
        <f>AND(CCData[[#This Row],[Date]]&gt;=Calculation!$E$3,CCData[[#This Row],[Date]]&lt;Calculation!$E$3+7)</f>
        <v>0</v>
      </c>
    </row>
    <row r="1648" spans="1:10">
      <c r="A1648" t="s">
        <v>1647</v>
      </c>
      <c r="B1648" s="2">
        <v>42034.466999999997</v>
      </c>
      <c r="C1648" s="3" t="s">
        <v>5010</v>
      </c>
      <c r="D1648" t="s">
        <v>5016</v>
      </c>
      <c r="E1648" t="s">
        <v>5019</v>
      </c>
      <c r="F1648" t="s">
        <v>5019</v>
      </c>
      <c r="G1648" t="s">
        <v>5022</v>
      </c>
      <c r="H1648" s="5" t="s">
        <v>5022</v>
      </c>
      <c r="I1648" t="s">
        <v>5022</v>
      </c>
      <c r="J1648" t="b">
        <f>AND(CCData[[#This Row],[Date]]&gt;=Calculation!$E$3,CCData[[#This Row],[Date]]&lt;Calculation!$E$3+7)</f>
        <v>0</v>
      </c>
    </row>
    <row r="1649" spans="1:10">
      <c r="A1649" t="s">
        <v>1648</v>
      </c>
      <c r="B1649" s="2">
        <v>42034.466999999997</v>
      </c>
      <c r="C1649" s="3" t="s">
        <v>5007</v>
      </c>
      <c r="D1649" t="s">
        <v>5013</v>
      </c>
      <c r="E1649" t="s">
        <v>5018</v>
      </c>
      <c r="F1649" t="s">
        <v>5018</v>
      </c>
      <c r="G1649">
        <v>23</v>
      </c>
      <c r="H1649" s="5">
        <v>4.1493108771870433E-3</v>
      </c>
      <c r="I1649">
        <v>5</v>
      </c>
      <c r="J1649" t="b">
        <f>AND(CCData[[#This Row],[Date]]&gt;=Calculation!$E$3,CCData[[#This Row],[Date]]&lt;Calculation!$E$3+7)</f>
        <v>0</v>
      </c>
    </row>
    <row r="1650" spans="1:10">
      <c r="A1650" t="s">
        <v>1649</v>
      </c>
      <c r="B1650" s="2">
        <v>42034.476999999999</v>
      </c>
      <c r="C1650" s="3" t="s">
        <v>5007</v>
      </c>
      <c r="D1650" t="s">
        <v>5012</v>
      </c>
      <c r="E1650" t="s">
        <v>5018</v>
      </c>
      <c r="F1650" t="s">
        <v>5018</v>
      </c>
      <c r="G1650">
        <v>79</v>
      </c>
      <c r="H1650" s="5">
        <v>3.1717402272514236E-3</v>
      </c>
      <c r="I1650">
        <v>4</v>
      </c>
      <c r="J1650" t="b">
        <f>AND(CCData[[#This Row],[Date]]&gt;=Calculation!$E$3,CCData[[#This Row],[Date]]&lt;Calculation!$E$3+7)</f>
        <v>0</v>
      </c>
    </row>
    <row r="1651" spans="1:10">
      <c r="A1651" t="s">
        <v>1650</v>
      </c>
      <c r="B1651" s="2">
        <v>42034.476999999999</v>
      </c>
      <c r="C1651" s="3" t="s">
        <v>5005</v>
      </c>
      <c r="D1651" t="s">
        <v>5012</v>
      </c>
      <c r="E1651" t="s">
        <v>5018</v>
      </c>
      <c r="F1651" t="s">
        <v>5019</v>
      </c>
      <c r="G1651">
        <v>94</v>
      </c>
      <c r="H1651" s="5">
        <v>4.8190583037541661E-3</v>
      </c>
      <c r="I1651">
        <v>5</v>
      </c>
      <c r="J1651" t="b">
        <f>AND(CCData[[#This Row],[Date]]&gt;=Calculation!$E$3,CCData[[#This Row],[Date]]&lt;Calculation!$E$3+7)</f>
        <v>0</v>
      </c>
    </row>
    <row r="1652" spans="1:10">
      <c r="A1652" t="s">
        <v>1651</v>
      </c>
      <c r="B1652" s="2">
        <v>42034.495000000003</v>
      </c>
      <c r="C1652" s="3" t="s">
        <v>5007</v>
      </c>
      <c r="D1652" t="s">
        <v>5013</v>
      </c>
      <c r="E1652" t="s">
        <v>5018</v>
      </c>
      <c r="F1652" t="s">
        <v>5018</v>
      </c>
      <c r="G1652">
        <v>118</v>
      </c>
      <c r="H1652" s="5">
        <v>1.5431105376219844E-3</v>
      </c>
      <c r="I1652">
        <v>4</v>
      </c>
      <c r="J1652" t="b">
        <f>AND(CCData[[#This Row],[Date]]&gt;=Calculation!$E$3,CCData[[#This Row],[Date]]&lt;Calculation!$E$3+7)</f>
        <v>0</v>
      </c>
    </row>
    <row r="1653" spans="1:10">
      <c r="A1653" t="s">
        <v>1652</v>
      </c>
      <c r="B1653" s="2">
        <v>42034.495000000003</v>
      </c>
      <c r="C1653" s="3" t="s">
        <v>5009</v>
      </c>
      <c r="D1653" t="s">
        <v>5015</v>
      </c>
      <c r="E1653" t="s">
        <v>5018</v>
      </c>
      <c r="F1653" t="s">
        <v>5019</v>
      </c>
      <c r="G1653">
        <v>68</v>
      </c>
      <c r="H1653" s="5">
        <v>1.8338847129764013E-3</v>
      </c>
      <c r="I1653">
        <v>2</v>
      </c>
      <c r="J1653" t="b">
        <f>AND(CCData[[#This Row],[Date]]&gt;=Calculation!$E$3,CCData[[#This Row],[Date]]&lt;Calculation!$E$3+7)</f>
        <v>0</v>
      </c>
    </row>
    <row r="1654" spans="1:10">
      <c r="A1654" t="s">
        <v>1653</v>
      </c>
      <c r="B1654" s="2">
        <v>42034.512000000002</v>
      </c>
      <c r="C1654" s="3" t="s">
        <v>5003</v>
      </c>
      <c r="D1654" t="s">
        <v>5016</v>
      </c>
      <c r="E1654" t="s">
        <v>5018</v>
      </c>
      <c r="F1654" t="s">
        <v>5018</v>
      </c>
      <c r="G1654">
        <v>53</v>
      </c>
      <c r="H1654" s="5">
        <v>9.6935406113137347E-4</v>
      </c>
      <c r="I1654">
        <v>3</v>
      </c>
      <c r="J1654" t="b">
        <f>AND(CCData[[#This Row],[Date]]&gt;=Calculation!$E$3,CCData[[#This Row],[Date]]&lt;Calculation!$E$3+7)</f>
        <v>0</v>
      </c>
    </row>
    <row r="1655" spans="1:10">
      <c r="A1655" t="s">
        <v>1654</v>
      </c>
      <c r="B1655" s="2">
        <v>42034.512000000002</v>
      </c>
      <c r="C1655" s="3" t="s">
        <v>5005</v>
      </c>
      <c r="D1655" t="s">
        <v>5015</v>
      </c>
      <c r="E1655" t="s">
        <v>5018</v>
      </c>
      <c r="F1655" t="s">
        <v>5018</v>
      </c>
      <c r="G1655">
        <v>52</v>
      </c>
      <c r="H1655" s="5">
        <v>4.2873904278425681E-3</v>
      </c>
      <c r="I1655">
        <v>3</v>
      </c>
      <c r="J1655" t="b">
        <f>AND(CCData[[#This Row],[Date]]&gt;=Calculation!$E$3,CCData[[#This Row],[Date]]&lt;Calculation!$E$3+7)</f>
        <v>0</v>
      </c>
    </row>
    <row r="1656" spans="1:10">
      <c r="A1656" t="s">
        <v>1655</v>
      </c>
      <c r="B1656" s="2">
        <v>42034.516000000003</v>
      </c>
      <c r="C1656" s="3" t="s">
        <v>5010</v>
      </c>
      <c r="D1656" t="s">
        <v>5014</v>
      </c>
      <c r="E1656" t="s">
        <v>5018</v>
      </c>
      <c r="F1656" t="s">
        <v>5018</v>
      </c>
      <c r="G1656">
        <v>13</v>
      </c>
      <c r="H1656" s="5">
        <v>4.0575753592580425E-3</v>
      </c>
      <c r="I1656">
        <v>3</v>
      </c>
      <c r="J1656" t="b">
        <f>AND(CCData[[#This Row],[Date]]&gt;=Calculation!$E$3,CCData[[#This Row],[Date]]&lt;Calculation!$E$3+7)</f>
        <v>0</v>
      </c>
    </row>
    <row r="1657" spans="1:10">
      <c r="A1657" t="s">
        <v>1656</v>
      </c>
      <c r="B1657" s="2">
        <v>42034.516000000003</v>
      </c>
      <c r="C1657" s="3" t="s">
        <v>5003</v>
      </c>
      <c r="D1657" t="s">
        <v>5012</v>
      </c>
      <c r="E1657" t="s">
        <v>5018</v>
      </c>
      <c r="F1657" t="s">
        <v>5018</v>
      </c>
      <c r="G1657">
        <v>78</v>
      </c>
      <c r="H1657" s="5">
        <v>3.1662406224670049E-3</v>
      </c>
      <c r="I1657">
        <v>5</v>
      </c>
      <c r="J1657" t="b">
        <f>AND(CCData[[#This Row],[Date]]&gt;=Calculation!$E$3,CCData[[#This Row],[Date]]&lt;Calculation!$E$3+7)</f>
        <v>0</v>
      </c>
    </row>
    <row r="1658" spans="1:10">
      <c r="A1658" t="s">
        <v>1657</v>
      </c>
      <c r="B1658" s="2">
        <v>42034.525999999998</v>
      </c>
      <c r="C1658" s="3" t="s">
        <v>5010</v>
      </c>
      <c r="D1658" t="s">
        <v>5012</v>
      </c>
      <c r="E1658" t="s">
        <v>5018</v>
      </c>
      <c r="F1658" t="s">
        <v>5018</v>
      </c>
      <c r="G1658">
        <v>32</v>
      </c>
      <c r="H1658" s="5">
        <v>1.4461532896508466E-3</v>
      </c>
      <c r="I1658">
        <v>4</v>
      </c>
      <c r="J1658" t="b">
        <f>AND(CCData[[#This Row],[Date]]&gt;=Calculation!$E$3,CCData[[#This Row],[Date]]&lt;Calculation!$E$3+7)</f>
        <v>0</v>
      </c>
    </row>
    <row r="1659" spans="1:10">
      <c r="A1659" t="s">
        <v>1658</v>
      </c>
      <c r="B1659" s="2">
        <v>42034.525999999998</v>
      </c>
      <c r="C1659" s="3" t="s">
        <v>5009</v>
      </c>
      <c r="D1659" t="s">
        <v>5012</v>
      </c>
      <c r="E1659" t="s">
        <v>5019</v>
      </c>
      <c r="F1659" t="s">
        <v>5019</v>
      </c>
      <c r="G1659" t="s">
        <v>5022</v>
      </c>
      <c r="H1659" s="5" t="s">
        <v>5022</v>
      </c>
      <c r="I1659" t="s">
        <v>5022</v>
      </c>
      <c r="J1659" t="b">
        <f>AND(CCData[[#This Row],[Date]]&gt;=Calculation!$E$3,CCData[[#This Row],[Date]]&lt;Calculation!$E$3+7)</f>
        <v>0</v>
      </c>
    </row>
    <row r="1660" spans="1:10">
      <c r="A1660" t="s">
        <v>1659</v>
      </c>
      <c r="B1660" s="2">
        <v>42034.527999999998</v>
      </c>
      <c r="C1660" s="3" t="s">
        <v>5009</v>
      </c>
      <c r="D1660" t="s">
        <v>5015</v>
      </c>
      <c r="E1660" t="s">
        <v>5018</v>
      </c>
      <c r="F1660" t="s">
        <v>5018</v>
      </c>
      <c r="G1660">
        <v>13</v>
      </c>
      <c r="H1660" s="5">
        <v>1.4218569504038121E-3</v>
      </c>
      <c r="I1660">
        <v>4</v>
      </c>
      <c r="J1660" t="b">
        <f>AND(CCData[[#This Row],[Date]]&gt;=Calculation!$E$3,CCData[[#This Row],[Date]]&lt;Calculation!$E$3+7)</f>
        <v>0</v>
      </c>
    </row>
    <row r="1661" spans="1:10">
      <c r="A1661" t="s">
        <v>1660</v>
      </c>
      <c r="B1661" s="2">
        <v>42034.527999999998</v>
      </c>
      <c r="C1661" s="3" t="s">
        <v>5006</v>
      </c>
      <c r="D1661" t="s">
        <v>5016</v>
      </c>
      <c r="E1661" t="s">
        <v>5018</v>
      </c>
      <c r="F1661" t="s">
        <v>5019</v>
      </c>
      <c r="G1661">
        <v>91</v>
      </c>
      <c r="H1661" s="5">
        <v>2.7930616373742548E-3</v>
      </c>
      <c r="I1661">
        <v>3</v>
      </c>
      <c r="J1661" t="b">
        <f>AND(CCData[[#This Row],[Date]]&gt;=Calculation!$E$3,CCData[[#This Row],[Date]]&lt;Calculation!$E$3+7)</f>
        <v>0</v>
      </c>
    </row>
    <row r="1662" spans="1:10">
      <c r="A1662" t="s">
        <v>1661</v>
      </c>
      <c r="B1662" s="2">
        <v>42034.531000000003</v>
      </c>
      <c r="C1662" s="3" t="s">
        <v>5007</v>
      </c>
      <c r="D1662" t="s">
        <v>5015</v>
      </c>
      <c r="E1662" t="s">
        <v>5018</v>
      </c>
      <c r="F1662" t="s">
        <v>5018</v>
      </c>
      <c r="G1662">
        <v>41</v>
      </c>
      <c r="H1662" s="5">
        <v>1.0159911276664928E-3</v>
      </c>
      <c r="I1662">
        <v>3</v>
      </c>
      <c r="J1662" t="b">
        <f>AND(CCData[[#This Row],[Date]]&gt;=Calculation!$E$3,CCData[[#This Row],[Date]]&lt;Calculation!$E$3+7)</f>
        <v>0</v>
      </c>
    </row>
    <row r="1663" spans="1:10">
      <c r="A1663" t="s">
        <v>1662</v>
      </c>
      <c r="B1663" s="2">
        <v>42034.531000000003</v>
      </c>
      <c r="C1663" s="3" t="s">
        <v>5004</v>
      </c>
      <c r="D1663" t="s">
        <v>5016</v>
      </c>
      <c r="E1663" t="s">
        <v>5018</v>
      </c>
      <c r="F1663" t="s">
        <v>5018</v>
      </c>
      <c r="G1663">
        <v>69</v>
      </c>
      <c r="H1663" s="5">
        <v>4.8349969079324092E-3</v>
      </c>
      <c r="I1663">
        <v>2</v>
      </c>
      <c r="J1663" t="b">
        <f>AND(CCData[[#This Row],[Date]]&gt;=Calculation!$E$3,CCData[[#This Row],[Date]]&lt;Calculation!$E$3+7)</f>
        <v>0</v>
      </c>
    </row>
    <row r="1664" spans="1:10">
      <c r="A1664" t="s">
        <v>1663</v>
      </c>
      <c r="B1664" s="2">
        <v>42034.534</v>
      </c>
      <c r="C1664" s="3" t="s">
        <v>5005</v>
      </c>
      <c r="D1664" t="s">
        <v>5014</v>
      </c>
      <c r="E1664" t="s">
        <v>5018</v>
      </c>
      <c r="F1664" t="s">
        <v>5018</v>
      </c>
      <c r="G1664">
        <v>116</v>
      </c>
      <c r="H1664" s="5">
        <v>4.3122977558951092E-3</v>
      </c>
      <c r="I1664">
        <v>4</v>
      </c>
      <c r="J1664" t="b">
        <f>AND(CCData[[#This Row],[Date]]&gt;=Calculation!$E$3,CCData[[#This Row],[Date]]&lt;Calculation!$E$3+7)</f>
        <v>0</v>
      </c>
    </row>
    <row r="1665" spans="1:10">
      <c r="A1665" t="s">
        <v>1664</v>
      </c>
      <c r="B1665" s="2">
        <v>42034.534</v>
      </c>
      <c r="C1665" s="3" t="s">
        <v>5004</v>
      </c>
      <c r="D1665" t="s">
        <v>5014</v>
      </c>
      <c r="E1665" t="s">
        <v>5018</v>
      </c>
      <c r="F1665" t="s">
        <v>5019</v>
      </c>
      <c r="G1665">
        <v>98</v>
      </c>
      <c r="H1665" s="5">
        <v>4.2959252679080724E-3</v>
      </c>
      <c r="I1665">
        <v>5</v>
      </c>
      <c r="J1665" t="b">
        <f>AND(CCData[[#This Row],[Date]]&gt;=Calculation!$E$3,CCData[[#This Row],[Date]]&lt;Calculation!$E$3+7)</f>
        <v>0</v>
      </c>
    </row>
    <row r="1666" spans="1:10">
      <c r="A1666" t="s">
        <v>1665</v>
      </c>
      <c r="B1666" s="2">
        <v>42034.536</v>
      </c>
      <c r="C1666" s="3" t="s">
        <v>5010</v>
      </c>
      <c r="D1666" t="s">
        <v>5014</v>
      </c>
      <c r="E1666" t="s">
        <v>5018</v>
      </c>
      <c r="F1666" t="s">
        <v>5018</v>
      </c>
      <c r="G1666">
        <v>16</v>
      </c>
      <c r="H1666" s="5">
        <v>2.8721892519166926E-3</v>
      </c>
      <c r="I1666">
        <v>1</v>
      </c>
      <c r="J1666" t="b">
        <f>AND(CCData[[#This Row],[Date]]&gt;=Calculation!$E$3,CCData[[#This Row],[Date]]&lt;Calculation!$E$3+7)</f>
        <v>0</v>
      </c>
    </row>
    <row r="1667" spans="1:10">
      <c r="A1667" t="s">
        <v>1666</v>
      </c>
      <c r="B1667" s="2">
        <v>42034.536</v>
      </c>
      <c r="C1667" s="3" t="s">
        <v>5009</v>
      </c>
      <c r="D1667" t="s">
        <v>5013</v>
      </c>
      <c r="E1667" t="s">
        <v>5018</v>
      </c>
      <c r="F1667" t="s">
        <v>5018</v>
      </c>
      <c r="G1667">
        <v>43</v>
      </c>
      <c r="H1667" s="5">
        <v>1.3215085426310778E-3</v>
      </c>
      <c r="I1667">
        <v>1</v>
      </c>
      <c r="J1667" t="b">
        <f>AND(CCData[[#This Row],[Date]]&gt;=Calculation!$E$3,CCData[[#This Row],[Date]]&lt;Calculation!$E$3+7)</f>
        <v>0</v>
      </c>
    </row>
    <row r="1668" spans="1:10">
      <c r="A1668" t="s">
        <v>1667</v>
      </c>
      <c r="B1668" s="2">
        <v>42034.544000000002</v>
      </c>
      <c r="C1668" s="3" t="s">
        <v>5010</v>
      </c>
      <c r="D1668" t="s">
        <v>5016</v>
      </c>
      <c r="E1668" t="s">
        <v>5018</v>
      </c>
      <c r="F1668" t="s">
        <v>5018</v>
      </c>
      <c r="G1668">
        <v>17</v>
      </c>
      <c r="H1668" s="5">
        <v>2.5454564916011627E-3</v>
      </c>
      <c r="I1668">
        <v>5</v>
      </c>
      <c r="J1668" t="b">
        <f>AND(CCData[[#This Row],[Date]]&gt;=Calculation!$E$3,CCData[[#This Row],[Date]]&lt;Calculation!$E$3+7)</f>
        <v>0</v>
      </c>
    </row>
    <row r="1669" spans="1:10">
      <c r="A1669" t="s">
        <v>1668</v>
      </c>
      <c r="B1669" s="2">
        <v>42034.544000000002</v>
      </c>
      <c r="C1669" s="3" t="s">
        <v>5004</v>
      </c>
      <c r="D1669" t="s">
        <v>5013</v>
      </c>
      <c r="E1669" t="s">
        <v>5018</v>
      </c>
      <c r="F1669" t="s">
        <v>5018</v>
      </c>
      <c r="G1669">
        <v>27</v>
      </c>
      <c r="H1669" s="5">
        <v>1.9314857682564417E-3</v>
      </c>
      <c r="I1669">
        <v>5</v>
      </c>
      <c r="J1669" t="b">
        <f>AND(CCData[[#This Row],[Date]]&gt;=Calculation!$E$3,CCData[[#This Row],[Date]]&lt;Calculation!$E$3+7)</f>
        <v>0</v>
      </c>
    </row>
    <row r="1670" spans="1:10">
      <c r="A1670" t="s">
        <v>1669</v>
      </c>
      <c r="B1670" s="2">
        <v>42034.569000000003</v>
      </c>
      <c r="C1670" s="3" t="s">
        <v>5004</v>
      </c>
      <c r="D1670" t="s">
        <v>5015</v>
      </c>
      <c r="E1670" t="s">
        <v>5018</v>
      </c>
      <c r="F1670" t="s">
        <v>5018</v>
      </c>
      <c r="G1670">
        <v>88</v>
      </c>
      <c r="H1670" s="5">
        <v>4.3066827899611625E-3</v>
      </c>
      <c r="I1670">
        <v>5</v>
      </c>
      <c r="J1670" t="b">
        <f>AND(CCData[[#This Row],[Date]]&gt;=Calculation!$E$3,CCData[[#This Row],[Date]]&lt;Calculation!$E$3+7)</f>
        <v>0</v>
      </c>
    </row>
    <row r="1671" spans="1:10">
      <c r="A1671" t="s">
        <v>1670</v>
      </c>
      <c r="B1671" s="2">
        <v>42034.569000000003</v>
      </c>
      <c r="C1671" s="3" t="s">
        <v>5010</v>
      </c>
      <c r="D1671" t="s">
        <v>5013</v>
      </c>
      <c r="E1671" t="s">
        <v>5018</v>
      </c>
      <c r="F1671" t="s">
        <v>5019</v>
      </c>
      <c r="G1671">
        <v>45</v>
      </c>
      <c r="H1671" s="5">
        <v>4.7401844554720149E-3</v>
      </c>
      <c r="I1671">
        <v>4</v>
      </c>
      <c r="J1671" t="b">
        <f>AND(CCData[[#This Row],[Date]]&gt;=Calculation!$E$3,CCData[[#This Row],[Date]]&lt;Calculation!$E$3+7)</f>
        <v>0</v>
      </c>
    </row>
    <row r="1672" spans="1:10">
      <c r="A1672" t="s">
        <v>1671</v>
      </c>
      <c r="B1672" s="2">
        <v>42034.584000000003</v>
      </c>
      <c r="C1672" s="3" t="s">
        <v>5008</v>
      </c>
      <c r="D1672" t="s">
        <v>5013</v>
      </c>
      <c r="E1672" t="s">
        <v>5018</v>
      </c>
      <c r="F1672" t="s">
        <v>5019</v>
      </c>
      <c r="G1672">
        <v>19</v>
      </c>
      <c r="H1672" s="5">
        <v>1.5733767064877125E-3</v>
      </c>
      <c r="I1672">
        <v>4</v>
      </c>
      <c r="J1672" t="b">
        <f>AND(CCData[[#This Row],[Date]]&gt;=Calculation!$E$3,CCData[[#This Row],[Date]]&lt;Calculation!$E$3+7)</f>
        <v>0</v>
      </c>
    </row>
    <row r="1673" spans="1:10">
      <c r="A1673" t="s">
        <v>1672</v>
      </c>
      <c r="B1673" s="2">
        <v>42034.584000000003</v>
      </c>
      <c r="C1673" s="3" t="s">
        <v>5008</v>
      </c>
      <c r="D1673" t="s">
        <v>5014</v>
      </c>
      <c r="E1673" t="s">
        <v>5019</v>
      </c>
      <c r="F1673" t="s">
        <v>5019</v>
      </c>
      <c r="G1673" t="s">
        <v>5022</v>
      </c>
      <c r="H1673" s="5" t="s">
        <v>5022</v>
      </c>
      <c r="I1673" t="s">
        <v>5022</v>
      </c>
      <c r="J1673" t="b">
        <f>AND(CCData[[#This Row],[Date]]&gt;=Calculation!$E$3,CCData[[#This Row],[Date]]&lt;Calculation!$E$3+7)</f>
        <v>0</v>
      </c>
    </row>
    <row r="1674" spans="1:10">
      <c r="A1674" t="s">
        <v>1673</v>
      </c>
      <c r="B1674" s="2">
        <v>42034.59</v>
      </c>
      <c r="C1674" s="3" t="s">
        <v>5005</v>
      </c>
      <c r="D1674" t="s">
        <v>5012</v>
      </c>
      <c r="E1674" t="s">
        <v>5018</v>
      </c>
      <c r="F1674" t="s">
        <v>5018</v>
      </c>
      <c r="G1674">
        <v>85</v>
      </c>
      <c r="H1674" s="5">
        <v>2.1348350914573498E-3</v>
      </c>
      <c r="I1674">
        <v>4</v>
      </c>
      <c r="J1674" t="b">
        <f>AND(CCData[[#This Row],[Date]]&gt;=Calculation!$E$3,CCData[[#This Row],[Date]]&lt;Calculation!$E$3+7)</f>
        <v>0</v>
      </c>
    </row>
    <row r="1675" spans="1:10">
      <c r="A1675" t="s">
        <v>1674</v>
      </c>
      <c r="B1675" s="2">
        <v>42034.59</v>
      </c>
      <c r="C1675" s="3" t="s">
        <v>5005</v>
      </c>
      <c r="D1675" t="s">
        <v>5014</v>
      </c>
      <c r="E1675" t="s">
        <v>5019</v>
      </c>
      <c r="F1675" t="s">
        <v>5019</v>
      </c>
      <c r="G1675" t="s">
        <v>5022</v>
      </c>
      <c r="H1675" s="5" t="s">
        <v>5022</v>
      </c>
      <c r="I1675" t="s">
        <v>5022</v>
      </c>
      <c r="J1675" t="b">
        <f>AND(CCData[[#This Row],[Date]]&gt;=Calculation!$E$3,CCData[[#This Row],[Date]]&lt;Calculation!$E$3+7)</f>
        <v>0</v>
      </c>
    </row>
    <row r="1676" spans="1:10">
      <c r="A1676" t="s">
        <v>1675</v>
      </c>
      <c r="B1676" s="2">
        <v>42034.591</v>
      </c>
      <c r="C1676" s="3" t="s">
        <v>5005</v>
      </c>
      <c r="D1676" t="s">
        <v>5014</v>
      </c>
      <c r="E1676" t="s">
        <v>5018</v>
      </c>
      <c r="F1676" t="s">
        <v>5019</v>
      </c>
      <c r="G1676">
        <v>122</v>
      </c>
      <c r="H1676" s="5">
        <v>2.5020027102378123E-3</v>
      </c>
      <c r="I1676">
        <v>3</v>
      </c>
      <c r="J1676" t="b">
        <f>AND(CCData[[#This Row],[Date]]&gt;=Calculation!$E$3,CCData[[#This Row],[Date]]&lt;Calculation!$E$3+7)</f>
        <v>0</v>
      </c>
    </row>
    <row r="1677" spans="1:10">
      <c r="A1677" t="s">
        <v>1676</v>
      </c>
      <c r="B1677" s="2">
        <v>42034.591</v>
      </c>
      <c r="C1677" s="3" t="s">
        <v>5004</v>
      </c>
      <c r="D1677" t="s">
        <v>5013</v>
      </c>
      <c r="E1677" t="s">
        <v>5018</v>
      </c>
      <c r="F1677" t="s">
        <v>5018</v>
      </c>
      <c r="G1677">
        <v>78</v>
      </c>
      <c r="H1677" s="5">
        <v>3.9468973747779652E-3</v>
      </c>
      <c r="I1677">
        <v>2</v>
      </c>
      <c r="J1677" t="b">
        <f>AND(CCData[[#This Row],[Date]]&gt;=Calculation!$E$3,CCData[[#This Row],[Date]]&lt;Calculation!$E$3+7)</f>
        <v>0</v>
      </c>
    </row>
    <row r="1678" spans="1:10">
      <c r="A1678" t="s">
        <v>1677</v>
      </c>
      <c r="B1678" s="2">
        <v>42034.608999999997</v>
      </c>
      <c r="C1678" s="3" t="s">
        <v>5008</v>
      </c>
      <c r="D1678" t="s">
        <v>5014</v>
      </c>
      <c r="E1678" t="s">
        <v>5018</v>
      </c>
      <c r="F1678" t="s">
        <v>5019</v>
      </c>
      <c r="G1678">
        <v>68</v>
      </c>
      <c r="H1678" s="5">
        <v>7.4702275490571505E-4</v>
      </c>
      <c r="I1678">
        <v>2</v>
      </c>
      <c r="J1678" t="b">
        <f>AND(CCData[[#This Row],[Date]]&gt;=Calculation!$E$3,CCData[[#This Row],[Date]]&lt;Calculation!$E$3+7)</f>
        <v>0</v>
      </c>
    </row>
    <row r="1679" spans="1:10">
      <c r="A1679" t="s">
        <v>1678</v>
      </c>
      <c r="B1679" s="2">
        <v>42034.608999999997</v>
      </c>
      <c r="C1679" s="3" t="s">
        <v>5006</v>
      </c>
      <c r="D1679" t="s">
        <v>5016</v>
      </c>
      <c r="E1679" t="s">
        <v>5018</v>
      </c>
      <c r="F1679" t="s">
        <v>5018</v>
      </c>
      <c r="G1679">
        <v>33</v>
      </c>
      <c r="H1679" s="5">
        <v>3.1842494325181941E-3</v>
      </c>
      <c r="I1679">
        <v>3</v>
      </c>
      <c r="J1679" t="b">
        <f>AND(CCData[[#This Row],[Date]]&gt;=Calculation!$E$3,CCData[[#This Row],[Date]]&lt;Calculation!$E$3+7)</f>
        <v>0</v>
      </c>
    </row>
    <row r="1680" spans="1:10">
      <c r="A1680" t="s">
        <v>1679</v>
      </c>
      <c r="B1680" s="2">
        <v>42034.625</v>
      </c>
      <c r="C1680" s="3" t="s">
        <v>5004</v>
      </c>
      <c r="D1680" t="s">
        <v>5014</v>
      </c>
      <c r="E1680" t="s">
        <v>5018</v>
      </c>
      <c r="F1680" t="s">
        <v>5018</v>
      </c>
      <c r="G1680">
        <v>19</v>
      </c>
      <c r="H1680" s="5">
        <v>4.1301237764599609E-3</v>
      </c>
      <c r="I1680">
        <v>1</v>
      </c>
      <c r="J1680" t="b">
        <f>AND(CCData[[#This Row],[Date]]&gt;=Calculation!$E$3,CCData[[#This Row],[Date]]&lt;Calculation!$E$3+7)</f>
        <v>0</v>
      </c>
    </row>
    <row r="1681" spans="1:10">
      <c r="A1681" t="s">
        <v>1680</v>
      </c>
      <c r="B1681" s="2">
        <v>42034.625</v>
      </c>
      <c r="C1681" s="3" t="s">
        <v>5009</v>
      </c>
      <c r="D1681" t="s">
        <v>5012</v>
      </c>
      <c r="E1681" t="s">
        <v>5018</v>
      </c>
      <c r="F1681" t="s">
        <v>5018</v>
      </c>
      <c r="G1681">
        <v>97</v>
      </c>
      <c r="H1681" s="5">
        <v>4.7821134802105373E-3</v>
      </c>
      <c r="I1681">
        <v>5</v>
      </c>
      <c r="J1681" t="b">
        <f>AND(CCData[[#This Row],[Date]]&gt;=Calculation!$E$3,CCData[[#This Row],[Date]]&lt;Calculation!$E$3+7)</f>
        <v>0</v>
      </c>
    </row>
    <row r="1682" spans="1:10">
      <c r="A1682" t="s">
        <v>1681</v>
      </c>
      <c r="B1682" s="2">
        <v>42034.652000000002</v>
      </c>
      <c r="C1682" s="3" t="s">
        <v>5008</v>
      </c>
      <c r="D1682" t="s">
        <v>5014</v>
      </c>
      <c r="E1682" t="s">
        <v>5018</v>
      </c>
      <c r="F1682" t="s">
        <v>5018</v>
      </c>
      <c r="G1682">
        <v>33</v>
      </c>
      <c r="H1682" s="5">
        <v>9.1818623209971421E-4</v>
      </c>
      <c r="I1682">
        <v>2</v>
      </c>
      <c r="J1682" t="b">
        <f>AND(CCData[[#This Row],[Date]]&gt;=Calculation!$E$3,CCData[[#This Row],[Date]]&lt;Calculation!$E$3+7)</f>
        <v>0</v>
      </c>
    </row>
    <row r="1683" spans="1:10">
      <c r="A1683" t="s">
        <v>1682</v>
      </c>
      <c r="B1683" s="2">
        <v>42034.652000000002</v>
      </c>
      <c r="C1683" s="3" t="s">
        <v>5009</v>
      </c>
      <c r="D1683" t="s">
        <v>5015</v>
      </c>
      <c r="E1683" t="s">
        <v>5018</v>
      </c>
      <c r="F1683" t="s">
        <v>5018</v>
      </c>
      <c r="G1683">
        <v>124</v>
      </c>
      <c r="H1683" s="5">
        <v>3.3345093386430648E-3</v>
      </c>
      <c r="I1683">
        <v>5</v>
      </c>
      <c r="J1683" t="b">
        <f>AND(CCData[[#This Row],[Date]]&gt;=Calculation!$E$3,CCData[[#This Row],[Date]]&lt;Calculation!$E$3+7)</f>
        <v>0</v>
      </c>
    </row>
    <row r="1684" spans="1:10">
      <c r="A1684" t="s">
        <v>1683</v>
      </c>
      <c r="B1684" s="2">
        <v>42034.656000000003</v>
      </c>
      <c r="C1684" s="3" t="s">
        <v>5005</v>
      </c>
      <c r="D1684" t="s">
        <v>5015</v>
      </c>
      <c r="E1684" t="s">
        <v>5018</v>
      </c>
      <c r="F1684" t="s">
        <v>5018</v>
      </c>
      <c r="G1684">
        <v>78</v>
      </c>
      <c r="H1684" s="5">
        <v>3.5723848287418942E-3</v>
      </c>
      <c r="I1684">
        <v>1</v>
      </c>
      <c r="J1684" t="b">
        <f>AND(CCData[[#This Row],[Date]]&gt;=Calculation!$E$3,CCData[[#This Row],[Date]]&lt;Calculation!$E$3+7)</f>
        <v>0</v>
      </c>
    </row>
    <row r="1685" spans="1:10">
      <c r="A1685" t="s">
        <v>1684</v>
      </c>
      <c r="B1685" s="2">
        <v>42034.656000000003</v>
      </c>
      <c r="C1685" s="3" t="s">
        <v>5003</v>
      </c>
      <c r="D1685" t="s">
        <v>5014</v>
      </c>
      <c r="E1685" t="s">
        <v>5019</v>
      </c>
      <c r="F1685" t="s">
        <v>5019</v>
      </c>
      <c r="G1685" t="s">
        <v>5022</v>
      </c>
      <c r="H1685" s="5" t="s">
        <v>5022</v>
      </c>
      <c r="I1685" t="s">
        <v>5022</v>
      </c>
      <c r="J1685" t="b">
        <f>AND(CCData[[#This Row],[Date]]&gt;=Calculation!$E$3,CCData[[#This Row],[Date]]&lt;Calculation!$E$3+7)</f>
        <v>0</v>
      </c>
    </row>
    <row r="1686" spans="1:10">
      <c r="A1686" t="s">
        <v>1685</v>
      </c>
      <c r="B1686" s="2">
        <v>42034.661</v>
      </c>
      <c r="C1686" s="3" t="s">
        <v>5010</v>
      </c>
      <c r="D1686" t="s">
        <v>5013</v>
      </c>
      <c r="E1686" t="s">
        <v>5018</v>
      </c>
      <c r="F1686" t="s">
        <v>5018</v>
      </c>
      <c r="G1686">
        <v>111</v>
      </c>
      <c r="H1686" s="5">
        <v>1.7893110299186004E-3</v>
      </c>
      <c r="I1686">
        <v>5</v>
      </c>
      <c r="J1686" t="b">
        <f>AND(CCData[[#This Row],[Date]]&gt;=Calculation!$E$3,CCData[[#This Row],[Date]]&lt;Calculation!$E$3+7)</f>
        <v>0</v>
      </c>
    </row>
    <row r="1687" spans="1:10">
      <c r="A1687" t="s">
        <v>1686</v>
      </c>
      <c r="B1687" s="2">
        <v>42034.661</v>
      </c>
      <c r="C1687" s="3" t="s">
        <v>5003</v>
      </c>
      <c r="D1687" t="s">
        <v>5012</v>
      </c>
      <c r="E1687" t="s">
        <v>5018</v>
      </c>
      <c r="F1687" t="s">
        <v>5018</v>
      </c>
      <c r="G1687">
        <v>27</v>
      </c>
      <c r="H1687" s="5">
        <v>2.5111294269907275E-3</v>
      </c>
      <c r="I1687">
        <v>5</v>
      </c>
      <c r="J1687" t="b">
        <f>AND(CCData[[#This Row],[Date]]&gt;=Calculation!$E$3,CCData[[#This Row],[Date]]&lt;Calculation!$E$3+7)</f>
        <v>0</v>
      </c>
    </row>
    <row r="1688" spans="1:10">
      <c r="A1688" t="s">
        <v>1687</v>
      </c>
      <c r="B1688" s="2">
        <v>42034.665999999997</v>
      </c>
      <c r="C1688" s="3" t="s">
        <v>5010</v>
      </c>
      <c r="D1688" t="s">
        <v>5013</v>
      </c>
      <c r="E1688" t="s">
        <v>5018</v>
      </c>
      <c r="F1688" t="s">
        <v>5018</v>
      </c>
      <c r="G1688">
        <v>18</v>
      </c>
      <c r="H1688" s="5">
        <v>3.256518736649693E-3</v>
      </c>
      <c r="I1688">
        <v>3</v>
      </c>
      <c r="J1688" t="b">
        <f>AND(CCData[[#This Row],[Date]]&gt;=Calculation!$E$3,CCData[[#This Row],[Date]]&lt;Calculation!$E$3+7)</f>
        <v>0</v>
      </c>
    </row>
    <row r="1689" spans="1:10">
      <c r="A1689" t="s">
        <v>1688</v>
      </c>
      <c r="B1689" s="2">
        <v>42034.665999999997</v>
      </c>
      <c r="C1689" s="3" t="s">
        <v>5006</v>
      </c>
      <c r="D1689" t="s">
        <v>5016</v>
      </c>
      <c r="E1689" t="s">
        <v>5018</v>
      </c>
      <c r="F1689" t="s">
        <v>5018</v>
      </c>
      <c r="G1689">
        <v>31</v>
      </c>
      <c r="H1689" s="5">
        <v>2.9836647628674611E-3</v>
      </c>
      <c r="I1689">
        <v>4</v>
      </c>
      <c r="J1689" t="b">
        <f>AND(CCData[[#This Row],[Date]]&gt;=Calculation!$E$3,CCData[[#This Row],[Date]]&lt;Calculation!$E$3+7)</f>
        <v>0</v>
      </c>
    </row>
    <row r="1690" spans="1:10">
      <c r="A1690" t="s">
        <v>1689</v>
      </c>
      <c r="B1690" s="2">
        <v>42034.675999999999</v>
      </c>
      <c r="C1690" s="3" t="s">
        <v>5005</v>
      </c>
      <c r="D1690" t="s">
        <v>5015</v>
      </c>
      <c r="E1690" t="s">
        <v>5018</v>
      </c>
      <c r="F1690" t="s">
        <v>5019</v>
      </c>
      <c r="G1690">
        <v>65</v>
      </c>
      <c r="H1690" s="5">
        <v>2.557529197275673E-3</v>
      </c>
      <c r="I1690">
        <v>4</v>
      </c>
      <c r="J1690" t="b">
        <f>AND(CCData[[#This Row],[Date]]&gt;=Calculation!$E$3,CCData[[#This Row],[Date]]&lt;Calculation!$E$3+7)</f>
        <v>0</v>
      </c>
    </row>
    <row r="1691" spans="1:10">
      <c r="A1691" t="s">
        <v>1690</v>
      </c>
      <c r="B1691" s="2">
        <v>42034.675999999999</v>
      </c>
      <c r="C1691" s="3" t="s">
        <v>5004</v>
      </c>
      <c r="D1691" t="s">
        <v>5015</v>
      </c>
      <c r="E1691" t="s">
        <v>5019</v>
      </c>
      <c r="F1691" t="s">
        <v>5019</v>
      </c>
      <c r="G1691" t="s">
        <v>5022</v>
      </c>
      <c r="H1691" s="5" t="s">
        <v>5022</v>
      </c>
      <c r="I1691" t="s">
        <v>5022</v>
      </c>
      <c r="J1691" t="b">
        <f>AND(CCData[[#This Row],[Date]]&gt;=Calculation!$E$3,CCData[[#This Row],[Date]]&lt;Calculation!$E$3+7)</f>
        <v>0</v>
      </c>
    </row>
    <row r="1692" spans="1:10">
      <c r="A1692" t="s">
        <v>1691</v>
      </c>
      <c r="B1692" s="2">
        <v>42034.68</v>
      </c>
      <c r="C1692" s="3" t="s">
        <v>5004</v>
      </c>
      <c r="D1692" t="s">
        <v>5013</v>
      </c>
      <c r="E1692" t="s">
        <v>5018</v>
      </c>
      <c r="F1692" t="s">
        <v>5018</v>
      </c>
      <c r="G1692">
        <v>91</v>
      </c>
      <c r="H1692" s="5">
        <v>5.7943831233342653E-4</v>
      </c>
      <c r="I1692">
        <v>3</v>
      </c>
      <c r="J1692" t="b">
        <f>AND(CCData[[#This Row],[Date]]&gt;=Calculation!$E$3,CCData[[#This Row],[Date]]&lt;Calculation!$E$3+7)</f>
        <v>0</v>
      </c>
    </row>
    <row r="1693" spans="1:10">
      <c r="A1693" t="s">
        <v>1692</v>
      </c>
      <c r="B1693" s="2">
        <v>42034.68</v>
      </c>
      <c r="C1693" s="3" t="s">
        <v>5005</v>
      </c>
      <c r="D1693" t="s">
        <v>5013</v>
      </c>
      <c r="E1693" t="s">
        <v>5018</v>
      </c>
      <c r="F1693" t="s">
        <v>5018</v>
      </c>
      <c r="G1693">
        <v>71</v>
      </c>
      <c r="H1693" s="5">
        <v>1.0087390099496338E-3</v>
      </c>
      <c r="I1693">
        <v>2</v>
      </c>
      <c r="J1693" t="b">
        <f>AND(CCData[[#This Row],[Date]]&gt;=Calculation!$E$3,CCData[[#This Row],[Date]]&lt;Calculation!$E$3+7)</f>
        <v>0</v>
      </c>
    </row>
    <row r="1694" spans="1:10">
      <c r="A1694" t="s">
        <v>1693</v>
      </c>
      <c r="B1694" s="2">
        <v>42034.68</v>
      </c>
      <c r="C1694" s="3" t="s">
        <v>5006</v>
      </c>
      <c r="D1694" t="s">
        <v>5012</v>
      </c>
      <c r="E1694" t="s">
        <v>5019</v>
      </c>
      <c r="F1694" t="s">
        <v>5019</v>
      </c>
      <c r="G1694" t="s">
        <v>5022</v>
      </c>
      <c r="H1694" s="5" t="s">
        <v>5022</v>
      </c>
      <c r="I1694" t="s">
        <v>5022</v>
      </c>
      <c r="J1694" t="b">
        <f>AND(CCData[[#This Row],[Date]]&gt;=Calculation!$E$3,CCData[[#This Row],[Date]]&lt;Calculation!$E$3+7)</f>
        <v>0</v>
      </c>
    </row>
    <row r="1695" spans="1:10">
      <c r="A1695" t="s">
        <v>1694</v>
      </c>
      <c r="B1695" s="2">
        <v>42034.68</v>
      </c>
      <c r="C1695" s="3" t="s">
        <v>5005</v>
      </c>
      <c r="D1695" t="s">
        <v>5012</v>
      </c>
      <c r="E1695" t="s">
        <v>5018</v>
      </c>
      <c r="F1695" t="s">
        <v>5018</v>
      </c>
      <c r="G1695">
        <v>78</v>
      </c>
      <c r="H1695" s="5">
        <v>3.0828534710688102E-3</v>
      </c>
      <c r="I1695">
        <v>3</v>
      </c>
      <c r="J1695" t="b">
        <f>AND(CCData[[#This Row],[Date]]&gt;=Calculation!$E$3,CCData[[#This Row],[Date]]&lt;Calculation!$E$3+7)</f>
        <v>0</v>
      </c>
    </row>
    <row r="1696" spans="1:10">
      <c r="A1696" t="s">
        <v>1695</v>
      </c>
      <c r="B1696" s="2">
        <v>42034.688999999998</v>
      </c>
      <c r="C1696" s="3" t="s">
        <v>5007</v>
      </c>
      <c r="D1696" t="s">
        <v>5013</v>
      </c>
      <c r="E1696" t="s">
        <v>5019</v>
      </c>
      <c r="F1696" t="s">
        <v>5019</v>
      </c>
      <c r="G1696" t="s">
        <v>5022</v>
      </c>
      <c r="H1696" s="5" t="s">
        <v>5022</v>
      </c>
      <c r="I1696" t="s">
        <v>5022</v>
      </c>
      <c r="J1696" t="b">
        <f>AND(CCData[[#This Row],[Date]]&gt;=Calculation!$E$3,CCData[[#This Row],[Date]]&lt;Calculation!$E$3+7)</f>
        <v>0</v>
      </c>
    </row>
    <row r="1697" spans="1:10">
      <c r="A1697" t="s">
        <v>1696</v>
      </c>
      <c r="B1697" s="2">
        <v>42034.688999999998</v>
      </c>
      <c r="C1697" s="3" t="s">
        <v>5007</v>
      </c>
      <c r="D1697" t="s">
        <v>5012</v>
      </c>
      <c r="E1697" t="s">
        <v>5019</v>
      </c>
      <c r="F1697" t="s">
        <v>5019</v>
      </c>
      <c r="G1697" t="s">
        <v>5022</v>
      </c>
      <c r="H1697" s="5" t="s">
        <v>5022</v>
      </c>
      <c r="I1697" t="s">
        <v>5022</v>
      </c>
      <c r="J1697" t="b">
        <f>AND(CCData[[#This Row],[Date]]&gt;=Calculation!$E$3,CCData[[#This Row],[Date]]&lt;Calculation!$E$3+7)</f>
        <v>0</v>
      </c>
    </row>
    <row r="1698" spans="1:10">
      <c r="A1698" t="s">
        <v>1697</v>
      </c>
      <c r="B1698" s="2">
        <v>42034.701000000001</v>
      </c>
      <c r="C1698" s="3" t="s">
        <v>5010</v>
      </c>
      <c r="D1698" t="s">
        <v>5013</v>
      </c>
      <c r="E1698" t="s">
        <v>5019</v>
      </c>
      <c r="F1698" t="s">
        <v>5019</v>
      </c>
      <c r="G1698" t="s">
        <v>5022</v>
      </c>
      <c r="H1698" s="5" t="s">
        <v>5022</v>
      </c>
      <c r="I1698" t="s">
        <v>5022</v>
      </c>
      <c r="J1698" t="b">
        <f>AND(CCData[[#This Row],[Date]]&gt;=Calculation!$E$3,CCData[[#This Row],[Date]]&lt;Calculation!$E$3+7)</f>
        <v>0</v>
      </c>
    </row>
    <row r="1699" spans="1:10">
      <c r="A1699" t="s">
        <v>1698</v>
      </c>
      <c r="B1699" s="2">
        <v>42034.701000000001</v>
      </c>
      <c r="C1699" s="3" t="s">
        <v>5007</v>
      </c>
      <c r="D1699" t="s">
        <v>5015</v>
      </c>
      <c r="E1699" t="s">
        <v>5018</v>
      </c>
      <c r="F1699" t="s">
        <v>5018</v>
      </c>
      <c r="G1699">
        <v>107</v>
      </c>
      <c r="H1699" s="5">
        <v>2.2772757209439461E-3</v>
      </c>
      <c r="I1699">
        <v>3</v>
      </c>
      <c r="J1699" t="b">
        <f>AND(CCData[[#This Row],[Date]]&gt;=Calculation!$E$3,CCData[[#This Row],[Date]]&lt;Calculation!$E$3+7)</f>
        <v>0</v>
      </c>
    </row>
    <row r="1700" spans="1:10">
      <c r="A1700" t="s">
        <v>1699</v>
      </c>
      <c r="B1700" s="2">
        <v>42034.703000000001</v>
      </c>
      <c r="C1700" s="3" t="s">
        <v>5010</v>
      </c>
      <c r="D1700" t="s">
        <v>5016</v>
      </c>
      <c r="E1700" t="s">
        <v>5018</v>
      </c>
      <c r="F1700" t="s">
        <v>5018</v>
      </c>
      <c r="G1700">
        <v>17</v>
      </c>
      <c r="H1700" s="5">
        <v>2.2188093136932389E-3</v>
      </c>
      <c r="I1700">
        <v>3</v>
      </c>
      <c r="J1700" t="b">
        <f>AND(CCData[[#This Row],[Date]]&gt;=Calculation!$E$3,CCData[[#This Row],[Date]]&lt;Calculation!$E$3+7)</f>
        <v>0</v>
      </c>
    </row>
    <row r="1701" spans="1:10">
      <c r="A1701" t="s">
        <v>1700</v>
      </c>
      <c r="B1701" s="2">
        <v>42034.703000000001</v>
      </c>
      <c r="C1701" s="3" t="s">
        <v>5004</v>
      </c>
      <c r="D1701" t="s">
        <v>5012</v>
      </c>
      <c r="E1701" t="s">
        <v>5018</v>
      </c>
      <c r="F1701" t="s">
        <v>5018</v>
      </c>
      <c r="G1701">
        <v>53</v>
      </c>
      <c r="H1701" s="5">
        <v>2.5429743316705369E-3</v>
      </c>
      <c r="I1701">
        <v>1</v>
      </c>
      <c r="J1701" t="b">
        <f>AND(CCData[[#This Row],[Date]]&gt;=Calculation!$E$3,CCData[[#This Row],[Date]]&lt;Calculation!$E$3+7)</f>
        <v>0</v>
      </c>
    </row>
    <row r="1702" spans="1:10">
      <c r="A1702" t="s">
        <v>1701</v>
      </c>
      <c r="B1702" s="2">
        <v>42034.714999999997</v>
      </c>
      <c r="C1702" s="3" t="s">
        <v>5003</v>
      </c>
      <c r="D1702" t="s">
        <v>5013</v>
      </c>
      <c r="E1702" t="s">
        <v>5018</v>
      </c>
      <c r="F1702" t="s">
        <v>5018</v>
      </c>
      <c r="G1702">
        <v>49</v>
      </c>
      <c r="H1702" s="5">
        <v>4.5431663460064869E-3</v>
      </c>
      <c r="I1702">
        <v>5</v>
      </c>
      <c r="J1702" t="b">
        <f>AND(CCData[[#This Row],[Date]]&gt;=Calculation!$E$3,CCData[[#This Row],[Date]]&lt;Calculation!$E$3+7)</f>
        <v>0</v>
      </c>
    </row>
    <row r="1703" spans="1:10">
      <c r="A1703" t="s">
        <v>1702</v>
      </c>
      <c r="B1703" s="2">
        <v>42034.714999999997</v>
      </c>
      <c r="C1703" s="3" t="s">
        <v>5006</v>
      </c>
      <c r="D1703" t="s">
        <v>5016</v>
      </c>
      <c r="E1703" t="s">
        <v>5018</v>
      </c>
      <c r="F1703" t="s">
        <v>5018</v>
      </c>
      <c r="G1703">
        <v>33</v>
      </c>
      <c r="H1703" s="5">
        <v>7.5636959042388351E-4</v>
      </c>
      <c r="I1703">
        <v>5</v>
      </c>
      <c r="J1703" t="b">
        <f>AND(CCData[[#This Row],[Date]]&gt;=Calculation!$E$3,CCData[[#This Row],[Date]]&lt;Calculation!$E$3+7)</f>
        <v>0</v>
      </c>
    </row>
    <row r="1704" spans="1:10">
      <c r="A1704" t="s">
        <v>1703</v>
      </c>
      <c r="B1704" s="2">
        <v>42034.716999999997</v>
      </c>
      <c r="C1704" s="3" t="s">
        <v>5003</v>
      </c>
      <c r="D1704" t="s">
        <v>5016</v>
      </c>
      <c r="E1704" t="s">
        <v>5018</v>
      </c>
      <c r="F1704" t="s">
        <v>5018</v>
      </c>
      <c r="G1704">
        <v>103</v>
      </c>
      <c r="H1704" s="5">
        <v>2.5323325902755949E-3</v>
      </c>
      <c r="I1704">
        <v>2</v>
      </c>
      <c r="J1704" t="b">
        <f>AND(CCData[[#This Row],[Date]]&gt;=Calculation!$E$3,CCData[[#This Row],[Date]]&lt;Calculation!$E$3+7)</f>
        <v>0</v>
      </c>
    </row>
    <row r="1705" spans="1:10">
      <c r="A1705" t="s">
        <v>1704</v>
      </c>
      <c r="B1705" s="2">
        <v>42034.716999999997</v>
      </c>
      <c r="C1705" s="3" t="s">
        <v>5006</v>
      </c>
      <c r="D1705" t="s">
        <v>5014</v>
      </c>
      <c r="E1705" t="s">
        <v>5018</v>
      </c>
      <c r="F1705" t="s">
        <v>5018</v>
      </c>
      <c r="G1705">
        <v>114</v>
      </c>
      <c r="H1705" s="5">
        <v>2.3336651734417067E-3</v>
      </c>
      <c r="I1705">
        <v>3</v>
      </c>
      <c r="J1705" t="b">
        <f>AND(CCData[[#This Row],[Date]]&gt;=Calculation!$E$3,CCData[[#This Row],[Date]]&lt;Calculation!$E$3+7)</f>
        <v>0</v>
      </c>
    </row>
    <row r="1706" spans="1:10">
      <c r="A1706" t="s">
        <v>1705</v>
      </c>
      <c r="B1706" s="2">
        <v>42034.720999999998</v>
      </c>
      <c r="C1706" s="3" t="s">
        <v>5005</v>
      </c>
      <c r="D1706" t="s">
        <v>5012</v>
      </c>
      <c r="E1706" t="s">
        <v>5019</v>
      </c>
      <c r="F1706" t="s">
        <v>5019</v>
      </c>
      <c r="G1706" t="s">
        <v>5022</v>
      </c>
      <c r="H1706" s="5" t="s">
        <v>5022</v>
      </c>
      <c r="I1706" t="s">
        <v>5022</v>
      </c>
      <c r="J1706" t="b">
        <f>AND(CCData[[#This Row],[Date]]&gt;=Calculation!$E$3,CCData[[#This Row],[Date]]&lt;Calculation!$E$3+7)</f>
        <v>0</v>
      </c>
    </row>
    <row r="1707" spans="1:10">
      <c r="A1707" t="s">
        <v>1706</v>
      </c>
      <c r="B1707" s="2">
        <v>42034.720999999998</v>
      </c>
      <c r="C1707" s="3" t="s">
        <v>5007</v>
      </c>
      <c r="D1707" t="s">
        <v>5015</v>
      </c>
      <c r="E1707" t="s">
        <v>5019</v>
      </c>
      <c r="F1707" t="s">
        <v>5019</v>
      </c>
      <c r="G1707" t="s">
        <v>5022</v>
      </c>
      <c r="H1707" s="5" t="s">
        <v>5022</v>
      </c>
      <c r="I1707" t="s">
        <v>5022</v>
      </c>
      <c r="J1707" t="b">
        <f>AND(CCData[[#This Row],[Date]]&gt;=Calculation!$E$3,CCData[[#This Row],[Date]]&lt;Calculation!$E$3+7)</f>
        <v>0</v>
      </c>
    </row>
    <row r="1708" spans="1:10">
      <c r="A1708" t="s">
        <v>1707</v>
      </c>
      <c r="B1708" s="2">
        <v>42034.726000000002</v>
      </c>
      <c r="C1708" s="3" t="s">
        <v>5009</v>
      </c>
      <c r="D1708" t="s">
        <v>5014</v>
      </c>
      <c r="E1708" t="s">
        <v>5019</v>
      </c>
      <c r="F1708" t="s">
        <v>5019</v>
      </c>
      <c r="G1708" t="s">
        <v>5022</v>
      </c>
      <c r="H1708" s="5" t="s">
        <v>5022</v>
      </c>
      <c r="I1708" t="s">
        <v>5022</v>
      </c>
      <c r="J1708" t="b">
        <f>AND(CCData[[#This Row],[Date]]&gt;=Calculation!$E$3,CCData[[#This Row],[Date]]&lt;Calculation!$E$3+7)</f>
        <v>0</v>
      </c>
    </row>
    <row r="1709" spans="1:10">
      <c r="A1709" t="s">
        <v>1708</v>
      </c>
      <c r="B1709" s="2">
        <v>42034.726000000002</v>
      </c>
      <c r="C1709" s="3" t="s">
        <v>5010</v>
      </c>
      <c r="D1709" t="s">
        <v>5016</v>
      </c>
      <c r="E1709" t="s">
        <v>5018</v>
      </c>
      <c r="F1709" t="s">
        <v>5018</v>
      </c>
      <c r="G1709">
        <v>38</v>
      </c>
      <c r="H1709" s="5">
        <v>4.751552614974168E-3</v>
      </c>
      <c r="I1709">
        <v>2</v>
      </c>
      <c r="J1709" t="b">
        <f>AND(CCData[[#This Row],[Date]]&gt;=Calculation!$E$3,CCData[[#This Row],[Date]]&lt;Calculation!$E$3+7)</f>
        <v>0</v>
      </c>
    </row>
    <row r="1710" spans="1:10">
      <c r="A1710" t="s">
        <v>1709</v>
      </c>
      <c r="B1710" s="2">
        <v>42034.728999999999</v>
      </c>
      <c r="C1710" s="3" t="s">
        <v>5005</v>
      </c>
      <c r="D1710" t="s">
        <v>5012</v>
      </c>
      <c r="E1710" t="s">
        <v>5018</v>
      </c>
      <c r="F1710" t="s">
        <v>5019</v>
      </c>
      <c r="G1710">
        <v>50</v>
      </c>
      <c r="H1710" s="5">
        <v>9.0947324683143132E-4</v>
      </c>
      <c r="I1710">
        <v>2</v>
      </c>
      <c r="J1710" t="b">
        <f>AND(CCData[[#This Row],[Date]]&gt;=Calculation!$E$3,CCData[[#This Row],[Date]]&lt;Calculation!$E$3+7)</f>
        <v>0</v>
      </c>
    </row>
    <row r="1711" spans="1:10">
      <c r="A1711" t="s">
        <v>1710</v>
      </c>
      <c r="B1711" s="2">
        <v>42034.728999999999</v>
      </c>
      <c r="C1711" s="3" t="s">
        <v>5004</v>
      </c>
      <c r="D1711" t="s">
        <v>5012</v>
      </c>
      <c r="E1711" t="s">
        <v>5018</v>
      </c>
      <c r="F1711" t="s">
        <v>5019</v>
      </c>
      <c r="G1711">
        <v>33</v>
      </c>
      <c r="H1711" s="5">
        <v>2.7369543651726549E-3</v>
      </c>
      <c r="I1711">
        <v>4</v>
      </c>
      <c r="J1711" t="b">
        <f>AND(CCData[[#This Row],[Date]]&gt;=Calculation!$E$3,CCData[[#This Row],[Date]]&lt;Calculation!$E$3+7)</f>
        <v>0</v>
      </c>
    </row>
    <row r="1712" spans="1:10">
      <c r="A1712" t="s">
        <v>1711</v>
      </c>
      <c r="B1712" s="2">
        <v>42034.73</v>
      </c>
      <c r="C1712" s="3" t="s">
        <v>5005</v>
      </c>
      <c r="D1712" t="s">
        <v>5014</v>
      </c>
      <c r="E1712" t="s">
        <v>5018</v>
      </c>
      <c r="F1712" t="s">
        <v>5018</v>
      </c>
      <c r="G1712">
        <v>97</v>
      </c>
      <c r="H1712" s="5">
        <v>1.9945328543030023E-3</v>
      </c>
      <c r="I1712">
        <v>3</v>
      </c>
      <c r="J1712" t="b">
        <f>AND(CCData[[#This Row],[Date]]&gt;=Calculation!$E$3,CCData[[#This Row],[Date]]&lt;Calculation!$E$3+7)</f>
        <v>0</v>
      </c>
    </row>
    <row r="1713" spans="1:10">
      <c r="A1713" t="s">
        <v>1712</v>
      </c>
      <c r="B1713" s="2">
        <v>42034.73</v>
      </c>
      <c r="C1713" s="3" t="s">
        <v>5007</v>
      </c>
      <c r="D1713" t="s">
        <v>5016</v>
      </c>
      <c r="E1713" t="s">
        <v>5018</v>
      </c>
      <c r="F1713" t="s">
        <v>5018</v>
      </c>
      <c r="G1713">
        <v>20</v>
      </c>
      <c r="H1713" s="5">
        <v>3.5530007729969453E-3</v>
      </c>
      <c r="I1713">
        <v>5</v>
      </c>
      <c r="J1713" t="b">
        <f>AND(CCData[[#This Row],[Date]]&gt;=Calculation!$E$3,CCData[[#This Row],[Date]]&lt;Calculation!$E$3+7)</f>
        <v>0</v>
      </c>
    </row>
    <row r="1714" spans="1:10">
      <c r="A1714" t="s">
        <v>1713</v>
      </c>
      <c r="B1714" s="2">
        <v>42035.375</v>
      </c>
      <c r="C1714" s="3" t="s">
        <v>5010</v>
      </c>
      <c r="D1714" t="s">
        <v>5014</v>
      </c>
      <c r="E1714" t="s">
        <v>5018</v>
      </c>
      <c r="F1714" t="s">
        <v>5019</v>
      </c>
      <c r="G1714">
        <v>100</v>
      </c>
      <c r="H1714" s="5">
        <v>4.4268525705752322E-3</v>
      </c>
      <c r="I1714">
        <v>5</v>
      </c>
      <c r="J1714" t="b">
        <f>AND(CCData[[#This Row],[Date]]&gt;=Calculation!$E$3,CCData[[#This Row],[Date]]&lt;Calculation!$E$3+7)</f>
        <v>0</v>
      </c>
    </row>
    <row r="1715" spans="1:10">
      <c r="A1715" t="s">
        <v>1714</v>
      </c>
      <c r="B1715" s="2">
        <v>42035.375</v>
      </c>
      <c r="C1715" s="3" t="s">
        <v>5004</v>
      </c>
      <c r="D1715" t="s">
        <v>5014</v>
      </c>
      <c r="E1715" t="s">
        <v>5018</v>
      </c>
      <c r="F1715" t="s">
        <v>5018</v>
      </c>
      <c r="G1715">
        <v>114</v>
      </c>
      <c r="H1715" s="5">
        <v>3.9537469833131108E-3</v>
      </c>
      <c r="I1715">
        <v>4</v>
      </c>
      <c r="J1715" t="b">
        <f>AND(CCData[[#This Row],[Date]]&gt;=Calculation!$E$3,CCData[[#This Row],[Date]]&lt;Calculation!$E$3+7)</f>
        <v>0</v>
      </c>
    </row>
    <row r="1716" spans="1:10">
      <c r="A1716" t="s">
        <v>1715</v>
      </c>
      <c r="B1716" s="2">
        <v>42035.381000000001</v>
      </c>
      <c r="C1716" s="3" t="s">
        <v>5006</v>
      </c>
      <c r="D1716" t="s">
        <v>5014</v>
      </c>
      <c r="E1716" t="s">
        <v>5018</v>
      </c>
      <c r="F1716" t="s">
        <v>5018</v>
      </c>
      <c r="G1716">
        <v>27</v>
      </c>
      <c r="H1716" s="5">
        <v>2.2209258471811047E-3</v>
      </c>
      <c r="I1716">
        <v>3</v>
      </c>
      <c r="J1716" t="b">
        <f>AND(CCData[[#This Row],[Date]]&gt;=Calculation!$E$3,CCData[[#This Row],[Date]]&lt;Calculation!$E$3+7)</f>
        <v>0</v>
      </c>
    </row>
    <row r="1717" spans="1:10">
      <c r="A1717" t="s">
        <v>1716</v>
      </c>
      <c r="B1717" s="2">
        <v>42035.381000000001</v>
      </c>
      <c r="C1717" s="3" t="s">
        <v>5008</v>
      </c>
      <c r="D1717" t="s">
        <v>5012</v>
      </c>
      <c r="E1717" t="s">
        <v>5018</v>
      </c>
      <c r="F1717" t="s">
        <v>5018</v>
      </c>
      <c r="G1717">
        <v>119</v>
      </c>
      <c r="H1717" s="5">
        <v>1.8775816688059385E-3</v>
      </c>
      <c r="I1717">
        <v>4</v>
      </c>
      <c r="J1717" t="b">
        <f>AND(CCData[[#This Row],[Date]]&gt;=Calculation!$E$3,CCData[[#This Row],[Date]]&lt;Calculation!$E$3+7)</f>
        <v>0</v>
      </c>
    </row>
    <row r="1718" spans="1:10">
      <c r="A1718" t="s">
        <v>1717</v>
      </c>
      <c r="B1718" s="2">
        <v>42035.385000000002</v>
      </c>
      <c r="C1718" s="3" t="s">
        <v>5004</v>
      </c>
      <c r="D1718" t="s">
        <v>5013</v>
      </c>
      <c r="E1718" t="s">
        <v>5018</v>
      </c>
      <c r="F1718" t="s">
        <v>5018</v>
      </c>
      <c r="G1718">
        <v>30</v>
      </c>
      <c r="H1718" s="5">
        <v>6.8216068933271029E-4</v>
      </c>
      <c r="I1718">
        <v>5</v>
      </c>
      <c r="J1718" t="b">
        <f>AND(CCData[[#This Row],[Date]]&gt;=Calculation!$E$3,CCData[[#This Row],[Date]]&lt;Calculation!$E$3+7)</f>
        <v>0</v>
      </c>
    </row>
    <row r="1719" spans="1:10">
      <c r="A1719" t="s">
        <v>1718</v>
      </c>
      <c r="B1719" s="2">
        <v>42035.385000000002</v>
      </c>
      <c r="C1719" s="3" t="s">
        <v>5005</v>
      </c>
      <c r="D1719" t="s">
        <v>5012</v>
      </c>
      <c r="E1719" t="s">
        <v>5018</v>
      </c>
      <c r="F1719" t="s">
        <v>5018</v>
      </c>
      <c r="G1719">
        <v>23</v>
      </c>
      <c r="H1719" s="5">
        <v>4.6252776104550985E-3</v>
      </c>
      <c r="I1719">
        <v>3</v>
      </c>
      <c r="J1719" t="b">
        <f>AND(CCData[[#This Row],[Date]]&gt;=Calculation!$E$3,CCData[[#This Row],[Date]]&lt;Calculation!$E$3+7)</f>
        <v>0</v>
      </c>
    </row>
    <row r="1720" spans="1:10">
      <c r="A1720" t="s">
        <v>1719</v>
      </c>
      <c r="B1720" s="2">
        <v>42035.392</v>
      </c>
      <c r="C1720" s="3" t="s">
        <v>5003</v>
      </c>
      <c r="D1720" t="s">
        <v>5012</v>
      </c>
      <c r="E1720" t="s">
        <v>5018</v>
      </c>
      <c r="F1720" t="s">
        <v>5018</v>
      </c>
      <c r="G1720">
        <v>32</v>
      </c>
      <c r="H1720" s="5">
        <v>4.1689016636046365E-3</v>
      </c>
      <c r="I1720">
        <v>1</v>
      </c>
      <c r="J1720" t="b">
        <f>AND(CCData[[#This Row],[Date]]&gt;=Calculation!$E$3,CCData[[#This Row],[Date]]&lt;Calculation!$E$3+7)</f>
        <v>0</v>
      </c>
    </row>
    <row r="1721" spans="1:10">
      <c r="A1721" t="s">
        <v>1720</v>
      </c>
      <c r="B1721" s="2">
        <v>42035.392</v>
      </c>
      <c r="C1721" s="3" t="s">
        <v>5006</v>
      </c>
      <c r="D1721" t="s">
        <v>5016</v>
      </c>
      <c r="E1721" t="s">
        <v>5019</v>
      </c>
      <c r="F1721" t="s">
        <v>5019</v>
      </c>
      <c r="G1721" t="s">
        <v>5022</v>
      </c>
      <c r="H1721" s="5" t="s">
        <v>5022</v>
      </c>
      <c r="I1721" t="s">
        <v>5022</v>
      </c>
      <c r="J1721" t="b">
        <f>AND(CCData[[#This Row],[Date]]&gt;=Calculation!$E$3,CCData[[#This Row],[Date]]&lt;Calculation!$E$3+7)</f>
        <v>0</v>
      </c>
    </row>
    <row r="1722" spans="1:10">
      <c r="A1722" t="s">
        <v>1721</v>
      </c>
      <c r="B1722" s="2">
        <v>42035.394</v>
      </c>
      <c r="C1722" s="3" t="s">
        <v>5003</v>
      </c>
      <c r="D1722" t="s">
        <v>5014</v>
      </c>
      <c r="E1722" t="s">
        <v>5018</v>
      </c>
      <c r="F1722" t="s">
        <v>5019</v>
      </c>
      <c r="G1722">
        <v>67</v>
      </c>
      <c r="H1722" s="5">
        <v>6.6911744468782508E-4</v>
      </c>
      <c r="I1722">
        <v>1</v>
      </c>
      <c r="J1722" t="b">
        <f>AND(CCData[[#This Row],[Date]]&gt;=Calculation!$E$3,CCData[[#This Row],[Date]]&lt;Calculation!$E$3+7)</f>
        <v>0</v>
      </c>
    </row>
    <row r="1723" spans="1:10">
      <c r="A1723" t="s">
        <v>1722</v>
      </c>
      <c r="B1723" s="2">
        <v>42035.394</v>
      </c>
      <c r="C1723" s="3" t="s">
        <v>5004</v>
      </c>
      <c r="D1723" t="s">
        <v>5016</v>
      </c>
      <c r="E1723" t="s">
        <v>5018</v>
      </c>
      <c r="F1723" t="s">
        <v>5018</v>
      </c>
      <c r="G1723">
        <v>16</v>
      </c>
      <c r="H1723" s="5">
        <v>3.8875286046446728E-3</v>
      </c>
      <c r="I1723">
        <v>5</v>
      </c>
      <c r="J1723" t="b">
        <f>AND(CCData[[#This Row],[Date]]&gt;=Calculation!$E$3,CCData[[#This Row],[Date]]&lt;Calculation!$E$3+7)</f>
        <v>0</v>
      </c>
    </row>
    <row r="1724" spans="1:10">
      <c r="A1724" t="s">
        <v>1723</v>
      </c>
      <c r="B1724" s="2">
        <v>42035.396000000001</v>
      </c>
      <c r="C1724" s="3" t="s">
        <v>5005</v>
      </c>
      <c r="D1724" t="s">
        <v>5012</v>
      </c>
      <c r="E1724" t="s">
        <v>5018</v>
      </c>
      <c r="F1724" t="s">
        <v>5018</v>
      </c>
      <c r="G1724">
        <v>120</v>
      </c>
      <c r="H1724" s="5">
        <v>2.1958000235486031E-3</v>
      </c>
      <c r="I1724">
        <v>1</v>
      </c>
      <c r="J1724" t="b">
        <f>AND(CCData[[#This Row],[Date]]&gt;=Calculation!$E$3,CCData[[#This Row],[Date]]&lt;Calculation!$E$3+7)</f>
        <v>0</v>
      </c>
    </row>
    <row r="1725" spans="1:10">
      <c r="A1725" t="s">
        <v>1724</v>
      </c>
      <c r="B1725" s="2">
        <v>42035.396000000001</v>
      </c>
      <c r="C1725" s="3" t="s">
        <v>5008</v>
      </c>
      <c r="D1725" t="s">
        <v>5014</v>
      </c>
      <c r="E1725" t="s">
        <v>5018</v>
      </c>
      <c r="F1725" t="s">
        <v>5018</v>
      </c>
      <c r="G1725">
        <v>73</v>
      </c>
      <c r="H1725" s="5">
        <v>3.9662911283966486E-3</v>
      </c>
      <c r="I1725">
        <v>2</v>
      </c>
      <c r="J1725" t="b">
        <f>AND(CCData[[#This Row],[Date]]&gt;=Calculation!$E$3,CCData[[#This Row],[Date]]&lt;Calculation!$E$3+7)</f>
        <v>0</v>
      </c>
    </row>
    <row r="1726" spans="1:10">
      <c r="A1726" t="s">
        <v>1725</v>
      </c>
      <c r="B1726" s="2">
        <v>42035.481</v>
      </c>
      <c r="C1726" s="3" t="s">
        <v>5007</v>
      </c>
      <c r="D1726" t="s">
        <v>5014</v>
      </c>
      <c r="E1726" t="s">
        <v>5019</v>
      </c>
      <c r="F1726" t="s">
        <v>5019</v>
      </c>
      <c r="G1726" t="s">
        <v>5022</v>
      </c>
      <c r="H1726" s="5" t="s">
        <v>5022</v>
      </c>
      <c r="I1726" t="s">
        <v>5022</v>
      </c>
      <c r="J1726" t="b">
        <f>AND(CCData[[#This Row],[Date]]&gt;=Calculation!$E$3,CCData[[#This Row],[Date]]&lt;Calculation!$E$3+7)</f>
        <v>0</v>
      </c>
    </row>
    <row r="1727" spans="1:10">
      <c r="A1727" t="s">
        <v>1726</v>
      </c>
      <c r="B1727" s="2">
        <v>42035.481</v>
      </c>
      <c r="C1727" s="3" t="s">
        <v>5006</v>
      </c>
      <c r="D1727" t="s">
        <v>5012</v>
      </c>
      <c r="E1727" t="s">
        <v>5019</v>
      </c>
      <c r="F1727" t="s">
        <v>5019</v>
      </c>
      <c r="G1727" t="s">
        <v>5022</v>
      </c>
      <c r="H1727" s="5" t="s">
        <v>5022</v>
      </c>
      <c r="I1727" t="s">
        <v>5022</v>
      </c>
      <c r="J1727" t="b">
        <f>AND(CCData[[#This Row],[Date]]&gt;=Calculation!$E$3,CCData[[#This Row],[Date]]&lt;Calculation!$E$3+7)</f>
        <v>0</v>
      </c>
    </row>
    <row r="1728" spans="1:10">
      <c r="A1728" t="s">
        <v>1727</v>
      </c>
      <c r="B1728" s="2">
        <v>42035.483</v>
      </c>
      <c r="C1728" s="3" t="s">
        <v>5008</v>
      </c>
      <c r="D1728" t="s">
        <v>5015</v>
      </c>
      <c r="E1728" t="s">
        <v>5019</v>
      </c>
      <c r="F1728" t="s">
        <v>5019</v>
      </c>
      <c r="G1728" t="s">
        <v>5022</v>
      </c>
      <c r="H1728" s="5" t="s">
        <v>5022</v>
      </c>
      <c r="I1728" t="s">
        <v>5022</v>
      </c>
      <c r="J1728" t="b">
        <f>AND(CCData[[#This Row],[Date]]&gt;=Calculation!$E$3,CCData[[#This Row],[Date]]&lt;Calculation!$E$3+7)</f>
        <v>0</v>
      </c>
    </row>
    <row r="1729" spans="1:10">
      <c r="A1729" t="s">
        <v>1728</v>
      </c>
      <c r="B1729" s="2">
        <v>42035.483</v>
      </c>
      <c r="C1729" s="3" t="s">
        <v>5008</v>
      </c>
      <c r="D1729" t="s">
        <v>5012</v>
      </c>
      <c r="E1729" t="s">
        <v>5018</v>
      </c>
      <c r="F1729" t="s">
        <v>5018</v>
      </c>
      <c r="G1729">
        <v>88</v>
      </c>
      <c r="H1729" s="5">
        <v>8.1793450445781794E-4</v>
      </c>
      <c r="I1729">
        <v>1</v>
      </c>
      <c r="J1729" t="b">
        <f>AND(CCData[[#This Row],[Date]]&gt;=Calculation!$E$3,CCData[[#This Row],[Date]]&lt;Calculation!$E$3+7)</f>
        <v>0</v>
      </c>
    </row>
    <row r="1730" spans="1:10">
      <c r="A1730" t="s">
        <v>1729</v>
      </c>
      <c r="B1730" s="2">
        <v>42035.485999999997</v>
      </c>
      <c r="C1730" s="3" t="s">
        <v>5010</v>
      </c>
      <c r="D1730" t="s">
        <v>5014</v>
      </c>
      <c r="E1730" t="s">
        <v>5018</v>
      </c>
      <c r="F1730" t="s">
        <v>5018</v>
      </c>
      <c r="G1730">
        <v>79</v>
      </c>
      <c r="H1730" s="5">
        <v>9.4230620952286126E-4</v>
      </c>
      <c r="I1730">
        <v>5</v>
      </c>
      <c r="J1730" t="b">
        <f>AND(CCData[[#This Row],[Date]]&gt;=Calculation!$E$3,CCData[[#This Row],[Date]]&lt;Calculation!$E$3+7)</f>
        <v>0</v>
      </c>
    </row>
    <row r="1731" spans="1:10">
      <c r="A1731" t="s">
        <v>1730</v>
      </c>
      <c r="B1731" s="2">
        <v>42035.485999999997</v>
      </c>
      <c r="C1731" s="3" t="s">
        <v>5008</v>
      </c>
      <c r="D1731" t="s">
        <v>5013</v>
      </c>
      <c r="E1731" t="s">
        <v>5018</v>
      </c>
      <c r="F1731" t="s">
        <v>5018</v>
      </c>
      <c r="G1731">
        <v>42</v>
      </c>
      <c r="H1731" s="5">
        <v>1.1545274315072991E-3</v>
      </c>
      <c r="I1731">
        <v>5</v>
      </c>
      <c r="J1731" t="b">
        <f>AND(CCData[[#This Row],[Date]]&gt;=Calculation!$E$3,CCData[[#This Row],[Date]]&lt;Calculation!$E$3+7)</f>
        <v>0</v>
      </c>
    </row>
    <row r="1732" spans="1:10">
      <c r="A1732" t="s">
        <v>1731</v>
      </c>
      <c r="B1732" s="2">
        <v>42035.499000000003</v>
      </c>
      <c r="C1732" s="3" t="s">
        <v>5010</v>
      </c>
      <c r="D1732" t="s">
        <v>5012</v>
      </c>
      <c r="E1732" t="s">
        <v>5019</v>
      </c>
      <c r="F1732" t="s">
        <v>5019</v>
      </c>
      <c r="G1732" t="s">
        <v>5022</v>
      </c>
      <c r="H1732" s="5" t="s">
        <v>5022</v>
      </c>
      <c r="I1732" t="s">
        <v>5022</v>
      </c>
      <c r="J1732" t="b">
        <f>AND(CCData[[#This Row],[Date]]&gt;=Calculation!$E$3,CCData[[#This Row],[Date]]&lt;Calculation!$E$3+7)</f>
        <v>0</v>
      </c>
    </row>
    <row r="1733" spans="1:10">
      <c r="A1733" t="s">
        <v>1732</v>
      </c>
      <c r="B1733" s="2">
        <v>42035.499000000003</v>
      </c>
      <c r="C1733" s="3" t="s">
        <v>5003</v>
      </c>
      <c r="D1733" t="s">
        <v>5014</v>
      </c>
      <c r="E1733" t="s">
        <v>5018</v>
      </c>
      <c r="F1733" t="s">
        <v>5018</v>
      </c>
      <c r="G1733">
        <v>38</v>
      </c>
      <c r="H1733" s="5">
        <v>2.6367859805063744E-3</v>
      </c>
      <c r="I1733">
        <v>4</v>
      </c>
      <c r="J1733" t="b">
        <f>AND(CCData[[#This Row],[Date]]&gt;=Calculation!$E$3,CCData[[#This Row],[Date]]&lt;Calculation!$E$3+7)</f>
        <v>0</v>
      </c>
    </row>
    <row r="1734" spans="1:10">
      <c r="A1734" t="s">
        <v>1733</v>
      </c>
      <c r="B1734" s="2">
        <v>42035.5</v>
      </c>
      <c r="C1734" s="3" t="s">
        <v>5006</v>
      </c>
      <c r="D1734" t="s">
        <v>5014</v>
      </c>
      <c r="E1734" t="s">
        <v>5018</v>
      </c>
      <c r="F1734" t="s">
        <v>5018</v>
      </c>
      <c r="G1734">
        <v>102</v>
      </c>
      <c r="H1734" s="5">
        <v>2.6389147470446497E-3</v>
      </c>
      <c r="I1734">
        <v>3</v>
      </c>
      <c r="J1734" t="b">
        <f>AND(CCData[[#This Row],[Date]]&gt;=Calculation!$E$3,CCData[[#This Row],[Date]]&lt;Calculation!$E$3+7)</f>
        <v>0</v>
      </c>
    </row>
    <row r="1735" spans="1:10">
      <c r="A1735" t="s">
        <v>1734</v>
      </c>
      <c r="B1735" s="2">
        <v>42035.5</v>
      </c>
      <c r="C1735" s="3" t="s">
        <v>5010</v>
      </c>
      <c r="D1735" t="s">
        <v>5013</v>
      </c>
      <c r="E1735" t="s">
        <v>5018</v>
      </c>
      <c r="F1735" t="s">
        <v>5018</v>
      </c>
      <c r="G1735">
        <v>112</v>
      </c>
      <c r="H1735" s="5">
        <v>4.6665318964598749E-3</v>
      </c>
      <c r="I1735">
        <v>3</v>
      </c>
      <c r="J1735" t="b">
        <f>AND(CCData[[#This Row],[Date]]&gt;=Calculation!$E$3,CCData[[#This Row],[Date]]&lt;Calculation!$E$3+7)</f>
        <v>0</v>
      </c>
    </row>
    <row r="1736" spans="1:10">
      <c r="A1736" t="s">
        <v>1735</v>
      </c>
      <c r="B1736" s="2">
        <v>42035.5</v>
      </c>
      <c r="C1736" s="3" t="s">
        <v>5007</v>
      </c>
      <c r="D1736" t="s">
        <v>5013</v>
      </c>
      <c r="E1736" t="s">
        <v>5018</v>
      </c>
      <c r="F1736" t="s">
        <v>5018</v>
      </c>
      <c r="G1736">
        <v>107</v>
      </c>
      <c r="H1736" s="5">
        <v>2.2402857279736526E-3</v>
      </c>
      <c r="I1736">
        <v>1</v>
      </c>
      <c r="J1736" t="b">
        <f>AND(CCData[[#This Row],[Date]]&gt;=Calculation!$E$3,CCData[[#This Row],[Date]]&lt;Calculation!$E$3+7)</f>
        <v>0</v>
      </c>
    </row>
    <row r="1737" spans="1:10">
      <c r="A1737" t="s">
        <v>1736</v>
      </c>
      <c r="B1737" s="2">
        <v>42035.5</v>
      </c>
      <c r="C1737" s="3" t="s">
        <v>5005</v>
      </c>
      <c r="D1737" t="s">
        <v>5012</v>
      </c>
      <c r="E1737" t="s">
        <v>5018</v>
      </c>
      <c r="F1737" t="s">
        <v>5018</v>
      </c>
      <c r="G1737">
        <v>93</v>
      </c>
      <c r="H1737" s="5">
        <v>1.8389784914940102E-3</v>
      </c>
      <c r="I1737">
        <v>5</v>
      </c>
      <c r="J1737" t="b">
        <f>AND(CCData[[#This Row],[Date]]&gt;=Calculation!$E$3,CCData[[#This Row],[Date]]&lt;Calculation!$E$3+7)</f>
        <v>0</v>
      </c>
    </row>
    <row r="1738" spans="1:10">
      <c r="A1738" t="s">
        <v>1737</v>
      </c>
      <c r="B1738" s="2">
        <v>42035.510999999999</v>
      </c>
      <c r="C1738" s="3" t="s">
        <v>5003</v>
      </c>
      <c r="D1738" t="s">
        <v>5014</v>
      </c>
      <c r="E1738" t="s">
        <v>5018</v>
      </c>
      <c r="F1738" t="s">
        <v>5018</v>
      </c>
      <c r="G1738">
        <v>37</v>
      </c>
      <c r="H1738" s="5">
        <v>4.8316627343568857E-3</v>
      </c>
      <c r="I1738">
        <v>4</v>
      </c>
      <c r="J1738" t="b">
        <f>AND(CCData[[#This Row],[Date]]&gt;=Calculation!$E$3,CCData[[#This Row],[Date]]&lt;Calculation!$E$3+7)</f>
        <v>0</v>
      </c>
    </row>
    <row r="1739" spans="1:10">
      <c r="A1739" t="s">
        <v>1738</v>
      </c>
      <c r="B1739" s="2">
        <v>42035.510999999999</v>
      </c>
      <c r="C1739" s="3" t="s">
        <v>5010</v>
      </c>
      <c r="D1739" t="s">
        <v>5013</v>
      </c>
      <c r="E1739" t="s">
        <v>5018</v>
      </c>
      <c r="F1739" t="s">
        <v>5018</v>
      </c>
      <c r="G1739">
        <v>29</v>
      </c>
      <c r="H1739" s="5">
        <v>4.5051660619406311E-3</v>
      </c>
      <c r="I1739">
        <v>5</v>
      </c>
      <c r="J1739" t="b">
        <f>AND(CCData[[#This Row],[Date]]&gt;=Calculation!$E$3,CCData[[#This Row],[Date]]&lt;Calculation!$E$3+7)</f>
        <v>0</v>
      </c>
    </row>
    <row r="1740" spans="1:10">
      <c r="A1740" t="s">
        <v>1739</v>
      </c>
      <c r="B1740" s="2">
        <v>42035.525999999998</v>
      </c>
      <c r="C1740" s="3" t="s">
        <v>5005</v>
      </c>
      <c r="D1740" t="s">
        <v>5014</v>
      </c>
      <c r="E1740" t="s">
        <v>5018</v>
      </c>
      <c r="F1740" t="s">
        <v>5019</v>
      </c>
      <c r="G1740">
        <v>17</v>
      </c>
      <c r="H1740" s="5">
        <v>2.6499684559297375E-3</v>
      </c>
      <c r="I1740">
        <v>5</v>
      </c>
      <c r="J1740" t="b">
        <f>AND(CCData[[#This Row],[Date]]&gt;=Calculation!$E$3,CCData[[#This Row],[Date]]&lt;Calculation!$E$3+7)</f>
        <v>0</v>
      </c>
    </row>
    <row r="1741" spans="1:10">
      <c r="A1741" t="s">
        <v>1740</v>
      </c>
      <c r="B1741" s="2">
        <v>42035.525999999998</v>
      </c>
      <c r="C1741" s="3" t="s">
        <v>5007</v>
      </c>
      <c r="D1741" t="s">
        <v>5016</v>
      </c>
      <c r="E1741" t="s">
        <v>5019</v>
      </c>
      <c r="F1741" t="s">
        <v>5019</v>
      </c>
      <c r="G1741" t="s">
        <v>5022</v>
      </c>
      <c r="H1741" s="5" t="s">
        <v>5022</v>
      </c>
      <c r="I1741" t="s">
        <v>5022</v>
      </c>
      <c r="J1741" t="b">
        <f>AND(CCData[[#This Row],[Date]]&gt;=Calculation!$E$3,CCData[[#This Row],[Date]]&lt;Calculation!$E$3+7)</f>
        <v>0</v>
      </c>
    </row>
    <row r="1742" spans="1:10">
      <c r="A1742" t="s">
        <v>1741</v>
      </c>
      <c r="B1742" s="2">
        <v>42035.53</v>
      </c>
      <c r="C1742" s="3" t="s">
        <v>5010</v>
      </c>
      <c r="D1742" t="s">
        <v>5013</v>
      </c>
      <c r="E1742" t="s">
        <v>5018</v>
      </c>
      <c r="F1742" t="s">
        <v>5018</v>
      </c>
      <c r="G1742">
        <v>28</v>
      </c>
      <c r="H1742" s="5">
        <v>4.2924906418264986E-3</v>
      </c>
      <c r="I1742">
        <v>4</v>
      </c>
      <c r="J1742" t="b">
        <f>AND(CCData[[#This Row],[Date]]&gt;=Calculation!$E$3,CCData[[#This Row],[Date]]&lt;Calculation!$E$3+7)</f>
        <v>0</v>
      </c>
    </row>
    <row r="1743" spans="1:10">
      <c r="A1743" t="s">
        <v>1742</v>
      </c>
      <c r="B1743" s="2">
        <v>42035.53</v>
      </c>
      <c r="C1743" s="3" t="s">
        <v>5010</v>
      </c>
      <c r="D1743" t="s">
        <v>5014</v>
      </c>
      <c r="E1743" t="s">
        <v>5018</v>
      </c>
      <c r="F1743" t="s">
        <v>5018</v>
      </c>
      <c r="G1743">
        <v>16</v>
      </c>
      <c r="H1743" s="5">
        <v>2.4406409640547687E-3</v>
      </c>
      <c r="I1743">
        <v>1</v>
      </c>
      <c r="J1743" t="b">
        <f>AND(CCData[[#This Row],[Date]]&gt;=Calculation!$E$3,CCData[[#This Row],[Date]]&lt;Calculation!$E$3+7)</f>
        <v>0</v>
      </c>
    </row>
    <row r="1744" spans="1:10">
      <c r="A1744" t="s">
        <v>1743</v>
      </c>
      <c r="B1744" s="2">
        <v>42035.535000000003</v>
      </c>
      <c r="C1744" s="3" t="s">
        <v>5005</v>
      </c>
      <c r="D1744" t="s">
        <v>5015</v>
      </c>
      <c r="E1744" t="s">
        <v>5018</v>
      </c>
      <c r="F1744" t="s">
        <v>5018</v>
      </c>
      <c r="G1744">
        <v>123</v>
      </c>
      <c r="H1744" s="5">
        <v>4.371986646093437E-3</v>
      </c>
      <c r="I1744">
        <v>2</v>
      </c>
      <c r="J1744" t="b">
        <f>AND(CCData[[#This Row],[Date]]&gt;=Calculation!$E$3,CCData[[#This Row],[Date]]&lt;Calculation!$E$3+7)</f>
        <v>0</v>
      </c>
    </row>
    <row r="1745" spans="1:10">
      <c r="A1745" t="s">
        <v>1744</v>
      </c>
      <c r="B1745" s="2">
        <v>42035.535000000003</v>
      </c>
      <c r="C1745" s="3" t="s">
        <v>5009</v>
      </c>
      <c r="D1745" t="s">
        <v>5012</v>
      </c>
      <c r="E1745" t="s">
        <v>5019</v>
      </c>
      <c r="F1745" t="s">
        <v>5019</v>
      </c>
      <c r="G1745" t="s">
        <v>5022</v>
      </c>
      <c r="H1745" s="5" t="s">
        <v>5022</v>
      </c>
      <c r="I1745" t="s">
        <v>5022</v>
      </c>
      <c r="J1745" t="b">
        <f>AND(CCData[[#This Row],[Date]]&gt;=Calculation!$E$3,CCData[[#This Row],[Date]]&lt;Calculation!$E$3+7)</f>
        <v>0</v>
      </c>
    </row>
    <row r="1746" spans="1:10">
      <c r="A1746" t="s">
        <v>1745</v>
      </c>
      <c r="B1746" s="2">
        <v>42035.587</v>
      </c>
      <c r="C1746" s="3" t="s">
        <v>5007</v>
      </c>
      <c r="D1746" t="s">
        <v>5014</v>
      </c>
      <c r="E1746" t="s">
        <v>5018</v>
      </c>
      <c r="F1746" t="s">
        <v>5018</v>
      </c>
      <c r="G1746">
        <v>124</v>
      </c>
      <c r="H1746" s="5">
        <v>4.6499468331264388E-3</v>
      </c>
      <c r="I1746">
        <v>5</v>
      </c>
      <c r="J1746" t="b">
        <f>AND(CCData[[#This Row],[Date]]&gt;=Calculation!$E$3,CCData[[#This Row],[Date]]&lt;Calculation!$E$3+7)</f>
        <v>0</v>
      </c>
    </row>
    <row r="1747" spans="1:10">
      <c r="A1747" t="s">
        <v>1746</v>
      </c>
      <c r="B1747" s="2">
        <v>42035.587</v>
      </c>
      <c r="C1747" s="3" t="s">
        <v>5007</v>
      </c>
      <c r="D1747" t="s">
        <v>5014</v>
      </c>
      <c r="E1747" t="s">
        <v>5018</v>
      </c>
      <c r="F1747" t="s">
        <v>5018</v>
      </c>
      <c r="G1747">
        <v>18</v>
      </c>
      <c r="H1747" s="5">
        <v>4.3530166097411485E-3</v>
      </c>
      <c r="I1747">
        <v>1</v>
      </c>
      <c r="J1747" t="b">
        <f>AND(CCData[[#This Row],[Date]]&gt;=Calculation!$E$3,CCData[[#This Row],[Date]]&lt;Calculation!$E$3+7)</f>
        <v>0</v>
      </c>
    </row>
    <row r="1748" spans="1:10">
      <c r="A1748" t="s">
        <v>1747</v>
      </c>
      <c r="B1748" s="2">
        <v>42035.587</v>
      </c>
      <c r="C1748" s="3" t="s">
        <v>5004</v>
      </c>
      <c r="D1748" t="s">
        <v>5014</v>
      </c>
      <c r="E1748" t="s">
        <v>5018</v>
      </c>
      <c r="F1748" t="s">
        <v>5018</v>
      </c>
      <c r="G1748">
        <v>95</v>
      </c>
      <c r="H1748" s="5">
        <v>1.6987483153203219E-3</v>
      </c>
      <c r="I1748">
        <v>4</v>
      </c>
      <c r="J1748" t="b">
        <f>AND(CCData[[#This Row],[Date]]&gt;=Calculation!$E$3,CCData[[#This Row],[Date]]&lt;Calculation!$E$3+7)</f>
        <v>0</v>
      </c>
    </row>
    <row r="1749" spans="1:10">
      <c r="A1749" t="s">
        <v>1748</v>
      </c>
      <c r="B1749" s="2">
        <v>42035.587</v>
      </c>
      <c r="C1749" s="3" t="s">
        <v>5004</v>
      </c>
      <c r="D1749" t="s">
        <v>5016</v>
      </c>
      <c r="E1749" t="s">
        <v>5018</v>
      </c>
      <c r="F1749" t="s">
        <v>5018</v>
      </c>
      <c r="G1749">
        <v>17</v>
      </c>
      <c r="H1749" s="5">
        <v>3.7658669813356005E-3</v>
      </c>
      <c r="I1749">
        <v>3</v>
      </c>
      <c r="J1749" t="b">
        <f>AND(CCData[[#This Row],[Date]]&gt;=Calculation!$E$3,CCData[[#This Row],[Date]]&lt;Calculation!$E$3+7)</f>
        <v>0</v>
      </c>
    </row>
    <row r="1750" spans="1:10">
      <c r="A1750" t="s">
        <v>1749</v>
      </c>
      <c r="B1750" s="2">
        <v>42035.587</v>
      </c>
      <c r="C1750" s="3" t="s">
        <v>5007</v>
      </c>
      <c r="D1750" t="s">
        <v>5013</v>
      </c>
      <c r="E1750" t="s">
        <v>5019</v>
      </c>
      <c r="F1750" t="s">
        <v>5019</v>
      </c>
      <c r="G1750" t="s">
        <v>5022</v>
      </c>
      <c r="H1750" s="5" t="s">
        <v>5022</v>
      </c>
      <c r="I1750" t="s">
        <v>5022</v>
      </c>
      <c r="J1750" t="b">
        <f>AND(CCData[[#This Row],[Date]]&gt;=Calculation!$E$3,CCData[[#This Row],[Date]]&lt;Calculation!$E$3+7)</f>
        <v>0</v>
      </c>
    </row>
    <row r="1751" spans="1:10">
      <c r="A1751" t="s">
        <v>1750</v>
      </c>
      <c r="B1751" s="2">
        <v>42035.587</v>
      </c>
      <c r="C1751" s="3" t="s">
        <v>5005</v>
      </c>
      <c r="D1751" t="s">
        <v>5014</v>
      </c>
      <c r="E1751" t="s">
        <v>5018</v>
      </c>
      <c r="F1751" t="s">
        <v>5018</v>
      </c>
      <c r="G1751">
        <v>75</v>
      </c>
      <c r="H1751" s="5">
        <v>3.8763058545487135E-4</v>
      </c>
      <c r="I1751">
        <v>3</v>
      </c>
      <c r="J1751" t="b">
        <f>AND(CCData[[#This Row],[Date]]&gt;=Calculation!$E$3,CCData[[#This Row],[Date]]&lt;Calculation!$E$3+7)</f>
        <v>0</v>
      </c>
    </row>
    <row r="1752" spans="1:10">
      <c r="A1752" t="s">
        <v>1751</v>
      </c>
      <c r="B1752" s="2">
        <v>42035.614000000001</v>
      </c>
      <c r="C1752" s="3" t="s">
        <v>5008</v>
      </c>
      <c r="D1752" t="s">
        <v>5014</v>
      </c>
      <c r="E1752" t="s">
        <v>5018</v>
      </c>
      <c r="F1752" t="s">
        <v>5018</v>
      </c>
      <c r="G1752">
        <v>37</v>
      </c>
      <c r="H1752" s="5">
        <v>4.0036154325773302E-3</v>
      </c>
      <c r="I1752">
        <v>4</v>
      </c>
      <c r="J1752" t="b">
        <f>AND(CCData[[#This Row],[Date]]&gt;=Calculation!$E$3,CCData[[#This Row],[Date]]&lt;Calculation!$E$3+7)</f>
        <v>0</v>
      </c>
    </row>
    <row r="1753" spans="1:10">
      <c r="A1753" t="s">
        <v>1752</v>
      </c>
      <c r="B1753" s="2">
        <v>42035.614000000001</v>
      </c>
      <c r="C1753" s="3" t="s">
        <v>5009</v>
      </c>
      <c r="D1753" t="s">
        <v>5016</v>
      </c>
      <c r="E1753" t="s">
        <v>5018</v>
      </c>
      <c r="F1753" t="s">
        <v>5018</v>
      </c>
      <c r="G1753">
        <v>36</v>
      </c>
      <c r="H1753" s="5">
        <v>9.9811491783571003E-4</v>
      </c>
      <c r="I1753">
        <v>3</v>
      </c>
      <c r="J1753" t="b">
        <f>AND(CCData[[#This Row],[Date]]&gt;=Calculation!$E$3,CCData[[#This Row],[Date]]&lt;Calculation!$E$3+7)</f>
        <v>0</v>
      </c>
    </row>
    <row r="1754" spans="1:10">
      <c r="A1754" t="s">
        <v>1753</v>
      </c>
      <c r="B1754" s="2">
        <v>42035.625999999997</v>
      </c>
      <c r="C1754" s="3" t="s">
        <v>5003</v>
      </c>
      <c r="D1754" t="s">
        <v>5013</v>
      </c>
      <c r="E1754" t="s">
        <v>5018</v>
      </c>
      <c r="F1754" t="s">
        <v>5018</v>
      </c>
      <c r="G1754">
        <v>113</v>
      </c>
      <c r="H1754" s="5">
        <v>1.7643528829541836E-3</v>
      </c>
      <c r="I1754">
        <v>1</v>
      </c>
      <c r="J1754" t="b">
        <f>AND(CCData[[#This Row],[Date]]&gt;=Calculation!$E$3,CCData[[#This Row],[Date]]&lt;Calculation!$E$3+7)</f>
        <v>0</v>
      </c>
    </row>
    <row r="1755" spans="1:10">
      <c r="A1755" t="s">
        <v>1754</v>
      </c>
      <c r="B1755" s="2">
        <v>42035.625999999997</v>
      </c>
      <c r="C1755" s="3" t="s">
        <v>5003</v>
      </c>
      <c r="D1755" t="s">
        <v>5016</v>
      </c>
      <c r="E1755" t="s">
        <v>5018</v>
      </c>
      <c r="F1755" t="s">
        <v>5018</v>
      </c>
      <c r="G1755">
        <v>93</v>
      </c>
      <c r="H1755" s="5">
        <v>1.6134734178758156E-3</v>
      </c>
      <c r="I1755">
        <v>4</v>
      </c>
      <c r="J1755" t="b">
        <f>AND(CCData[[#This Row],[Date]]&gt;=Calculation!$E$3,CCData[[#This Row],[Date]]&lt;Calculation!$E$3+7)</f>
        <v>0</v>
      </c>
    </row>
    <row r="1756" spans="1:10">
      <c r="A1756" t="s">
        <v>1755</v>
      </c>
      <c r="B1756" s="2">
        <v>42035.627999999997</v>
      </c>
      <c r="C1756" s="3" t="s">
        <v>5010</v>
      </c>
      <c r="D1756" t="s">
        <v>5013</v>
      </c>
      <c r="E1756" t="s">
        <v>5018</v>
      </c>
      <c r="F1756" t="s">
        <v>5018</v>
      </c>
      <c r="G1756">
        <v>24</v>
      </c>
      <c r="H1756" s="5">
        <v>3.3635072638086138E-3</v>
      </c>
      <c r="I1756">
        <v>1</v>
      </c>
      <c r="J1756" t="b">
        <f>AND(CCData[[#This Row],[Date]]&gt;=Calculation!$E$3,CCData[[#This Row],[Date]]&lt;Calculation!$E$3+7)</f>
        <v>0</v>
      </c>
    </row>
    <row r="1757" spans="1:10">
      <c r="A1757" t="s">
        <v>1756</v>
      </c>
      <c r="B1757" s="2">
        <v>42035.627999999997</v>
      </c>
      <c r="C1757" s="3" t="s">
        <v>5003</v>
      </c>
      <c r="D1757" t="s">
        <v>5016</v>
      </c>
      <c r="E1757" t="s">
        <v>5018</v>
      </c>
      <c r="F1757" t="s">
        <v>5018</v>
      </c>
      <c r="G1757">
        <v>92</v>
      </c>
      <c r="H1757" s="5">
        <v>1.7182086693984006E-3</v>
      </c>
      <c r="I1757">
        <v>3</v>
      </c>
      <c r="J1757" t="b">
        <f>AND(CCData[[#This Row],[Date]]&gt;=Calculation!$E$3,CCData[[#This Row],[Date]]&lt;Calculation!$E$3+7)</f>
        <v>0</v>
      </c>
    </row>
    <row r="1758" spans="1:10">
      <c r="A1758" t="s">
        <v>1757</v>
      </c>
      <c r="B1758" s="2">
        <v>42035.652000000002</v>
      </c>
      <c r="C1758" s="3" t="s">
        <v>5007</v>
      </c>
      <c r="D1758" t="s">
        <v>5016</v>
      </c>
      <c r="E1758" t="s">
        <v>5019</v>
      </c>
      <c r="F1758" t="s">
        <v>5019</v>
      </c>
      <c r="G1758" t="s">
        <v>5022</v>
      </c>
      <c r="H1758" s="5" t="s">
        <v>5022</v>
      </c>
      <c r="I1758" t="s">
        <v>5022</v>
      </c>
      <c r="J1758" t="b">
        <f>AND(CCData[[#This Row],[Date]]&gt;=Calculation!$E$3,CCData[[#This Row],[Date]]&lt;Calculation!$E$3+7)</f>
        <v>0</v>
      </c>
    </row>
    <row r="1759" spans="1:10">
      <c r="A1759" t="s">
        <v>1758</v>
      </c>
      <c r="B1759" s="2">
        <v>42035.652000000002</v>
      </c>
      <c r="C1759" s="3" t="s">
        <v>5010</v>
      </c>
      <c r="D1759" t="s">
        <v>5012</v>
      </c>
      <c r="E1759" t="s">
        <v>5018</v>
      </c>
      <c r="F1759" t="s">
        <v>5018</v>
      </c>
      <c r="G1759">
        <v>20</v>
      </c>
      <c r="H1759" s="5">
        <v>9.1905359378854944E-4</v>
      </c>
      <c r="I1759">
        <v>4</v>
      </c>
      <c r="J1759" t="b">
        <f>AND(CCData[[#This Row],[Date]]&gt;=Calculation!$E$3,CCData[[#This Row],[Date]]&lt;Calculation!$E$3+7)</f>
        <v>0</v>
      </c>
    </row>
    <row r="1760" spans="1:10">
      <c r="A1760" t="s">
        <v>1759</v>
      </c>
      <c r="B1760" s="2">
        <v>42035.663999999997</v>
      </c>
      <c r="C1760" s="3" t="s">
        <v>5007</v>
      </c>
      <c r="D1760" t="s">
        <v>5015</v>
      </c>
      <c r="E1760" t="s">
        <v>5018</v>
      </c>
      <c r="F1760" t="s">
        <v>5018</v>
      </c>
      <c r="G1760">
        <v>50</v>
      </c>
      <c r="H1760" s="5">
        <v>3.5861689175119407E-4</v>
      </c>
      <c r="I1760">
        <v>2</v>
      </c>
      <c r="J1760" t="b">
        <f>AND(CCData[[#This Row],[Date]]&gt;=Calculation!$E$3,CCData[[#This Row],[Date]]&lt;Calculation!$E$3+7)</f>
        <v>0</v>
      </c>
    </row>
    <row r="1761" spans="1:10">
      <c r="A1761" t="s">
        <v>1760</v>
      </c>
      <c r="B1761" s="2">
        <v>42035.663999999997</v>
      </c>
      <c r="C1761" s="3" t="s">
        <v>5009</v>
      </c>
      <c r="D1761" t="s">
        <v>5015</v>
      </c>
      <c r="E1761" t="s">
        <v>5019</v>
      </c>
      <c r="F1761" t="s">
        <v>5019</v>
      </c>
      <c r="G1761" t="s">
        <v>5022</v>
      </c>
      <c r="H1761" s="5" t="s">
        <v>5022</v>
      </c>
      <c r="I1761" t="s">
        <v>5022</v>
      </c>
      <c r="J1761" t="b">
        <f>AND(CCData[[#This Row],[Date]]&gt;=Calculation!$E$3,CCData[[#This Row],[Date]]&lt;Calculation!$E$3+7)</f>
        <v>0</v>
      </c>
    </row>
    <row r="1762" spans="1:10">
      <c r="A1762" t="s">
        <v>1761</v>
      </c>
      <c r="B1762" s="2">
        <v>42035.673000000003</v>
      </c>
      <c r="C1762" s="3" t="s">
        <v>5005</v>
      </c>
      <c r="D1762" t="s">
        <v>5012</v>
      </c>
      <c r="E1762" t="s">
        <v>5018</v>
      </c>
      <c r="F1762" t="s">
        <v>5018</v>
      </c>
      <c r="G1762">
        <v>103</v>
      </c>
      <c r="H1762" s="5">
        <v>4.3250656576522464E-3</v>
      </c>
      <c r="I1762">
        <v>4</v>
      </c>
      <c r="J1762" t="b">
        <f>AND(CCData[[#This Row],[Date]]&gt;=Calculation!$E$3,CCData[[#This Row],[Date]]&lt;Calculation!$E$3+7)</f>
        <v>0</v>
      </c>
    </row>
    <row r="1763" spans="1:10">
      <c r="A1763" t="s">
        <v>1762</v>
      </c>
      <c r="B1763" s="2">
        <v>42035.673000000003</v>
      </c>
      <c r="C1763" s="3" t="s">
        <v>5004</v>
      </c>
      <c r="D1763" t="s">
        <v>5012</v>
      </c>
      <c r="E1763" t="s">
        <v>5018</v>
      </c>
      <c r="F1763" t="s">
        <v>5018</v>
      </c>
      <c r="G1763">
        <v>81</v>
      </c>
      <c r="H1763" s="5">
        <v>2.3799318859663199E-3</v>
      </c>
      <c r="I1763">
        <v>2</v>
      </c>
      <c r="J1763" t="b">
        <f>AND(CCData[[#This Row],[Date]]&gt;=Calculation!$E$3,CCData[[#This Row],[Date]]&lt;Calculation!$E$3+7)</f>
        <v>0</v>
      </c>
    </row>
    <row r="1764" spans="1:10">
      <c r="A1764" t="s">
        <v>1763</v>
      </c>
      <c r="B1764" s="2">
        <v>42035.673000000003</v>
      </c>
      <c r="C1764" s="3" t="s">
        <v>5005</v>
      </c>
      <c r="D1764" t="s">
        <v>5016</v>
      </c>
      <c r="E1764" t="s">
        <v>5018</v>
      </c>
      <c r="F1764" t="s">
        <v>5018</v>
      </c>
      <c r="G1764">
        <v>48</v>
      </c>
      <c r="H1764" s="5">
        <v>2.7397916063329722E-3</v>
      </c>
      <c r="I1764">
        <v>5</v>
      </c>
      <c r="J1764" t="b">
        <f>AND(CCData[[#This Row],[Date]]&gt;=Calculation!$E$3,CCData[[#This Row],[Date]]&lt;Calculation!$E$3+7)</f>
        <v>0</v>
      </c>
    </row>
    <row r="1765" spans="1:10">
      <c r="A1765" t="s">
        <v>1764</v>
      </c>
      <c r="B1765" s="2">
        <v>42035.673000000003</v>
      </c>
      <c r="C1765" s="3" t="s">
        <v>5010</v>
      </c>
      <c r="D1765" t="s">
        <v>5016</v>
      </c>
      <c r="E1765" t="s">
        <v>5018</v>
      </c>
      <c r="F1765" t="s">
        <v>5018</v>
      </c>
      <c r="G1765">
        <v>92</v>
      </c>
      <c r="H1765" s="5">
        <v>4.177839642604278E-3</v>
      </c>
      <c r="I1765">
        <v>3</v>
      </c>
      <c r="J1765" t="b">
        <f>AND(CCData[[#This Row],[Date]]&gt;=Calculation!$E$3,CCData[[#This Row],[Date]]&lt;Calculation!$E$3+7)</f>
        <v>0</v>
      </c>
    </row>
    <row r="1766" spans="1:10">
      <c r="A1766" t="s">
        <v>1765</v>
      </c>
      <c r="B1766" s="2">
        <v>42035.680999999997</v>
      </c>
      <c r="C1766" s="3" t="s">
        <v>5006</v>
      </c>
      <c r="D1766" t="s">
        <v>5016</v>
      </c>
      <c r="E1766" t="s">
        <v>5018</v>
      </c>
      <c r="F1766" t="s">
        <v>5018</v>
      </c>
      <c r="G1766">
        <v>95</v>
      </c>
      <c r="H1766" s="5">
        <v>3.4786391887811851E-3</v>
      </c>
      <c r="I1766">
        <v>3</v>
      </c>
      <c r="J1766" t="b">
        <f>AND(CCData[[#This Row],[Date]]&gt;=Calculation!$E$3,CCData[[#This Row],[Date]]&lt;Calculation!$E$3+7)</f>
        <v>0</v>
      </c>
    </row>
    <row r="1767" spans="1:10">
      <c r="A1767" t="s">
        <v>1766</v>
      </c>
      <c r="B1767" s="2">
        <v>42035.680999999997</v>
      </c>
      <c r="C1767" s="3" t="s">
        <v>5004</v>
      </c>
      <c r="D1767" t="s">
        <v>5012</v>
      </c>
      <c r="E1767" t="s">
        <v>5018</v>
      </c>
      <c r="F1767" t="s">
        <v>5018</v>
      </c>
      <c r="G1767">
        <v>49</v>
      </c>
      <c r="H1767" s="5">
        <v>1.3658654596988484E-3</v>
      </c>
      <c r="I1767">
        <v>3</v>
      </c>
      <c r="J1767" t="b">
        <f>AND(CCData[[#This Row],[Date]]&gt;=Calculation!$E$3,CCData[[#This Row],[Date]]&lt;Calculation!$E$3+7)</f>
        <v>0</v>
      </c>
    </row>
    <row r="1768" spans="1:10">
      <c r="A1768" t="s">
        <v>1767</v>
      </c>
      <c r="B1768" s="2">
        <v>42035.705999999998</v>
      </c>
      <c r="C1768" s="3" t="s">
        <v>5004</v>
      </c>
      <c r="D1768" t="s">
        <v>5012</v>
      </c>
      <c r="E1768" t="s">
        <v>5018</v>
      </c>
      <c r="F1768" t="s">
        <v>5018</v>
      </c>
      <c r="G1768">
        <v>58</v>
      </c>
      <c r="H1768" s="5">
        <v>3.26293008395752E-3</v>
      </c>
      <c r="I1768">
        <v>5</v>
      </c>
      <c r="J1768" t="b">
        <f>AND(CCData[[#This Row],[Date]]&gt;=Calculation!$E$3,CCData[[#This Row],[Date]]&lt;Calculation!$E$3+7)</f>
        <v>0</v>
      </c>
    </row>
    <row r="1769" spans="1:10">
      <c r="A1769" t="s">
        <v>1768</v>
      </c>
      <c r="B1769" s="2">
        <v>42035.705999999998</v>
      </c>
      <c r="C1769" s="3" t="s">
        <v>5010</v>
      </c>
      <c r="D1769" t="s">
        <v>5016</v>
      </c>
      <c r="E1769" t="s">
        <v>5019</v>
      </c>
      <c r="F1769" t="s">
        <v>5019</v>
      </c>
      <c r="G1769" t="s">
        <v>5022</v>
      </c>
      <c r="H1769" s="5" t="s">
        <v>5022</v>
      </c>
      <c r="I1769" t="s">
        <v>5022</v>
      </c>
      <c r="J1769" t="b">
        <f>AND(CCData[[#This Row],[Date]]&gt;=Calculation!$E$3,CCData[[#This Row],[Date]]&lt;Calculation!$E$3+7)</f>
        <v>0</v>
      </c>
    </row>
    <row r="1770" spans="1:10">
      <c r="A1770" t="s">
        <v>1769</v>
      </c>
      <c r="B1770" s="2">
        <v>42035.714</v>
      </c>
      <c r="C1770" s="3" t="s">
        <v>5010</v>
      </c>
      <c r="D1770" t="s">
        <v>5015</v>
      </c>
      <c r="E1770" t="s">
        <v>5019</v>
      </c>
      <c r="F1770" t="s">
        <v>5019</v>
      </c>
      <c r="G1770" t="s">
        <v>5022</v>
      </c>
      <c r="H1770" s="5" t="s">
        <v>5022</v>
      </c>
      <c r="I1770" t="s">
        <v>5022</v>
      </c>
      <c r="J1770" t="b">
        <f>AND(CCData[[#This Row],[Date]]&gt;=Calculation!$E$3,CCData[[#This Row],[Date]]&lt;Calculation!$E$3+7)</f>
        <v>0</v>
      </c>
    </row>
    <row r="1771" spans="1:10">
      <c r="A1771" t="s">
        <v>1770</v>
      </c>
      <c r="B1771" s="2">
        <v>42035.714</v>
      </c>
      <c r="C1771" s="3" t="s">
        <v>5003</v>
      </c>
      <c r="D1771" t="s">
        <v>5014</v>
      </c>
      <c r="E1771" t="s">
        <v>5018</v>
      </c>
      <c r="F1771" t="s">
        <v>5018</v>
      </c>
      <c r="G1771">
        <v>78</v>
      </c>
      <c r="H1771" s="5">
        <v>7.2416645797426208E-4</v>
      </c>
      <c r="I1771">
        <v>4</v>
      </c>
      <c r="J1771" t="b">
        <f>AND(CCData[[#This Row],[Date]]&gt;=Calculation!$E$3,CCData[[#This Row],[Date]]&lt;Calculation!$E$3+7)</f>
        <v>0</v>
      </c>
    </row>
    <row r="1772" spans="1:10">
      <c r="A1772" t="s">
        <v>1771</v>
      </c>
      <c r="B1772" s="2">
        <v>42035.732000000004</v>
      </c>
      <c r="C1772" s="3" t="s">
        <v>5007</v>
      </c>
      <c r="D1772" t="s">
        <v>5015</v>
      </c>
      <c r="E1772" t="s">
        <v>5018</v>
      </c>
      <c r="F1772" t="s">
        <v>5018</v>
      </c>
      <c r="G1772">
        <v>91</v>
      </c>
      <c r="H1772" s="5">
        <v>2.0679036844366795E-3</v>
      </c>
      <c r="I1772">
        <v>3</v>
      </c>
      <c r="J1772" t="b">
        <f>AND(CCData[[#This Row],[Date]]&gt;=Calculation!$E$3,CCData[[#This Row],[Date]]&lt;Calculation!$E$3+7)</f>
        <v>0</v>
      </c>
    </row>
    <row r="1773" spans="1:10">
      <c r="A1773" t="s">
        <v>1772</v>
      </c>
      <c r="B1773" s="2">
        <v>42035.732000000004</v>
      </c>
      <c r="C1773" s="3" t="s">
        <v>5006</v>
      </c>
      <c r="D1773" t="s">
        <v>5013</v>
      </c>
      <c r="E1773" t="s">
        <v>5018</v>
      </c>
      <c r="F1773" t="s">
        <v>5018</v>
      </c>
      <c r="G1773">
        <v>121</v>
      </c>
      <c r="H1773" s="5">
        <v>4.1783288097244726E-3</v>
      </c>
      <c r="I1773">
        <v>2</v>
      </c>
      <c r="J1773" t="b">
        <f>AND(CCData[[#This Row],[Date]]&gt;=Calculation!$E$3,CCData[[#This Row],[Date]]&lt;Calculation!$E$3+7)</f>
        <v>0</v>
      </c>
    </row>
    <row r="1774" spans="1:10">
      <c r="A1774" t="s">
        <v>1773</v>
      </c>
      <c r="B1774" s="2">
        <v>42036.387999999999</v>
      </c>
      <c r="C1774" s="3" t="s">
        <v>5010</v>
      </c>
      <c r="D1774" t="s">
        <v>5012</v>
      </c>
      <c r="E1774" t="s">
        <v>5019</v>
      </c>
      <c r="F1774" t="s">
        <v>5019</v>
      </c>
      <c r="G1774" t="s">
        <v>5022</v>
      </c>
      <c r="H1774" s="5" t="s">
        <v>5022</v>
      </c>
      <c r="I1774" t="s">
        <v>5022</v>
      </c>
      <c r="J1774" t="b">
        <f>AND(CCData[[#This Row],[Date]]&gt;=Calculation!$E$3,CCData[[#This Row],[Date]]&lt;Calculation!$E$3+7)</f>
        <v>0</v>
      </c>
    </row>
    <row r="1775" spans="1:10">
      <c r="A1775" t="s">
        <v>1774</v>
      </c>
      <c r="B1775" s="2">
        <v>42036.387999999999</v>
      </c>
      <c r="C1775" s="3" t="s">
        <v>5009</v>
      </c>
      <c r="D1775" t="s">
        <v>5015</v>
      </c>
      <c r="E1775" t="s">
        <v>5018</v>
      </c>
      <c r="F1775" t="s">
        <v>5018</v>
      </c>
      <c r="G1775">
        <v>38</v>
      </c>
      <c r="H1775" s="5">
        <v>3.9479516332315175E-3</v>
      </c>
      <c r="I1775">
        <v>3</v>
      </c>
      <c r="J1775" t="b">
        <f>AND(CCData[[#This Row],[Date]]&gt;=Calculation!$E$3,CCData[[#This Row],[Date]]&lt;Calculation!$E$3+7)</f>
        <v>0</v>
      </c>
    </row>
    <row r="1776" spans="1:10">
      <c r="A1776" t="s">
        <v>1775</v>
      </c>
      <c r="B1776" s="2">
        <v>42036.392</v>
      </c>
      <c r="C1776" s="3" t="s">
        <v>5004</v>
      </c>
      <c r="D1776" t="s">
        <v>5013</v>
      </c>
      <c r="E1776" t="s">
        <v>5018</v>
      </c>
      <c r="F1776" t="s">
        <v>5018</v>
      </c>
      <c r="G1776">
        <v>44</v>
      </c>
      <c r="H1776" s="5">
        <v>1.5666845741825939E-3</v>
      </c>
      <c r="I1776">
        <v>2</v>
      </c>
      <c r="J1776" t="b">
        <f>AND(CCData[[#This Row],[Date]]&gt;=Calculation!$E$3,CCData[[#This Row],[Date]]&lt;Calculation!$E$3+7)</f>
        <v>0</v>
      </c>
    </row>
    <row r="1777" spans="1:10">
      <c r="A1777" t="s">
        <v>1776</v>
      </c>
      <c r="B1777" s="2">
        <v>42036.392</v>
      </c>
      <c r="C1777" s="3" t="s">
        <v>5003</v>
      </c>
      <c r="D1777" t="s">
        <v>5012</v>
      </c>
      <c r="E1777" t="s">
        <v>5018</v>
      </c>
      <c r="F1777" t="s">
        <v>5018</v>
      </c>
      <c r="G1777">
        <v>64</v>
      </c>
      <c r="H1777" s="5">
        <v>2.1817846039563328E-3</v>
      </c>
      <c r="I1777">
        <v>3</v>
      </c>
      <c r="J1777" t="b">
        <f>AND(CCData[[#This Row],[Date]]&gt;=Calculation!$E$3,CCData[[#This Row],[Date]]&lt;Calculation!$E$3+7)</f>
        <v>0</v>
      </c>
    </row>
    <row r="1778" spans="1:10">
      <c r="A1778" t="s">
        <v>1777</v>
      </c>
      <c r="B1778" s="2">
        <v>42036.392999999996</v>
      </c>
      <c r="C1778" s="3" t="s">
        <v>5007</v>
      </c>
      <c r="D1778" t="s">
        <v>5013</v>
      </c>
      <c r="E1778" t="s">
        <v>5019</v>
      </c>
      <c r="F1778" t="s">
        <v>5019</v>
      </c>
      <c r="G1778" t="s">
        <v>5022</v>
      </c>
      <c r="H1778" s="5" t="s">
        <v>5022</v>
      </c>
      <c r="I1778" t="s">
        <v>5022</v>
      </c>
      <c r="J1778" t="b">
        <f>AND(CCData[[#This Row],[Date]]&gt;=Calculation!$E$3,CCData[[#This Row],[Date]]&lt;Calculation!$E$3+7)</f>
        <v>0</v>
      </c>
    </row>
    <row r="1779" spans="1:10">
      <c r="A1779" t="s">
        <v>1778</v>
      </c>
      <c r="B1779" s="2">
        <v>42036.392999999996</v>
      </c>
      <c r="C1779" s="3" t="s">
        <v>5004</v>
      </c>
      <c r="D1779" t="s">
        <v>5014</v>
      </c>
      <c r="E1779" t="s">
        <v>5018</v>
      </c>
      <c r="F1779" t="s">
        <v>5019</v>
      </c>
      <c r="G1779">
        <v>125</v>
      </c>
      <c r="H1779" s="5">
        <v>4.7027105035432528E-3</v>
      </c>
      <c r="I1779">
        <v>4</v>
      </c>
      <c r="J1779" t="b">
        <f>AND(CCData[[#This Row],[Date]]&gt;=Calculation!$E$3,CCData[[#This Row],[Date]]&lt;Calculation!$E$3+7)</f>
        <v>0</v>
      </c>
    </row>
    <row r="1780" spans="1:10">
      <c r="A1780" t="s">
        <v>1779</v>
      </c>
      <c r="B1780" s="2">
        <v>42036.400999999998</v>
      </c>
      <c r="C1780" s="3" t="s">
        <v>5009</v>
      </c>
      <c r="D1780" t="s">
        <v>5013</v>
      </c>
      <c r="E1780" t="s">
        <v>5018</v>
      </c>
      <c r="F1780" t="s">
        <v>5018</v>
      </c>
      <c r="G1780">
        <v>47</v>
      </c>
      <c r="H1780" s="5">
        <v>9.8522115881177329E-4</v>
      </c>
      <c r="I1780">
        <v>4</v>
      </c>
      <c r="J1780" t="b">
        <f>AND(CCData[[#This Row],[Date]]&gt;=Calculation!$E$3,CCData[[#This Row],[Date]]&lt;Calculation!$E$3+7)</f>
        <v>0</v>
      </c>
    </row>
    <row r="1781" spans="1:10">
      <c r="A1781" t="s">
        <v>1780</v>
      </c>
      <c r="B1781" s="2">
        <v>42036.400999999998</v>
      </c>
      <c r="C1781" s="3" t="s">
        <v>5009</v>
      </c>
      <c r="D1781" t="s">
        <v>5013</v>
      </c>
      <c r="E1781" t="s">
        <v>5019</v>
      </c>
      <c r="F1781" t="s">
        <v>5019</v>
      </c>
      <c r="G1781" t="s">
        <v>5022</v>
      </c>
      <c r="H1781" s="5" t="s">
        <v>5022</v>
      </c>
      <c r="I1781" t="s">
        <v>5022</v>
      </c>
      <c r="J1781" t="b">
        <f>AND(CCData[[#This Row],[Date]]&gt;=Calculation!$E$3,CCData[[#This Row],[Date]]&lt;Calculation!$E$3+7)</f>
        <v>0</v>
      </c>
    </row>
    <row r="1782" spans="1:10">
      <c r="A1782" t="s">
        <v>1781</v>
      </c>
      <c r="B1782" s="2">
        <v>42036.400999999998</v>
      </c>
      <c r="C1782" s="3" t="s">
        <v>5004</v>
      </c>
      <c r="D1782" t="s">
        <v>5012</v>
      </c>
      <c r="E1782" t="s">
        <v>5019</v>
      </c>
      <c r="F1782" t="s">
        <v>5019</v>
      </c>
      <c r="G1782" t="s">
        <v>5022</v>
      </c>
      <c r="H1782" s="5" t="s">
        <v>5022</v>
      </c>
      <c r="I1782" t="s">
        <v>5022</v>
      </c>
      <c r="J1782" t="b">
        <f>AND(CCData[[#This Row],[Date]]&gt;=Calculation!$E$3,CCData[[#This Row],[Date]]&lt;Calculation!$E$3+7)</f>
        <v>0</v>
      </c>
    </row>
    <row r="1783" spans="1:10">
      <c r="A1783" t="s">
        <v>1782</v>
      </c>
      <c r="B1783" s="2">
        <v>42036.400999999998</v>
      </c>
      <c r="C1783" s="3" t="s">
        <v>5007</v>
      </c>
      <c r="D1783" t="s">
        <v>5015</v>
      </c>
      <c r="E1783" t="s">
        <v>5018</v>
      </c>
      <c r="F1783" t="s">
        <v>5018</v>
      </c>
      <c r="G1783">
        <v>116</v>
      </c>
      <c r="H1783" s="5">
        <v>3.0369185331844089E-3</v>
      </c>
      <c r="I1783">
        <v>3</v>
      </c>
      <c r="J1783" t="b">
        <f>AND(CCData[[#This Row],[Date]]&gt;=Calculation!$E$3,CCData[[#This Row],[Date]]&lt;Calculation!$E$3+7)</f>
        <v>0</v>
      </c>
    </row>
    <row r="1784" spans="1:10">
      <c r="A1784" t="s">
        <v>1783</v>
      </c>
      <c r="B1784" s="2">
        <v>42036.421999999999</v>
      </c>
      <c r="C1784" s="3" t="s">
        <v>5003</v>
      </c>
      <c r="D1784" t="s">
        <v>5014</v>
      </c>
      <c r="E1784" t="s">
        <v>5018</v>
      </c>
      <c r="F1784" t="s">
        <v>5018</v>
      </c>
      <c r="G1784">
        <v>13</v>
      </c>
      <c r="H1784" s="5">
        <v>1.348052166736837E-3</v>
      </c>
      <c r="I1784">
        <v>4</v>
      </c>
      <c r="J1784" t="b">
        <f>AND(CCData[[#This Row],[Date]]&gt;=Calculation!$E$3,CCData[[#This Row],[Date]]&lt;Calculation!$E$3+7)</f>
        <v>0</v>
      </c>
    </row>
    <row r="1785" spans="1:10">
      <c r="A1785" t="s">
        <v>1784</v>
      </c>
      <c r="B1785" s="2">
        <v>42036.421999999999</v>
      </c>
      <c r="C1785" s="3" t="s">
        <v>5006</v>
      </c>
      <c r="D1785" t="s">
        <v>5012</v>
      </c>
      <c r="E1785" t="s">
        <v>5018</v>
      </c>
      <c r="F1785" t="s">
        <v>5018</v>
      </c>
      <c r="G1785">
        <v>124</v>
      </c>
      <c r="H1785" s="5">
        <v>2.3263980742767366E-3</v>
      </c>
      <c r="I1785">
        <v>5</v>
      </c>
      <c r="J1785" t="b">
        <f>AND(CCData[[#This Row],[Date]]&gt;=Calculation!$E$3,CCData[[#This Row],[Date]]&lt;Calculation!$E$3+7)</f>
        <v>0</v>
      </c>
    </row>
    <row r="1786" spans="1:10">
      <c r="A1786" t="s">
        <v>1785</v>
      </c>
      <c r="B1786" s="2">
        <v>42036.438999999998</v>
      </c>
      <c r="C1786" s="3" t="s">
        <v>5004</v>
      </c>
      <c r="D1786" t="s">
        <v>5015</v>
      </c>
      <c r="E1786" t="s">
        <v>5019</v>
      </c>
      <c r="F1786" t="s">
        <v>5019</v>
      </c>
      <c r="G1786" t="s">
        <v>5022</v>
      </c>
      <c r="H1786" s="5" t="s">
        <v>5022</v>
      </c>
      <c r="I1786" t="s">
        <v>5022</v>
      </c>
      <c r="J1786" t="b">
        <f>AND(CCData[[#This Row],[Date]]&gt;=Calculation!$E$3,CCData[[#This Row],[Date]]&lt;Calculation!$E$3+7)</f>
        <v>0</v>
      </c>
    </row>
    <row r="1787" spans="1:10">
      <c r="A1787" t="s">
        <v>1786</v>
      </c>
      <c r="B1787" s="2">
        <v>42036.438999999998</v>
      </c>
      <c r="C1787" s="3" t="s">
        <v>5006</v>
      </c>
      <c r="D1787" t="s">
        <v>5013</v>
      </c>
      <c r="E1787" t="s">
        <v>5018</v>
      </c>
      <c r="F1787" t="s">
        <v>5018</v>
      </c>
      <c r="G1787">
        <v>46</v>
      </c>
      <c r="H1787" s="5">
        <v>1.4991987398811138E-3</v>
      </c>
      <c r="I1787">
        <v>5</v>
      </c>
      <c r="J1787" t="b">
        <f>AND(CCData[[#This Row],[Date]]&gt;=Calculation!$E$3,CCData[[#This Row],[Date]]&lt;Calculation!$E$3+7)</f>
        <v>0</v>
      </c>
    </row>
    <row r="1788" spans="1:10">
      <c r="A1788" t="s">
        <v>1787</v>
      </c>
      <c r="B1788" s="2">
        <v>42036.468999999997</v>
      </c>
      <c r="C1788" s="3" t="s">
        <v>5006</v>
      </c>
      <c r="D1788" t="s">
        <v>5013</v>
      </c>
      <c r="E1788" t="s">
        <v>5018</v>
      </c>
      <c r="F1788" t="s">
        <v>5018</v>
      </c>
      <c r="G1788">
        <v>11</v>
      </c>
      <c r="H1788" s="5">
        <v>2.1769104413143143E-3</v>
      </c>
      <c r="I1788">
        <v>3</v>
      </c>
      <c r="J1788" t="b">
        <f>AND(CCData[[#This Row],[Date]]&gt;=Calculation!$E$3,CCData[[#This Row],[Date]]&lt;Calculation!$E$3+7)</f>
        <v>0</v>
      </c>
    </row>
    <row r="1789" spans="1:10">
      <c r="A1789" t="s">
        <v>1788</v>
      </c>
      <c r="B1789" s="2">
        <v>42036.468999999997</v>
      </c>
      <c r="C1789" s="3" t="s">
        <v>5006</v>
      </c>
      <c r="D1789" t="s">
        <v>5014</v>
      </c>
      <c r="E1789" t="s">
        <v>5018</v>
      </c>
      <c r="F1789" t="s">
        <v>5019</v>
      </c>
      <c r="G1789">
        <v>62</v>
      </c>
      <c r="H1789" s="5">
        <v>2.7386589908307752E-3</v>
      </c>
      <c r="I1789">
        <v>3</v>
      </c>
      <c r="J1789" t="b">
        <f>AND(CCData[[#This Row],[Date]]&gt;=Calculation!$E$3,CCData[[#This Row],[Date]]&lt;Calculation!$E$3+7)</f>
        <v>0</v>
      </c>
    </row>
    <row r="1790" spans="1:10">
      <c r="A1790" t="s">
        <v>1789</v>
      </c>
      <c r="B1790" s="2">
        <v>42036.470999999998</v>
      </c>
      <c r="C1790" s="3" t="s">
        <v>5006</v>
      </c>
      <c r="D1790" t="s">
        <v>5016</v>
      </c>
      <c r="E1790" t="s">
        <v>5019</v>
      </c>
      <c r="F1790" t="s">
        <v>5019</v>
      </c>
      <c r="G1790" t="s">
        <v>5022</v>
      </c>
      <c r="H1790" s="5" t="s">
        <v>5022</v>
      </c>
      <c r="I1790" t="s">
        <v>5022</v>
      </c>
      <c r="J1790" t="b">
        <f>AND(CCData[[#This Row],[Date]]&gt;=Calculation!$E$3,CCData[[#This Row],[Date]]&lt;Calculation!$E$3+7)</f>
        <v>0</v>
      </c>
    </row>
    <row r="1791" spans="1:10">
      <c r="A1791" t="s">
        <v>1790</v>
      </c>
      <c r="B1791" s="2">
        <v>42036.470999999998</v>
      </c>
      <c r="C1791" s="3" t="s">
        <v>5005</v>
      </c>
      <c r="D1791" t="s">
        <v>5015</v>
      </c>
      <c r="E1791" t="s">
        <v>5018</v>
      </c>
      <c r="F1791" t="s">
        <v>5018</v>
      </c>
      <c r="G1791">
        <v>61</v>
      </c>
      <c r="H1791" s="5">
        <v>2.0349694398853653E-3</v>
      </c>
      <c r="I1791">
        <v>5</v>
      </c>
      <c r="J1791" t="b">
        <f>AND(CCData[[#This Row],[Date]]&gt;=Calculation!$E$3,CCData[[#This Row],[Date]]&lt;Calculation!$E$3+7)</f>
        <v>0</v>
      </c>
    </row>
    <row r="1792" spans="1:10">
      <c r="A1792" t="s">
        <v>1791</v>
      </c>
      <c r="B1792" s="2">
        <v>42036.504999999997</v>
      </c>
      <c r="C1792" s="3" t="s">
        <v>5010</v>
      </c>
      <c r="D1792" t="s">
        <v>5013</v>
      </c>
      <c r="E1792" t="s">
        <v>5019</v>
      </c>
      <c r="F1792" t="s">
        <v>5019</v>
      </c>
      <c r="G1792" t="s">
        <v>5022</v>
      </c>
      <c r="H1792" s="5" t="s">
        <v>5022</v>
      </c>
      <c r="I1792" t="s">
        <v>5022</v>
      </c>
      <c r="J1792" t="b">
        <f>AND(CCData[[#This Row],[Date]]&gt;=Calculation!$E$3,CCData[[#This Row],[Date]]&lt;Calculation!$E$3+7)</f>
        <v>0</v>
      </c>
    </row>
    <row r="1793" spans="1:10">
      <c r="A1793" t="s">
        <v>1792</v>
      </c>
      <c r="B1793" s="2">
        <v>42036.504999999997</v>
      </c>
      <c r="C1793" s="3" t="s">
        <v>5008</v>
      </c>
      <c r="D1793" t="s">
        <v>5013</v>
      </c>
      <c r="E1793" t="s">
        <v>5018</v>
      </c>
      <c r="F1793" t="s">
        <v>5018</v>
      </c>
      <c r="G1793">
        <v>29</v>
      </c>
      <c r="H1793" s="5">
        <v>4.7166872701082628E-3</v>
      </c>
      <c r="I1793">
        <v>5</v>
      </c>
      <c r="J1793" t="b">
        <f>AND(CCData[[#This Row],[Date]]&gt;=Calculation!$E$3,CCData[[#This Row],[Date]]&lt;Calculation!$E$3+7)</f>
        <v>0</v>
      </c>
    </row>
    <row r="1794" spans="1:10">
      <c r="A1794" t="s">
        <v>1793</v>
      </c>
      <c r="B1794" s="2">
        <v>42036.512999999999</v>
      </c>
      <c r="C1794" s="3" t="s">
        <v>5010</v>
      </c>
      <c r="D1794" t="s">
        <v>5012</v>
      </c>
      <c r="E1794" t="s">
        <v>5018</v>
      </c>
      <c r="F1794" t="s">
        <v>5018</v>
      </c>
      <c r="G1794">
        <v>109</v>
      </c>
      <c r="H1794" s="5">
        <v>6.0212051659248975E-4</v>
      </c>
      <c r="I1794">
        <v>3</v>
      </c>
      <c r="J1794" t="b">
        <f>AND(CCData[[#This Row],[Date]]&gt;=Calculation!$E$3,CCData[[#This Row],[Date]]&lt;Calculation!$E$3+7)</f>
        <v>0</v>
      </c>
    </row>
    <row r="1795" spans="1:10">
      <c r="A1795" t="s">
        <v>1794</v>
      </c>
      <c r="B1795" s="2">
        <v>42036.512999999999</v>
      </c>
      <c r="C1795" s="3" t="s">
        <v>5010</v>
      </c>
      <c r="D1795" t="s">
        <v>5012</v>
      </c>
      <c r="E1795" t="s">
        <v>5018</v>
      </c>
      <c r="F1795" t="s">
        <v>5018</v>
      </c>
      <c r="G1795">
        <v>52</v>
      </c>
      <c r="H1795" s="5">
        <v>4.1381617721853916E-3</v>
      </c>
      <c r="I1795">
        <v>3</v>
      </c>
      <c r="J1795" t="b">
        <f>AND(CCData[[#This Row],[Date]]&gt;=Calculation!$E$3,CCData[[#This Row],[Date]]&lt;Calculation!$E$3+7)</f>
        <v>0</v>
      </c>
    </row>
    <row r="1796" spans="1:10">
      <c r="A1796" t="s">
        <v>1795</v>
      </c>
      <c r="B1796" s="2">
        <v>42036.521999999997</v>
      </c>
      <c r="C1796" s="3" t="s">
        <v>5010</v>
      </c>
      <c r="D1796" t="s">
        <v>5013</v>
      </c>
      <c r="E1796" t="s">
        <v>5018</v>
      </c>
      <c r="F1796" t="s">
        <v>5018</v>
      </c>
      <c r="G1796">
        <v>117</v>
      </c>
      <c r="H1796" s="5">
        <v>3.3597810446900312E-3</v>
      </c>
      <c r="I1796">
        <v>1</v>
      </c>
      <c r="J1796" t="b">
        <f>AND(CCData[[#This Row],[Date]]&gt;=Calculation!$E$3,CCData[[#This Row],[Date]]&lt;Calculation!$E$3+7)</f>
        <v>0</v>
      </c>
    </row>
    <row r="1797" spans="1:10">
      <c r="A1797" t="s">
        <v>1796</v>
      </c>
      <c r="B1797" s="2">
        <v>42036.521999999997</v>
      </c>
      <c r="C1797" s="3" t="s">
        <v>5009</v>
      </c>
      <c r="D1797" t="s">
        <v>5012</v>
      </c>
      <c r="E1797" t="s">
        <v>5018</v>
      </c>
      <c r="F1797" t="s">
        <v>5018</v>
      </c>
      <c r="G1797">
        <v>17</v>
      </c>
      <c r="H1797" s="5">
        <v>2.5166099898997784E-3</v>
      </c>
      <c r="I1797">
        <v>3</v>
      </c>
      <c r="J1797" t="b">
        <f>AND(CCData[[#This Row],[Date]]&gt;=Calculation!$E$3,CCData[[#This Row],[Date]]&lt;Calculation!$E$3+7)</f>
        <v>0</v>
      </c>
    </row>
    <row r="1798" spans="1:10">
      <c r="A1798" t="s">
        <v>1797</v>
      </c>
      <c r="B1798" s="2">
        <v>42036.529000000002</v>
      </c>
      <c r="C1798" s="3" t="s">
        <v>5007</v>
      </c>
      <c r="D1798" t="s">
        <v>5016</v>
      </c>
      <c r="E1798" t="s">
        <v>5018</v>
      </c>
      <c r="F1798" t="s">
        <v>5018</v>
      </c>
      <c r="G1798">
        <v>46</v>
      </c>
      <c r="H1798" s="5">
        <v>1.2418052960485981E-3</v>
      </c>
      <c r="I1798">
        <v>4</v>
      </c>
      <c r="J1798" t="b">
        <f>AND(CCData[[#This Row],[Date]]&gt;=Calculation!$E$3,CCData[[#This Row],[Date]]&lt;Calculation!$E$3+7)</f>
        <v>0</v>
      </c>
    </row>
    <row r="1799" spans="1:10">
      <c r="A1799" t="s">
        <v>1798</v>
      </c>
      <c r="B1799" s="2">
        <v>42036.529000000002</v>
      </c>
      <c r="C1799" s="3" t="s">
        <v>5009</v>
      </c>
      <c r="D1799" t="s">
        <v>5015</v>
      </c>
      <c r="E1799" t="s">
        <v>5018</v>
      </c>
      <c r="F1799" t="s">
        <v>5018</v>
      </c>
      <c r="G1799">
        <v>60</v>
      </c>
      <c r="H1799" s="5">
        <v>2.5764063708415322E-3</v>
      </c>
      <c r="I1799">
        <v>2</v>
      </c>
      <c r="J1799" t="b">
        <f>AND(CCData[[#This Row],[Date]]&gt;=Calculation!$E$3,CCData[[#This Row],[Date]]&lt;Calculation!$E$3+7)</f>
        <v>0</v>
      </c>
    </row>
    <row r="1800" spans="1:10">
      <c r="A1800" t="s">
        <v>1799</v>
      </c>
      <c r="B1800" s="2">
        <v>42036.542999999998</v>
      </c>
      <c r="C1800" s="3" t="s">
        <v>5007</v>
      </c>
      <c r="D1800" t="s">
        <v>5013</v>
      </c>
      <c r="E1800" t="s">
        <v>5018</v>
      </c>
      <c r="F1800" t="s">
        <v>5018</v>
      </c>
      <c r="G1800">
        <v>53</v>
      </c>
      <c r="H1800" s="5">
        <v>2.4219337448082821E-3</v>
      </c>
      <c r="I1800">
        <v>3</v>
      </c>
      <c r="J1800" t="b">
        <f>AND(CCData[[#This Row],[Date]]&gt;=Calculation!$E$3,CCData[[#This Row],[Date]]&lt;Calculation!$E$3+7)</f>
        <v>0</v>
      </c>
    </row>
    <row r="1801" spans="1:10">
      <c r="A1801" t="s">
        <v>1800</v>
      </c>
      <c r="B1801" s="2">
        <v>42036.542999999998</v>
      </c>
      <c r="C1801" s="3" t="s">
        <v>5005</v>
      </c>
      <c r="D1801" t="s">
        <v>5014</v>
      </c>
      <c r="E1801" t="s">
        <v>5018</v>
      </c>
      <c r="F1801" t="s">
        <v>5018</v>
      </c>
      <c r="G1801">
        <v>72</v>
      </c>
      <c r="H1801" s="5">
        <v>9.5410957453644909E-4</v>
      </c>
      <c r="I1801">
        <v>4</v>
      </c>
      <c r="J1801" t="b">
        <f>AND(CCData[[#This Row],[Date]]&gt;=Calculation!$E$3,CCData[[#This Row],[Date]]&lt;Calculation!$E$3+7)</f>
        <v>0</v>
      </c>
    </row>
    <row r="1802" spans="1:10">
      <c r="A1802" t="s">
        <v>1801</v>
      </c>
      <c r="B1802" s="2">
        <v>42036.559000000001</v>
      </c>
      <c r="C1802" s="3" t="s">
        <v>5005</v>
      </c>
      <c r="D1802" t="s">
        <v>5014</v>
      </c>
      <c r="E1802" t="s">
        <v>5018</v>
      </c>
      <c r="F1802" t="s">
        <v>5018</v>
      </c>
      <c r="G1802">
        <v>113</v>
      </c>
      <c r="H1802" s="5">
        <v>3.4027234693837735E-3</v>
      </c>
      <c r="I1802">
        <v>3</v>
      </c>
      <c r="J1802" t="b">
        <f>AND(CCData[[#This Row],[Date]]&gt;=Calculation!$E$3,CCData[[#This Row],[Date]]&lt;Calculation!$E$3+7)</f>
        <v>0</v>
      </c>
    </row>
    <row r="1803" spans="1:10">
      <c r="A1803" t="s">
        <v>1802</v>
      </c>
      <c r="B1803" s="2">
        <v>42036.559000000001</v>
      </c>
      <c r="C1803" s="3" t="s">
        <v>5008</v>
      </c>
      <c r="D1803" t="s">
        <v>5014</v>
      </c>
      <c r="E1803" t="s">
        <v>5018</v>
      </c>
      <c r="F1803" t="s">
        <v>5018</v>
      </c>
      <c r="G1803">
        <v>51</v>
      </c>
      <c r="H1803" s="5">
        <v>2.052135076977876E-3</v>
      </c>
      <c r="I1803">
        <v>4</v>
      </c>
      <c r="J1803" t="b">
        <f>AND(CCData[[#This Row],[Date]]&gt;=Calculation!$E$3,CCData[[#This Row],[Date]]&lt;Calculation!$E$3+7)</f>
        <v>0</v>
      </c>
    </row>
    <row r="1804" spans="1:10">
      <c r="A1804" t="s">
        <v>1803</v>
      </c>
      <c r="B1804" s="2">
        <v>42036.563000000002</v>
      </c>
      <c r="C1804" s="3" t="s">
        <v>5007</v>
      </c>
      <c r="D1804" t="s">
        <v>5015</v>
      </c>
      <c r="E1804" t="s">
        <v>5018</v>
      </c>
      <c r="F1804" t="s">
        <v>5018</v>
      </c>
      <c r="G1804">
        <v>99</v>
      </c>
      <c r="H1804" s="5">
        <v>1.039661846838587E-3</v>
      </c>
      <c r="I1804">
        <v>4</v>
      </c>
      <c r="J1804" t="b">
        <f>AND(CCData[[#This Row],[Date]]&gt;=Calculation!$E$3,CCData[[#This Row],[Date]]&lt;Calculation!$E$3+7)</f>
        <v>0</v>
      </c>
    </row>
    <row r="1805" spans="1:10">
      <c r="A1805" t="s">
        <v>1804</v>
      </c>
      <c r="B1805" s="2">
        <v>42036.563000000002</v>
      </c>
      <c r="C1805" s="3" t="s">
        <v>5010</v>
      </c>
      <c r="D1805" t="s">
        <v>5016</v>
      </c>
      <c r="E1805" t="s">
        <v>5018</v>
      </c>
      <c r="F1805" t="s">
        <v>5018</v>
      </c>
      <c r="G1805">
        <v>99</v>
      </c>
      <c r="H1805" s="5">
        <v>6.3428167454112868E-4</v>
      </c>
      <c r="I1805">
        <v>2</v>
      </c>
      <c r="J1805" t="b">
        <f>AND(CCData[[#This Row],[Date]]&gt;=Calculation!$E$3,CCData[[#This Row],[Date]]&lt;Calculation!$E$3+7)</f>
        <v>0</v>
      </c>
    </row>
    <row r="1806" spans="1:10">
      <c r="A1806" t="s">
        <v>1805</v>
      </c>
      <c r="B1806" s="2">
        <v>42036.567000000003</v>
      </c>
      <c r="C1806" s="3" t="s">
        <v>5010</v>
      </c>
      <c r="D1806" t="s">
        <v>5012</v>
      </c>
      <c r="E1806" t="s">
        <v>5019</v>
      </c>
      <c r="F1806" t="s">
        <v>5019</v>
      </c>
      <c r="G1806" t="s">
        <v>5022</v>
      </c>
      <c r="H1806" s="5" t="s">
        <v>5022</v>
      </c>
      <c r="I1806" t="s">
        <v>5022</v>
      </c>
      <c r="J1806" t="b">
        <f>AND(CCData[[#This Row],[Date]]&gt;=Calculation!$E$3,CCData[[#This Row],[Date]]&lt;Calculation!$E$3+7)</f>
        <v>0</v>
      </c>
    </row>
    <row r="1807" spans="1:10">
      <c r="A1807" t="s">
        <v>1806</v>
      </c>
      <c r="B1807" s="2">
        <v>42036.567000000003</v>
      </c>
      <c r="C1807" s="3" t="s">
        <v>5007</v>
      </c>
      <c r="D1807" t="s">
        <v>5016</v>
      </c>
      <c r="E1807" t="s">
        <v>5018</v>
      </c>
      <c r="F1807" t="s">
        <v>5018</v>
      </c>
      <c r="G1807">
        <v>37</v>
      </c>
      <c r="H1807" s="5">
        <v>2.1045222383197434E-3</v>
      </c>
      <c r="I1807">
        <v>4</v>
      </c>
      <c r="J1807" t="b">
        <f>AND(CCData[[#This Row],[Date]]&gt;=Calculation!$E$3,CCData[[#This Row],[Date]]&lt;Calculation!$E$3+7)</f>
        <v>0</v>
      </c>
    </row>
    <row r="1808" spans="1:10">
      <c r="A1808" t="s">
        <v>1807</v>
      </c>
      <c r="B1808" s="2">
        <v>42036.567999999999</v>
      </c>
      <c r="C1808" s="3" t="s">
        <v>5009</v>
      </c>
      <c r="D1808" t="s">
        <v>5012</v>
      </c>
      <c r="E1808" t="s">
        <v>5018</v>
      </c>
      <c r="F1808" t="s">
        <v>5018</v>
      </c>
      <c r="G1808">
        <v>115</v>
      </c>
      <c r="H1808" s="5">
        <v>1.2792124605088575E-3</v>
      </c>
      <c r="I1808">
        <v>3</v>
      </c>
      <c r="J1808" t="b">
        <f>AND(CCData[[#This Row],[Date]]&gt;=Calculation!$E$3,CCData[[#This Row],[Date]]&lt;Calculation!$E$3+7)</f>
        <v>0</v>
      </c>
    </row>
    <row r="1809" spans="1:10">
      <c r="A1809" t="s">
        <v>1808</v>
      </c>
      <c r="B1809" s="2">
        <v>42036.567999999999</v>
      </c>
      <c r="C1809" s="3" t="s">
        <v>5009</v>
      </c>
      <c r="D1809" t="s">
        <v>5012</v>
      </c>
      <c r="E1809" t="s">
        <v>5018</v>
      </c>
      <c r="F1809" t="s">
        <v>5018</v>
      </c>
      <c r="G1809">
        <v>97</v>
      </c>
      <c r="H1809" s="5">
        <v>2.0886935875169491E-3</v>
      </c>
      <c r="I1809">
        <v>5</v>
      </c>
      <c r="J1809" t="b">
        <f>AND(CCData[[#This Row],[Date]]&gt;=Calculation!$E$3,CCData[[#This Row],[Date]]&lt;Calculation!$E$3+7)</f>
        <v>0</v>
      </c>
    </row>
    <row r="1810" spans="1:10">
      <c r="A1810" t="s">
        <v>1809</v>
      </c>
      <c r="B1810" s="2">
        <v>42036.574000000001</v>
      </c>
      <c r="C1810" s="3" t="s">
        <v>5004</v>
      </c>
      <c r="D1810" t="s">
        <v>5012</v>
      </c>
      <c r="E1810" t="s">
        <v>5019</v>
      </c>
      <c r="F1810" t="s">
        <v>5019</v>
      </c>
      <c r="G1810" t="s">
        <v>5022</v>
      </c>
      <c r="H1810" s="5" t="s">
        <v>5022</v>
      </c>
      <c r="I1810" t="s">
        <v>5022</v>
      </c>
      <c r="J1810" t="b">
        <f>AND(CCData[[#This Row],[Date]]&gt;=Calculation!$E$3,CCData[[#This Row],[Date]]&lt;Calculation!$E$3+7)</f>
        <v>0</v>
      </c>
    </row>
    <row r="1811" spans="1:10">
      <c r="A1811" t="s">
        <v>1810</v>
      </c>
      <c r="B1811" s="2">
        <v>42036.574000000001</v>
      </c>
      <c r="C1811" s="3" t="s">
        <v>5010</v>
      </c>
      <c r="D1811" t="s">
        <v>5012</v>
      </c>
      <c r="E1811" t="s">
        <v>5018</v>
      </c>
      <c r="F1811" t="s">
        <v>5019</v>
      </c>
      <c r="G1811">
        <v>87</v>
      </c>
      <c r="H1811" s="5">
        <v>4.705903817167738E-3</v>
      </c>
      <c r="I1811">
        <v>5</v>
      </c>
      <c r="J1811" t="b">
        <f>AND(CCData[[#This Row],[Date]]&gt;=Calculation!$E$3,CCData[[#This Row],[Date]]&lt;Calculation!$E$3+7)</f>
        <v>0</v>
      </c>
    </row>
    <row r="1812" spans="1:10">
      <c r="A1812" t="s">
        <v>1811</v>
      </c>
      <c r="B1812" s="2">
        <v>42036.576999999997</v>
      </c>
      <c r="C1812" s="3" t="s">
        <v>5004</v>
      </c>
      <c r="D1812" t="s">
        <v>5014</v>
      </c>
      <c r="E1812" t="s">
        <v>5018</v>
      </c>
      <c r="F1812" t="s">
        <v>5018</v>
      </c>
      <c r="G1812">
        <v>97</v>
      </c>
      <c r="H1812" s="5">
        <v>3.3250536839886549E-3</v>
      </c>
      <c r="I1812">
        <v>1</v>
      </c>
      <c r="J1812" t="b">
        <f>AND(CCData[[#This Row],[Date]]&gt;=Calculation!$E$3,CCData[[#This Row],[Date]]&lt;Calculation!$E$3+7)</f>
        <v>0</v>
      </c>
    </row>
    <row r="1813" spans="1:10">
      <c r="A1813" t="s">
        <v>1812</v>
      </c>
      <c r="B1813" s="2">
        <v>42036.576999999997</v>
      </c>
      <c r="C1813" s="3" t="s">
        <v>5006</v>
      </c>
      <c r="D1813" t="s">
        <v>5016</v>
      </c>
      <c r="E1813" t="s">
        <v>5018</v>
      </c>
      <c r="F1813" t="s">
        <v>5019</v>
      </c>
      <c r="G1813">
        <v>119</v>
      </c>
      <c r="H1813" s="5">
        <v>7.3247929238758112E-4</v>
      </c>
      <c r="I1813">
        <v>5</v>
      </c>
      <c r="J1813" t="b">
        <f>AND(CCData[[#This Row],[Date]]&gt;=Calculation!$E$3,CCData[[#This Row],[Date]]&lt;Calculation!$E$3+7)</f>
        <v>0</v>
      </c>
    </row>
    <row r="1814" spans="1:10">
      <c r="A1814" t="s">
        <v>1813</v>
      </c>
      <c r="B1814" s="2">
        <v>42036.582000000002</v>
      </c>
      <c r="C1814" s="3" t="s">
        <v>5003</v>
      </c>
      <c r="D1814" t="s">
        <v>5012</v>
      </c>
      <c r="E1814" t="s">
        <v>5018</v>
      </c>
      <c r="F1814" t="s">
        <v>5018</v>
      </c>
      <c r="G1814">
        <v>122</v>
      </c>
      <c r="H1814" s="5">
        <v>1.5955867803207836E-3</v>
      </c>
      <c r="I1814">
        <v>3</v>
      </c>
      <c r="J1814" t="b">
        <f>AND(CCData[[#This Row],[Date]]&gt;=Calculation!$E$3,CCData[[#This Row],[Date]]&lt;Calculation!$E$3+7)</f>
        <v>0</v>
      </c>
    </row>
    <row r="1815" spans="1:10">
      <c r="A1815" t="s">
        <v>1814</v>
      </c>
      <c r="B1815" s="2">
        <v>42036.582000000002</v>
      </c>
      <c r="C1815" s="3" t="s">
        <v>5004</v>
      </c>
      <c r="D1815" t="s">
        <v>5012</v>
      </c>
      <c r="E1815" t="s">
        <v>5018</v>
      </c>
      <c r="F1815" t="s">
        <v>5018</v>
      </c>
      <c r="G1815">
        <v>60</v>
      </c>
      <c r="H1815" s="5">
        <v>1.5058695792798246E-3</v>
      </c>
      <c r="I1815">
        <v>1</v>
      </c>
      <c r="J1815" t="b">
        <f>AND(CCData[[#This Row],[Date]]&gt;=Calculation!$E$3,CCData[[#This Row],[Date]]&lt;Calculation!$E$3+7)</f>
        <v>0</v>
      </c>
    </row>
    <row r="1816" spans="1:10">
      <c r="A1816" t="s">
        <v>1815</v>
      </c>
      <c r="B1816" s="2">
        <v>42036.595000000001</v>
      </c>
      <c r="C1816" s="3" t="s">
        <v>5006</v>
      </c>
      <c r="D1816" t="s">
        <v>5013</v>
      </c>
      <c r="E1816" t="s">
        <v>5018</v>
      </c>
      <c r="F1816" t="s">
        <v>5019</v>
      </c>
      <c r="G1816">
        <v>58</v>
      </c>
      <c r="H1816" s="5">
        <v>1.6095174467616468E-3</v>
      </c>
      <c r="I1816">
        <v>2</v>
      </c>
      <c r="J1816" t="b">
        <f>AND(CCData[[#This Row],[Date]]&gt;=Calculation!$E$3,CCData[[#This Row],[Date]]&lt;Calculation!$E$3+7)</f>
        <v>0</v>
      </c>
    </row>
    <row r="1817" spans="1:10">
      <c r="A1817" t="s">
        <v>1816</v>
      </c>
      <c r="B1817" s="2">
        <v>42036.595000000001</v>
      </c>
      <c r="C1817" s="3" t="s">
        <v>5006</v>
      </c>
      <c r="D1817" t="s">
        <v>5015</v>
      </c>
      <c r="E1817" t="s">
        <v>5018</v>
      </c>
      <c r="F1817" t="s">
        <v>5018</v>
      </c>
      <c r="G1817">
        <v>84</v>
      </c>
      <c r="H1817" s="5">
        <v>4.479897887642038E-3</v>
      </c>
      <c r="I1817">
        <v>4</v>
      </c>
      <c r="J1817" t="b">
        <f>AND(CCData[[#This Row],[Date]]&gt;=Calculation!$E$3,CCData[[#This Row],[Date]]&lt;Calculation!$E$3+7)</f>
        <v>0</v>
      </c>
    </row>
    <row r="1818" spans="1:10">
      <c r="A1818" t="s">
        <v>1817</v>
      </c>
      <c r="B1818" s="2">
        <v>42036.606</v>
      </c>
      <c r="C1818" s="3" t="s">
        <v>5008</v>
      </c>
      <c r="D1818" t="s">
        <v>5014</v>
      </c>
      <c r="E1818" t="s">
        <v>5019</v>
      </c>
      <c r="F1818" t="s">
        <v>5019</v>
      </c>
      <c r="G1818" t="s">
        <v>5022</v>
      </c>
      <c r="H1818" s="5" t="s">
        <v>5022</v>
      </c>
      <c r="I1818" t="s">
        <v>5022</v>
      </c>
      <c r="J1818" t="b">
        <f>AND(CCData[[#This Row],[Date]]&gt;=Calculation!$E$3,CCData[[#This Row],[Date]]&lt;Calculation!$E$3+7)</f>
        <v>0</v>
      </c>
    </row>
    <row r="1819" spans="1:10">
      <c r="A1819" t="s">
        <v>1818</v>
      </c>
      <c r="B1819" s="2">
        <v>42036.606</v>
      </c>
      <c r="C1819" s="3" t="s">
        <v>5010</v>
      </c>
      <c r="D1819" t="s">
        <v>5014</v>
      </c>
      <c r="E1819" t="s">
        <v>5018</v>
      </c>
      <c r="F1819" t="s">
        <v>5018</v>
      </c>
      <c r="G1819">
        <v>72</v>
      </c>
      <c r="H1819" s="5">
        <v>2.0164072234154489E-3</v>
      </c>
      <c r="I1819">
        <v>2</v>
      </c>
      <c r="J1819" t="b">
        <f>AND(CCData[[#This Row],[Date]]&gt;=Calculation!$E$3,CCData[[#This Row],[Date]]&lt;Calculation!$E$3+7)</f>
        <v>0</v>
      </c>
    </row>
    <row r="1820" spans="1:10">
      <c r="A1820" t="s">
        <v>1819</v>
      </c>
      <c r="B1820" s="2">
        <v>42036.608</v>
      </c>
      <c r="C1820" s="3" t="s">
        <v>5009</v>
      </c>
      <c r="D1820" t="s">
        <v>5016</v>
      </c>
      <c r="E1820" t="s">
        <v>5018</v>
      </c>
      <c r="F1820" t="s">
        <v>5018</v>
      </c>
      <c r="G1820">
        <v>46</v>
      </c>
      <c r="H1820" s="5">
        <v>2.1061948912250014E-3</v>
      </c>
      <c r="I1820">
        <v>4</v>
      </c>
      <c r="J1820" t="b">
        <f>AND(CCData[[#This Row],[Date]]&gt;=Calculation!$E$3,CCData[[#This Row],[Date]]&lt;Calculation!$E$3+7)</f>
        <v>0</v>
      </c>
    </row>
    <row r="1821" spans="1:10">
      <c r="A1821" t="s">
        <v>1820</v>
      </c>
      <c r="B1821" s="2">
        <v>42036.608</v>
      </c>
      <c r="C1821" s="3" t="s">
        <v>5009</v>
      </c>
      <c r="D1821" t="s">
        <v>5014</v>
      </c>
      <c r="E1821" t="s">
        <v>5018</v>
      </c>
      <c r="F1821" t="s">
        <v>5018</v>
      </c>
      <c r="G1821">
        <v>101</v>
      </c>
      <c r="H1821" s="5">
        <v>3.2941992152732513E-3</v>
      </c>
      <c r="I1821">
        <v>5</v>
      </c>
      <c r="J1821" t="b">
        <f>AND(CCData[[#This Row],[Date]]&gt;=Calculation!$E$3,CCData[[#This Row],[Date]]&lt;Calculation!$E$3+7)</f>
        <v>0</v>
      </c>
    </row>
    <row r="1822" spans="1:10">
      <c r="A1822" t="s">
        <v>1821</v>
      </c>
      <c r="B1822" s="2">
        <v>42036.644999999997</v>
      </c>
      <c r="C1822" s="3" t="s">
        <v>5007</v>
      </c>
      <c r="D1822" t="s">
        <v>5012</v>
      </c>
      <c r="E1822" t="s">
        <v>5018</v>
      </c>
      <c r="F1822" t="s">
        <v>5018</v>
      </c>
      <c r="G1822">
        <v>101</v>
      </c>
      <c r="H1822" s="5">
        <v>3.3619479499006522E-3</v>
      </c>
      <c r="I1822">
        <v>2</v>
      </c>
      <c r="J1822" t="b">
        <f>AND(CCData[[#This Row],[Date]]&gt;=Calculation!$E$3,CCData[[#This Row],[Date]]&lt;Calculation!$E$3+7)</f>
        <v>0</v>
      </c>
    </row>
    <row r="1823" spans="1:10">
      <c r="A1823" t="s">
        <v>1822</v>
      </c>
      <c r="B1823" s="2">
        <v>42036.644999999997</v>
      </c>
      <c r="C1823" s="3" t="s">
        <v>5007</v>
      </c>
      <c r="D1823" t="s">
        <v>5015</v>
      </c>
      <c r="E1823" t="s">
        <v>5018</v>
      </c>
      <c r="F1823" t="s">
        <v>5018</v>
      </c>
      <c r="G1823">
        <v>63</v>
      </c>
      <c r="H1823" s="5">
        <v>4.0558837040594051E-3</v>
      </c>
      <c r="I1823">
        <v>1</v>
      </c>
      <c r="J1823" t="b">
        <f>AND(CCData[[#This Row],[Date]]&gt;=Calculation!$E$3,CCData[[#This Row],[Date]]&lt;Calculation!$E$3+7)</f>
        <v>0</v>
      </c>
    </row>
    <row r="1824" spans="1:10">
      <c r="A1824" t="s">
        <v>1823</v>
      </c>
      <c r="B1824" s="2">
        <v>42036.677000000003</v>
      </c>
      <c r="C1824" s="3" t="s">
        <v>5007</v>
      </c>
      <c r="D1824" t="s">
        <v>5014</v>
      </c>
      <c r="E1824" t="s">
        <v>5018</v>
      </c>
      <c r="F1824" t="s">
        <v>5018</v>
      </c>
      <c r="G1824">
        <v>125</v>
      </c>
      <c r="H1824" s="5">
        <v>2.0270698467948667E-3</v>
      </c>
      <c r="I1824">
        <v>1</v>
      </c>
      <c r="J1824" t="b">
        <f>AND(CCData[[#This Row],[Date]]&gt;=Calculation!$E$3,CCData[[#This Row],[Date]]&lt;Calculation!$E$3+7)</f>
        <v>0</v>
      </c>
    </row>
    <row r="1825" spans="1:10">
      <c r="A1825" t="s">
        <v>1824</v>
      </c>
      <c r="B1825" s="2">
        <v>42036.677000000003</v>
      </c>
      <c r="C1825" s="3" t="s">
        <v>5009</v>
      </c>
      <c r="D1825" t="s">
        <v>5014</v>
      </c>
      <c r="E1825" t="s">
        <v>5018</v>
      </c>
      <c r="F1825" t="s">
        <v>5018</v>
      </c>
      <c r="G1825">
        <v>44</v>
      </c>
      <c r="H1825" s="5">
        <v>4.734953422238989E-4</v>
      </c>
      <c r="I1825">
        <v>5</v>
      </c>
      <c r="J1825" t="b">
        <f>AND(CCData[[#This Row],[Date]]&gt;=Calculation!$E$3,CCData[[#This Row],[Date]]&lt;Calculation!$E$3+7)</f>
        <v>0</v>
      </c>
    </row>
    <row r="1826" spans="1:10">
      <c r="A1826" t="s">
        <v>1825</v>
      </c>
      <c r="B1826" s="2">
        <v>42036.682000000001</v>
      </c>
      <c r="C1826" s="3" t="s">
        <v>5009</v>
      </c>
      <c r="D1826" t="s">
        <v>5016</v>
      </c>
      <c r="E1826" t="s">
        <v>5018</v>
      </c>
      <c r="F1826" t="s">
        <v>5018</v>
      </c>
      <c r="G1826">
        <v>16</v>
      </c>
      <c r="H1826" s="5">
        <v>1.5737973291018339E-3</v>
      </c>
      <c r="I1826">
        <v>5</v>
      </c>
      <c r="J1826" t="b">
        <f>AND(CCData[[#This Row],[Date]]&gt;=Calculation!$E$3,CCData[[#This Row],[Date]]&lt;Calculation!$E$3+7)</f>
        <v>0</v>
      </c>
    </row>
    <row r="1827" spans="1:10">
      <c r="A1827" t="s">
        <v>1826</v>
      </c>
      <c r="B1827" s="2">
        <v>42036.682000000001</v>
      </c>
      <c r="C1827" s="3" t="s">
        <v>5010</v>
      </c>
      <c r="D1827" t="s">
        <v>5013</v>
      </c>
      <c r="E1827" t="s">
        <v>5018</v>
      </c>
      <c r="F1827" t="s">
        <v>5018</v>
      </c>
      <c r="G1827">
        <v>31</v>
      </c>
      <c r="H1827" s="5">
        <v>2.4386364635447669E-3</v>
      </c>
      <c r="I1827">
        <v>4</v>
      </c>
      <c r="J1827" t="b">
        <f>AND(CCData[[#This Row],[Date]]&gt;=Calculation!$E$3,CCData[[#This Row],[Date]]&lt;Calculation!$E$3+7)</f>
        <v>0</v>
      </c>
    </row>
    <row r="1828" spans="1:10">
      <c r="A1828" t="s">
        <v>1827</v>
      </c>
      <c r="B1828" s="2">
        <v>42036.682000000001</v>
      </c>
      <c r="C1828" s="3" t="s">
        <v>5010</v>
      </c>
      <c r="D1828" t="s">
        <v>5015</v>
      </c>
      <c r="E1828" t="s">
        <v>5018</v>
      </c>
      <c r="F1828" t="s">
        <v>5018</v>
      </c>
      <c r="G1828">
        <v>114</v>
      </c>
      <c r="H1828" s="5">
        <v>5.179809447309942E-4</v>
      </c>
      <c r="I1828">
        <v>5</v>
      </c>
      <c r="J1828" t="b">
        <f>AND(CCData[[#This Row],[Date]]&gt;=Calculation!$E$3,CCData[[#This Row],[Date]]&lt;Calculation!$E$3+7)</f>
        <v>0</v>
      </c>
    </row>
    <row r="1829" spans="1:10">
      <c r="A1829" t="s">
        <v>1828</v>
      </c>
      <c r="B1829" s="2">
        <v>42036.682000000001</v>
      </c>
      <c r="C1829" s="3" t="s">
        <v>5006</v>
      </c>
      <c r="D1829" t="s">
        <v>5012</v>
      </c>
      <c r="E1829" t="s">
        <v>5018</v>
      </c>
      <c r="F1829" t="s">
        <v>5018</v>
      </c>
      <c r="G1829">
        <v>10</v>
      </c>
      <c r="H1829" s="5">
        <v>2.3268664922149532E-3</v>
      </c>
      <c r="I1829">
        <v>2</v>
      </c>
      <c r="J1829" t="b">
        <f>AND(CCData[[#This Row],[Date]]&gt;=Calculation!$E$3,CCData[[#This Row],[Date]]&lt;Calculation!$E$3+7)</f>
        <v>0</v>
      </c>
    </row>
    <row r="1830" spans="1:10">
      <c r="A1830" t="s">
        <v>1829</v>
      </c>
      <c r="B1830" s="2">
        <v>42036.699000000001</v>
      </c>
      <c r="C1830" s="3" t="s">
        <v>5006</v>
      </c>
      <c r="D1830" t="s">
        <v>5016</v>
      </c>
      <c r="E1830" t="s">
        <v>5018</v>
      </c>
      <c r="F1830" t="s">
        <v>5018</v>
      </c>
      <c r="G1830">
        <v>105</v>
      </c>
      <c r="H1830" s="5">
        <v>3.1576407885344948E-3</v>
      </c>
      <c r="I1830">
        <v>3</v>
      </c>
      <c r="J1830" t="b">
        <f>AND(CCData[[#This Row],[Date]]&gt;=Calculation!$E$3,CCData[[#This Row],[Date]]&lt;Calculation!$E$3+7)</f>
        <v>0</v>
      </c>
    </row>
    <row r="1831" spans="1:10">
      <c r="A1831" t="s">
        <v>1830</v>
      </c>
      <c r="B1831" s="2">
        <v>42036.699000000001</v>
      </c>
      <c r="C1831" s="3" t="s">
        <v>5006</v>
      </c>
      <c r="D1831" t="s">
        <v>5014</v>
      </c>
      <c r="E1831" t="s">
        <v>5019</v>
      </c>
      <c r="F1831" t="s">
        <v>5019</v>
      </c>
      <c r="G1831" t="s">
        <v>5022</v>
      </c>
      <c r="H1831" s="5" t="s">
        <v>5022</v>
      </c>
      <c r="I1831" t="s">
        <v>5022</v>
      </c>
      <c r="J1831" t="b">
        <f>AND(CCData[[#This Row],[Date]]&gt;=Calculation!$E$3,CCData[[#This Row],[Date]]&lt;Calculation!$E$3+7)</f>
        <v>0</v>
      </c>
    </row>
    <row r="1832" spans="1:10">
      <c r="A1832" t="s">
        <v>1831</v>
      </c>
      <c r="B1832" s="2">
        <v>42036.716999999997</v>
      </c>
      <c r="C1832" s="3" t="s">
        <v>5010</v>
      </c>
      <c r="D1832" t="s">
        <v>5015</v>
      </c>
      <c r="E1832" t="s">
        <v>5018</v>
      </c>
      <c r="F1832" t="s">
        <v>5018</v>
      </c>
      <c r="G1832">
        <v>120</v>
      </c>
      <c r="H1832" s="5">
        <v>1.6414350956457031E-3</v>
      </c>
      <c r="I1832">
        <v>4</v>
      </c>
      <c r="J1832" t="b">
        <f>AND(CCData[[#This Row],[Date]]&gt;=Calculation!$E$3,CCData[[#This Row],[Date]]&lt;Calculation!$E$3+7)</f>
        <v>0</v>
      </c>
    </row>
    <row r="1833" spans="1:10">
      <c r="A1833" t="s">
        <v>1832</v>
      </c>
      <c r="B1833" s="2">
        <v>42036.716999999997</v>
      </c>
      <c r="C1833" s="3" t="s">
        <v>5008</v>
      </c>
      <c r="D1833" t="s">
        <v>5014</v>
      </c>
      <c r="E1833" t="s">
        <v>5019</v>
      </c>
      <c r="F1833" t="s">
        <v>5019</v>
      </c>
      <c r="G1833" t="s">
        <v>5022</v>
      </c>
      <c r="H1833" s="5" t="s">
        <v>5022</v>
      </c>
      <c r="I1833" t="s">
        <v>5022</v>
      </c>
      <c r="J1833" t="b">
        <f>AND(CCData[[#This Row],[Date]]&gt;=Calculation!$E$3,CCData[[#This Row],[Date]]&lt;Calculation!$E$3+7)</f>
        <v>0</v>
      </c>
    </row>
    <row r="1834" spans="1:10">
      <c r="A1834" t="s">
        <v>1833</v>
      </c>
      <c r="B1834" s="2">
        <v>42036.724999999999</v>
      </c>
      <c r="C1834" s="3" t="s">
        <v>5005</v>
      </c>
      <c r="D1834" t="s">
        <v>5013</v>
      </c>
      <c r="E1834" t="s">
        <v>5019</v>
      </c>
      <c r="F1834" t="s">
        <v>5019</v>
      </c>
      <c r="G1834" t="s">
        <v>5022</v>
      </c>
      <c r="H1834" s="5" t="s">
        <v>5022</v>
      </c>
      <c r="I1834" t="s">
        <v>5022</v>
      </c>
      <c r="J1834" t="b">
        <f>AND(CCData[[#This Row],[Date]]&gt;=Calculation!$E$3,CCData[[#This Row],[Date]]&lt;Calculation!$E$3+7)</f>
        <v>0</v>
      </c>
    </row>
    <row r="1835" spans="1:10">
      <c r="A1835" t="s">
        <v>1834</v>
      </c>
      <c r="B1835" s="2">
        <v>42036.724999999999</v>
      </c>
      <c r="C1835" s="3" t="s">
        <v>5006</v>
      </c>
      <c r="D1835" t="s">
        <v>5014</v>
      </c>
      <c r="E1835" t="s">
        <v>5019</v>
      </c>
      <c r="F1835" t="s">
        <v>5019</v>
      </c>
      <c r="G1835" t="s">
        <v>5022</v>
      </c>
      <c r="H1835" s="5" t="s">
        <v>5022</v>
      </c>
      <c r="I1835" t="s">
        <v>5022</v>
      </c>
      <c r="J1835" t="b">
        <f>AND(CCData[[#This Row],[Date]]&gt;=Calculation!$E$3,CCData[[#This Row],[Date]]&lt;Calculation!$E$3+7)</f>
        <v>0</v>
      </c>
    </row>
    <row r="1836" spans="1:10">
      <c r="A1836" t="s">
        <v>1835</v>
      </c>
      <c r="B1836" s="2">
        <v>42036.732000000004</v>
      </c>
      <c r="C1836" s="3" t="s">
        <v>5007</v>
      </c>
      <c r="D1836" t="s">
        <v>5013</v>
      </c>
      <c r="E1836" t="s">
        <v>5018</v>
      </c>
      <c r="F1836" t="s">
        <v>5018</v>
      </c>
      <c r="G1836">
        <v>51</v>
      </c>
      <c r="H1836" s="5">
        <v>3.1214346187031002E-3</v>
      </c>
      <c r="I1836">
        <v>5</v>
      </c>
      <c r="J1836" t="b">
        <f>AND(CCData[[#This Row],[Date]]&gt;=Calculation!$E$3,CCData[[#This Row],[Date]]&lt;Calculation!$E$3+7)</f>
        <v>0</v>
      </c>
    </row>
    <row r="1837" spans="1:10">
      <c r="A1837" t="s">
        <v>1836</v>
      </c>
      <c r="B1837" s="2">
        <v>42036.732000000004</v>
      </c>
      <c r="C1837" s="3" t="s">
        <v>5005</v>
      </c>
      <c r="D1837" t="s">
        <v>5013</v>
      </c>
      <c r="E1837" t="s">
        <v>5018</v>
      </c>
      <c r="F1837" t="s">
        <v>5018</v>
      </c>
      <c r="G1837">
        <v>124</v>
      </c>
      <c r="H1837" s="5">
        <v>4.3850691061539885E-3</v>
      </c>
      <c r="I1837">
        <v>3</v>
      </c>
      <c r="J1837" t="b">
        <f>AND(CCData[[#This Row],[Date]]&gt;=Calculation!$E$3,CCData[[#This Row],[Date]]&lt;Calculation!$E$3+7)</f>
        <v>0</v>
      </c>
    </row>
    <row r="1838" spans="1:10">
      <c r="A1838" t="s">
        <v>1837</v>
      </c>
      <c r="B1838" s="2">
        <v>42036.735000000001</v>
      </c>
      <c r="C1838" s="3" t="s">
        <v>5010</v>
      </c>
      <c r="D1838" t="s">
        <v>5014</v>
      </c>
      <c r="E1838" t="s">
        <v>5018</v>
      </c>
      <c r="F1838" t="s">
        <v>5019</v>
      </c>
      <c r="G1838">
        <v>22</v>
      </c>
      <c r="H1838" s="5">
        <v>1.2560143891033279E-3</v>
      </c>
      <c r="I1838">
        <v>4</v>
      </c>
      <c r="J1838" t="b">
        <f>AND(CCData[[#This Row],[Date]]&gt;=Calculation!$E$3,CCData[[#This Row],[Date]]&lt;Calculation!$E$3+7)</f>
        <v>0</v>
      </c>
    </row>
    <row r="1839" spans="1:10">
      <c r="A1839" t="s">
        <v>1838</v>
      </c>
      <c r="B1839" s="2">
        <v>42036.735000000001</v>
      </c>
      <c r="C1839" s="3" t="s">
        <v>5009</v>
      </c>
      <c r="D1839" t="s">
        <v>5014</v>
      </c>
      <c r="E1839" t="s">
        <v>5018</v>
      </c>
      <c r="F1839" t="s">
        <v>5019</v>
      </c>
      <c r="G1839">
        <v>29</v>
      </c>
      <c r="H1839" s="5">
        <v>3.0118723530557228E-3</v>
      </c>
      <c r="I1839">
        <v>3</v>
      </c>
      <c r="J1839" t="b">
        <f>AND(CCData[[#This Row],[Date]]&gt;=Calculation!$E$3,CCData[[#This Row],[Date]]&lt;Calculation!$E$3+7)</f>
        <v>0</v>
      </c>
    </row>
    <row r="1840" spans="1:10">
      <c r="A1840" t="s">
        <v>1839</v>
      </c>
      <c r="B1840" s="2">
        <v>42036.735999999997</v>
      </c>
      <c r="C1840" s="3" t="s">
        <v>5004</v>
      </c>
      <c r="D1840" t="s">
        <v>5013</v>
      </c>
      <c r="E1840" t="s">
        <v>5018</v>
      </c>
      <c r="F1840" t="s">
        <v>5018</v>
      </c>
      <c r="G1840">
        <v>125</v>
      </c>
      <c r="H1840" s="5">
        <v>1.6643062736599278E-3</v>
      </c>
      <c r="I1840">
        <v>4</v>
      </c>
      <c r="J1840" t="b">
        <f>AND(CCData[[#This Row],[Date]]&gt;=Calculation!$E$3,CCData[[#This Row],[Date]]&lt;Calculation!$E$3+7)</f>
        <v>0</v>
      </c>
    </row>
    <row r="1841" spans="1:10">
      <c r="A1841" t="s">
        <v>1840</v>
      </c>
      <c r="B1841" s="2">
        <v>42036.735999999997</v>
      </c>
      <c r="C1841" s="3" t="s">
        <v>5007</v>
      </c>
      <c r="D1841" t="s">
        <v>5012</v>
      </c>
      <c r="E1841" t="s">
        <v>5018</v>
      </c>
      <c r="F1841" t="s">
        <v>5018</v>
      </c>
      <c r="G1841">
        <v>54</v>
      </c>
      <c r="H1841" s="5">
        <v>3.5709329784139364E-3</v>
      </c>
      <c r="I1841">
        <v>4</v>
      </c>
      <c r="J1841" t="b">
        <f>AND(CCData[[#This Row],[Date]]&gt;=Calculation!$E$3,CCData[[#This Row],[Date]]&lt;Calculation!$E$3+7)</f>
        <v>0</v>
      </c>
    </row>
    <row r="1842" spans="1:10">
      <c r="A1842" t="s">
        <v>1841</v>
      </c>
      <c r="B1842" s="2">
        <v>42036.741999999998</v>
      </c>
      <c r="C1842" s="3" t="s">
        <v>5009</v>
      </c>
      <c r="D1842" t="s">
        <v>5013</v>
      </c>
      <c r="E1842" t="s">
        <v>5018</v>
      </c>
      <c r="F1842" t="s">
        <v>5018</v>
      </c>
      <c r="G1842">
        <v>45</v>
      </c>
      <c r="H1842" s="5">
        <v>4.2598804944518863E-3</v>
      </c>
      <c r="I1842">
        <v>3</v>
      </c>
      <c r="J1842" t="b">
        <f>AND(CCData[[#This Row],[Date]]&gt;=Calculation!$E$3,CCData[[#This Row],[Date]]&lt;Calculation!$E$3+7)</f>
        <v>0</v>
      </c>
    </row>
    <row r="1843" spans="1:10">
      <c r="A1843" t="s">
        <v>1842</v>
      </c>
      <c r="B1843" s="2">
        <v>42036.741999999998</v>
      </c>
      <c r="C1843" s="3" t="s">
        <v>5003</v>
      </c>
      <c r="D1843" t="s">
        <v>5015</v>
      </c>
      <c r="E1843" t="s">
        <v>5018</v>
      </c>
      <c r="F1843" t="s">
        <v>5018</v>
      </c>
      <c r="G1843">
        <v>101</v>
      </c>
      <c r="H1843" s="5">
        <v>1.3350689784429968E-3</v>
      </c>
      <c r="I1843">
        <v>5</v>
      </c>
      <c r="J1843" t="b">
        <f>AND(CCData[[#This Row],[Date]]&gt;=Calculation!$E$3,CCData[[#This Row],[Date]]&lt;Calculation!$E$3+7)</f>
        <v>0</v>
      </c>
    </row>
    <row r="1844" spans="1:10">
      <c r="A1844" t="s">
        <v>1843</v>
      </c>
      <c r="B1844" s="2">
        <v>42036.748</v>
      </c>
      <c r="C1844" s="3" t="s">
        <v>5003</v>
      </c>
      <c r="D1844" t="s">
        <v>5012</v>
      </c>
      <c r="E1844" t="s">
        <v>5018</v>
      </c>
      <c r="F1844" t="s">
        <v>5018</v>
      </c>
      <c r="G1844">
        <v>80</v>
      </c>
      <c r="H1844" s="5">
        <v>2.6971477816166945E-3</v>
      </c>
      <c r="I1844">
        <v>3</v>
      </c>
      <c r="J1844" t="b">
        <f>AND(CCData[[#This Row],[Date]]&gt;=Calculation!$E$3,CCData[[#This Row],[Date]]&lt;Calculation!$E$3+7)</f>
        <v>0</v>
      </c>
    </row>
    <row r="1845" spans="1:10">
      <c r="A1845" t="s">
        <v>1844</v>
      </c>
      <c r="B1845" s="2">
        <v>42036.748</v>
      </c>
      <c r="C1845" s="3" t="s">
        <v>5003</v>
      </c>
      <c r="D1845" t="s">
        <v>5016</v>
      </c>
      <c r="E1845" t="s">
        <v>5019</v>
      </c>
      <c r="F1845" t="s">
        <v>5019</v>
      </c>
      <c r="G1845" t="s">
        <v>5022</v>
      </c>
      <c r="H1845" s="5" t="s">
        <v>5022</v>
      </c>
      <c r="I1845" t="s">
        <v>5022</v>
      </c>
      <c r="J1845" t="b">
        <f>AND(CCData[[#This Row],[Date]]&gt;=Calculation!$E$3,CCData[[#This Row],[Date]]&lt;Calculation!$E$3+7)</f>
        <v>0</v>
      </c>
    </row>
    <row r="1846" spans="1:10">
      <c r="A1846" t="s">
        <v>1845</v>
      </c>
      <c r="B1846" s="2">
        <v>42037.389000000003</v>
      </c>
      <c r="C1846" s="3" t="s">
        <v>5008</v>
      </c>
      <c r="D1846" t="s">
        <v>5014</v>
      </c>
      <c r="E1846" t="s">
        <v>5018</v>
      </c>
      <c r="F1846" t="s">
        <v>5018</v>
      </c>
      <c r="G1846">
        <v>118</v>
      </c>
      <c r="H1846" s="5">
        <v>2.7425620353820988E-3</v>
      </c>
      <c r="I1846">
        <v>5</v>
      </c>
      <c r="J1846" t="b">
        <f>AND(CCData[[#This Row],[Date]]&gt;=Calculation!$E$3,CCData[[#This Row],[Date]]&lt;Calculation!$E$3+7)</f>
        <v>0</v>
      </c>
    </row>
    <row r="1847" spans="1:10">
      <c r="A1847" t="s">
        <v>1846</v>
      </c>
      <c r="B1847" s="2">
        <v>42037.389000000003</v>
      </c>
      <c r="C1847" s="3" t="s">
        <v>5006</v>
      </c>
      <c r="D1847" t="s">
        <v>5016</v>
      </c>
      <c r="E1847" t="s">
        <v>5018</v>
      </c>
      <c r="F1847" t="s">
        <v>5018</v>
      </c>
      <c r="G1847">
        <v>13</v>
      </c>
      <c r="H1847" s="5">
        <v>4.3026767579312664E-3</v>
      </c>
      <c r="I1847">
        <v>5</v>
      </c>
      <c r="J1847" t="b">
        <f>AND(CCData[[#This Row],[Date]]&gt;=Calculation!$E$3,CCData[[#This Row],[Date]]&lt;Calculation!$E$3+7)</f>
        <v>0</v>
      </c>
    </row>
    <row r="1848" spans="1:10">
      <c r="A1848" t="s">
        <v>1847</v>
      </c>
      <c r="B1848" s="2">
        <v>42037.406000000003</v>
      </c>
      <c r="C1848" s="3" t="s">
        <v>5010</v>
      </c>
      <c r="D1848" t="s">
        <v>5016</v>
      </c>
      <c r="E1848" t="s">
        <v>5018</v>
      </c>
      <c r="F1848" t="s">
        <v>5018</v>
      </c>
      <c r="G1848">
        <v>64</v>
      </c>
      <c r="H1848" s="5">
        <v>1.016341548413346E-3</v>
      </c>
      <c r="I1848">
        <v>5</v>
      </c>
      <c r="J1848" t="b">
        <f>AND(CCData[[#This Row],[Date]]&gt;=Calculation!$E$3,CCData[[#This Row],[Date]]&lt;Calculation!$E$3+7)</f>
        <v>0</v>
      </c>
    </row>
    <row r="1849" spans="1:10">
      <c r="A1849" t="s">
        <v>1848</v>
      </c>
      <c r="B1849" s="2">
        <v>42037.406000000003</v>
      </c>
      <c r="C1849" s="3" t="s">
        <v>5007</v>
      </c>
      <c r="D1849" t="s">
        <v>5012</v>
      </c>
      <c r="E1849" t="s">
        <v>5018</v>
      </c>
      <c r="F1849" t="s">
        <v>5018</v>
      </c>
      <c r="G1849">
        <v>39</v>
      </c>
      <c r="H1849" s="5">
        <v>4.8491419142184548E-3</v>
      </c>
      <c r="I1849">
        <v>4</v>
      </c>
      <c r="J1849" t="b">
        <f>AND(CCData[[#This Row],[Date]]&gt;=Calculation!$E$3,CCData[[#This Row],[Date]]&lt;Calculation!$E$3+7)</f>
        <v>0</v>
      </c>
    </row>
    <row r="1850" spans="1:10">
      <c r="A1850" t="s">
        <v>1849</v>
      </c>
      <c r="B1850" s="2">
        <v>42037.413</v>
      </c>
      <c r="C1850" s="3" t="s">
        <v>5008</v>
      </c>
      <c r="D1850" t="s">
        <v>5015</v>
      </c>
      <c r="E1850" t="s">
        <v>5019</v>
      </c>
      <c r="F1850" t="s">
        <v>5019</v>
      </c>
      <c r="G1850" t="s">
        <v>5022</v>
      </c>
      <c r="H1850" s="5" t="s">
        <v>5022</v>
      </c>
      <c r="I1850" t="s">
        <v>5022</v>
      </c>
      <c r="J1850" t="b">
        <f>AND(CCData[[#This Row],[Date]]&gt;=Calculation!$E$3,CCData[[#This Row],[Date]]&lt;Calculation!$E$3+7)</f>
        <v>0</v>
      </c>
    </row>
    <row r="1851" spans="1:10">
      <c r="A1851" t="s">
        <v>1850</v>
      </c>
      <c r="B1851" s="2">
        <v>42037.413</v>
      </c>
      <c r="C1851" s="3" t="s">
        <v>5005</v>
      </c>
      <c r="D1851" t="s">
        <v>5012</v>
      </c>
      <c r="E1851" t="s">
        <v>5019</v>
      </c>
      <c r="F1851" t="s">
        <v>5019</v>
      </c>
      <c r="G1851" t="s">
        <v>5022</v>
      </c>
      <c r="H1851" s="5" t="s">
        <v>5022</v>
      </c>
      <c r="I1851" t="s">
        <v>5022</v>
      </c>
      <c r="J1851" t="b">
        <f>AND(CCData[[#This Row],[Date]]&gt;=Calculation!$E$3,CCData[[#This Row],[Date]]&lt;Calculation!$E$3+7)</f>
        <v>0</v>
      </c>
    </row>
    <row r="1852" spans="1:10">
      <c r="A1852" t="s">
        <v>1851</v>
      </c>
      <c r="B1852" s="2">
        <v>42037.415000000001</v>
      </c>
      <c r="C1852" s="3" t="s">
        <v>5009</v>
      </c>
      <c r="D1852" t="s">
        <v>5016</v>
      </c>
      <c r="E1852" t="s">
        <v>5019</v>
      </c>
      <c r="F1852" t="s">
        <v>5019</v>
      </c>
      <c r="G1852" t="s">
        <v>5022</v>
      </c>
      <c r="H1852" s="5" t="s">
        <v>5022</v>
      </c>
      <c r="I1852" t="s">
        <v>5022</v>
      </c>
      <c r="J1852" t="b">
        <f>AND(CCData[[#This Row],[Date]]&gt;=Calculation!$E$3,CCData[[#This Row],[Date]]&lt;Calculation!$E$3+7)</f>
        <v>0</v>
      </c>
    </row>
    <row r="1853" spans="1:10">
      <c r="A1853" t="s">
        <v>1852</v>
      </c>
      <c r="B1853" s="2">
        <v>42037.415000000001</v>
      </c>
      <c r="C1853" s="3" t="s">
        <v>5005</v>
      </c>
      <c r="D1853" t="s">
        <v>5016</v>
      </c>
      <c r="E1853" t="s">
        <v>5018</v>
      </c>
      <c r="F1853" t="s">
        <v>5018</v>
      </c>
      <c r="G1853">
        <v>35</v>
      </c>
      <c r="H1853" s="5">
        <v>7.3019378029737247E-4</v>
      </c>
      <c r="I1853">
        <v>4</v>
      </c>
      <c r="J1853" t="b">
        <f>AND(CCData[[#This Row],[Date]]&gt;=Calculation!$E$3,CCData[[#This Row],[Date]]&lt;Calculation!$E$3+7)</f>
        <v>0</v>
      </c>
    </row>
    <row r="1854" spans="1:10">
      <c r="A1854" t="s">
        <v>1853</v>
      </c>
      <c r="B1854" s="2">
        <v>42037.440999999999</v>
      </c>
      <c r="C1854" s="3" t="s">
        <v>5008</v>
      </c>
      <c r="D1854" t="s">
        <v>5012</v>
      </c>
      <c r="E1854" t="s">
        <v>5018</v>
      </c>
      <c r="F1854" t="s">
        <v>5019</v>
      </c>
      <c r="G1854">
        <v>105</v>
      </c>
      <c r="H1854" s="5">
        <v>3.5678873110940837E-3</v>
      </c>
      <c r="I1854">
        <v>4</v>
      </c>
      <c r="J1854" t="b">
        <f>AND(CCData[[#This Row],[Date]]&gt;=Calculation!$E$3,CCData[[#This Row],[Date]]&lt;Calculation!$E$3+7)</f>
        <v>0</v>
      </c>
    </row>
    <row r="1855" spans="1:10">
      <c r="A1855" t="s">
        <v>1854</v>
      </c>
      <c r="B1855" s="2">
        <v>42037.440999999999</v>
      </c>
      <c r="C1855" s="3" t="s">
        <v>5005</v>
      </c>
      <c r="D1855" t="s">
        <v>5015</v>
      </c>
      <c r="E1855" t="s">
        <v>5018</v>
      </c>
      <c r="F1855" t="s">
        <v>5018</v>
      </c>
      <c r="G1855">
        <v>60</v>
      </c>
      <c r="H1855" s="5">
        <v>1.0824036894715064E-3</v>
      </c>
      <c r="I1855">
        <v>2</v>
      </c>
      <c r="J1855" t="b">
        <f>AND(CCData[[#This Row],[Date]]&gt;=Calculation!$E$3,CCData[[#This Row],[Date]]&lt;Calculation!$E$3+7)</f>
        <v>0</v>
      </c>
    </row>
    <row r="1856" spans="1:10">
      <c r="A1856" t="s">
        <v>1855</v>
      </c>
      <c r="B1856" s="2">
        <v>42037.462</v>
      </c>
      <c r="C1856" s="3" t="s">
        <v>5005</v>
      </c>
      <c r="D1856" t="s">
        <v>5012</v>
      </c>
      <c r="E1856" t="s">
        <v>5018</v>
      </c>
      <c r="F1856" t="s">
        <v>5018</v>
      </c>
      <c r="G1856">
        <v>13</v>
      </c>
      <c r="H1856" s="5">
        <v>1.3183660405629342E-3</v>
      </c>
      <c r="I1856">
        <v>1</v>
      </c>
      <c r="J1856" t="b">
        <f>AND(CCData[[#This Row],[Date]]&gt;=Calculation!$E$3,CCData[[#This Row],[Date]]&lt;Calculation!$E$3+7)</f>
        <v>0</v>
      </c>
    </row>
    <row r="1857" spans="1:10">
      <c r="A1857" t="s">
        <v>1856</v>
      </c>
      <c r="B1857" s="2">
        <v>42037.462</v>
      </c>
      <c r="C1857" s="3" t="s">
        <v>5004</v>
      </c>
      <c r="D1857" t="s">
        <v>5013</v>
      </c>
      <c r="E1857" t="s">
        <v>5018</v>
      </c>
      <c r="F1857" t="s">
        <v>5018</v>
      </c>
      <c r="G1857">
        <v>25</v>
      </c>
      <c r="H1857" s="5">
        <v>3.4493006789531912E-3</v>
      </c>
      <c r="I1857">
        <v>5</v>
      </c>
      <c r="J1857" t="b">
        <f>AND(CCData[[#This Row],[Date]]&gt;=Calculation!$E$3,CCData[[#This Row],[Date]]&lt;Calculation!$E$3+7)</f>
        <v>0</v>
      </c>
    </row>
    <row r="1858" spans="1:10">
      <c r="A1858" t="s">
        <v>1857</v>
      </c>
      <c r="B1858" s="2">
        <v>42037.470999999998</v>
      </c>
      <c r="C1858" s="3" t="s">
        <v>5004</v>
      </c>
      <c r="D1858" t="s">
        <v>5016</v>
      </c>
      <c r="E1858" t="s">
        <v>5018</v>
      </c>
      <c r="F1858" t="s">
        <v>5018</v>
      </c>
      <c r="G1858">
        <v>102</v>
      </c>
      <c r="H1858" s="5">
        <v>4.5974080387876284E-3</v>
      </c>
      <c r="I1858">
        <v>4</v>
      </c>
      <c r="J1858" t="b">
        <f>AND(CCData[[#This Row],[Date]]&gt;=Calculation!$E$3,CCData[[#This Row],[Date]]&lt;Calculation!$E$3+7)</f>
        <v>0</v>
      </c>
    </row>
    <row r="1859" spans="1:10">
      <c r="A1859" t="s">
        <v>1858</v>
      </c>
      <c r="B1859" s="2">
        <v>42037.470999999998</v>
      </c>
      <c r="C1859" s="3" t="s">
        <v>5007</v>
      </c>
      <c r="D1859" t="s">
        <v>5012</v>
      </c>
      <c r="E1859" t="s">
        <v>5018</v>
      </c>
      <c r="F1859" t="s">
        <v>5018</v>
      </c>
      <c r="G1859">
        <v>88</v>
      </c>
      <c r="H1859" s="5">
        <v>4.2936224511753917E-3</v>
      </c>
      <c r="I1859">
        <v>3</v>
      </c>
      <c r="J1859" t="b">
        <f>AND(CCData[[#This Row],[Date]]&gt;=Calculation!$E$3,CCData[[#This Row],[Date]]&lt;Calculation!$E$3+7)</f>
        <v>0</v>
      </c>
    </row>
    <row r="1860" spans="1:10">
      <c r="A1860" t="s">
        <v>1859</v>
      </c>
      <c r="B1860" s="2">
        <v>42037.546000000002</v>
      </c>
      <c r="C1860" s="3" t="s">
        <v>5004</v>
      </c>
      <c r="D1860" t="s">
        <v>5016</v>
      </c>
      <c r="E1860" t="s">
        <v>5018</v>
      </c>
      <c r="F1860" t="s">
        <v>5018</v>
      </c>
      <c r="G1860">
        <v>40</v>
      </c>
      <c r="H1860" s="5">
        <v>1.1831517678034527E-3</v>
      </c>
      <c r="I1860">
        <v>5</v>
      </c>
      <c r="J1860" t="b">
        <f>AND(CCData[[#This Row],[Date]]&gt;=Calculation!$E$3,CCData[[#This Row],[Date]]&lt;Calculation!$E$3+7)</f>
        <v>0</v>
      </c>
    </row>
    <row r="1861" spans="1:10">
      <c r="A1861" t="s">
        <v>1860</v>
      </c>
      <c r="B1861" s="2">
        <v>42037.546000000002</v>
      </c>
      <c r="C1861" s="3" t="s">
        <v>5008</v>
      </c>
      <c r="D1861" t="s">
        <v>5012</v>
      </c>
      <c r="E1861" t="s">
        <v>5019</v>
      </c>
      <c r="F1861" t="s">
        <v>5019</v>
      </c>
      <c r="G1861" t="s">
        <v>5022</v>
      </c>
      <c r="H1861" s="5" t="s">
        <v>5022</v>
      </c>
      <c r="I1861" t="s">
        <v>5022</v>
      </c>
      <c r="J1861" t="b">
        <f>AND(CCData[[#This Row],[Date]]&gt;=Calculation!$E$3,CCData[[#This Row],[Date]]&lt;Calculation!$E$3+7)</f>
        <v>0</v>
      </c>
    </row>
    <row r="1862" spans="1:10">
      <c r="A1862" t="s">
        <v>1861</v>
      </c>
      <c r="B1862" s="2">
        <v>42037.557999999997</v>
      </c>
      <c r="C1862" s="3" t="s">
        <v>5010</v>
      </c>
      <c r="D1862" t="s">
        <v>5016</v>
      </c>
      <c r="E1862" t="s">
        <v>5018</v>
      </c>
      <c r="F1862" t="s">
        <v>5018</v>
      </c>
      <c r="G1862">
        <v>75</v>
      </c>
      <c r="H1862" s="5">
        <v>2.0869975564090817E-3</v>
      </c>
      <c r="I1862">
        <v>5</v>
      </c>
      <c r="J1862" t="b">
        <f>AND(CCData[[#This Row],[Date]]&gt;=Calculation!$E$3,CCData[[#This Row],[Date]]&lt;Calculation!$E$3+7)</f>
        <v>0</v>
      </c>
    </row>
    <row r="1863" spans="1:10">
      <c r="A1863" t="s">
        <v>1862</v>
      </c>
      <c r="B1863" s="2">
        <v>42037.557999999997</v>
      </c>
      <c r="C1863" s="3" t="s">
        <v>5005</v>
      </c>
      <c r="D1863" t="s">
        <v>5014</v>
      </c>
      <c r="E1863" t="s">
        <v>5018</v>
      </c>
      <c r="F1863" t="s">
        <v>5019</v>
      </c>
      <c r="G1863">
        <v>35</v>
      </c>
      <c r="H1863" s="5">
        <v>2.2605358969553743E-3</v>
      </c>
      <c r="I1863">
        <v>4</v>
      </c>
      <c r="J1863" t="b">
        <f>AND(CCData[[#This Row],[Date]]&gt;=Calculation!$E$3,CCData[[#This Row],[Date]]&lt;Calculation!$E$3+7)</f>
        <v>0</v>
      </c>
    </row>
    <row r="1864" spans="1:10">
      <c r="A1864" t="s">
        <v>1863</v>
      </c>
      <c r="B1864" s="2">
        <v>42037.574000000001</v>
      </c>
      <c r="C1864" s="3" t="s">
        <v>5006</v>
      </c>
      <c r="D1864" t="s">
        <v>5014</v>
      </c>
      <c r="E1864" t="s">
        <v>5019</v>
      </c>
      <c r="F1864" t="s">
        <v>5019</v>
      </c>
      <c r="G1864" t="s">
        <v>5022</v>
      </c>
      <c r="H1864" s="5" t="s">
        <v>5022</v>
      </c>
      <c r="I1864" t="s">
        <v>5022</v>
      </c>
      <c r="J1864" t="b">
        <f>AND(CCData[[#This Row],[Date]]&gt;=Calculation!$E$3,CCData[[#This Row],[Date]]&lt;Calculation!$E$3+7)</f>
        <v>0</v>
      </c>
    </row>
    <row r="1865" spans="1:10">
      <c r="A1865" t="s">
        <v>1864</v>
      </c>
      <c r="B1865" s="2">
        <v>42037.574000000001</v>
      </c>
      <c r="C1865" s="3" t="s">
        <v>5006</v>
      </c>
      <c r="D1865" t="s">
        <v>5014</v>
      </c>
      <c r="E1865" t="s">
        <v>5018</v>
      </c>
      <c r="F1865" t="s">
        <v>5018</v>
      </c>
      <c r="G1865">
        <v>21</v>
      </c>
      <c r="H1865" s="5">
        <v>1.8937786716021895E-3</v>
      </c>
      <c r="I1865">
        <v>2</v>
      </c>
      <c r="J1865" t="b">
        <f>AND(CCData[[#This Row],[Date]]&gt;=Calculation!$E$3,CCData[[#This Row],[Date]]&lt;Calculation!$E$3+7)</f>
        <v>0</v>
      </c>
    </row>
    <row r="1866" spans="1:10">
      <c r="A1866" t="s">
        <v>1865</v>
      </c>
      <c r="B1866" s="2">
        <v>42037.574000000001</v>
      </c>
      <c r="C1866" s="3" t="s">
        <v>5003</v>
      </c>
      <c r="D1866" t="s">
        <v>5016</v>
      </c>
      <c r="E1866" t="s">
        <v>5019</v>
      </c>
      <c r="F1866" t="s">
        <v>5019</v>
      </c>
      <c r="G1866" t="s">
        <v>5022</v>
      </c>
      <c r="H1866" s="5" t="s">
        <v>5022</v>
      </c>
      <c r="I1866" t="s">
        <v>5022</v>
      </c>
      <c r="J1866" t="b">
        <f>AND(CCData[[#This Row],[Date]]&gt;=Calculation!$E$3,CCData[[#This Row],[Date]]&lt;Calculation!$E$3+7)</f>
        <v>0</v>
      </c>
    </row>
    <row r="1867" spans="1:10">
      <c r="A1867" t="s">
        <v>1866</v>
      </c>
      <c r="B1867" s="2">
        <v>42037.574000000001</v>
      </c>
      <c r="C1867" s="3" t="s">
        <v>5006</v>
      </c>
      <c r="D1867" t="s">
        <v>5015</v>
      </c>
      <c r="E1867" t="s">
        <v>5018</v>
      </c>
      <c r="F1867" t="s">
        <v>5018</v>
      </c>
      <c r="G1867">
        <v>49</v>
      </c>
      <c r="H1867" s="5">
        <v>2.963084199962144E-3</v>
      </c>
      <c r="I1867">
        <v>3</v>
      </c>
      <c r="J1867" t="b">
        <f>AND(CCData[[#This Row],[Date]]&gt;=Calculation!$E$3,CCData[[#This Row],[Date]]&lt;Calculation!$E$3+7)</f>
        <v>0</v>
      </c>
    </row>
    <row r="1868" spans="1:10">
      <c r="A1868" t="s">
        <v>1867</v>
      </c>
      <c r="B1868" s="2">
        <v>42037.584000000003</v>
      </c>
      <c r="C1868" s="3" t="s">
        <v>5008</v>
      </c>
      <c r="D1868" t="s">
        <v>5015</v>
      </c>
      <c r="E1868" t="s">
        <v>5018</v>
      </c>
      <c r="F1868" t="s">
        <v>5018</v>
      </c>
      <c r="G1868">
        <v>81</v>
      </c>
      <c r="H1868" s="5">
        <v>4.1268960615683638E-3</v>
      </c>
      <c r="I1868">
        <v>4</v>
      </c>
      <c r="J1868" t="b">
        <f>AND(CCData[[#This Row],[Date]]&gt;=Calculation!$E$3,CCData[[#This Row],[Date]]&lt;Calculation!$E$3+7)</f>
        <v>0</v>
      </c>
    </row>
    <row r="1869" spans="1:10">
      <c r="A1869" t="s">
        <v>1868</v>
      </c>
      <c r="B1869" s="2">
        <v>42037.584000000003</v>
      </c>
      <c r="C1869" s="3" t="s">
        <v>5004</v>
      </c>
      <c r="D1869" t="s">
        <v>5012</v>
      </c>
      <c r="E1869" t="s">
        <v>5018</v>
      </c>
      <c r="F1869" t="s">
        <v>5018</v>
      </c>
      <c r="G1869">
        <v>48</v>
      </c>
      <c r="H1869" s="5">
        <v>9.0838246699968383E-4</v>
      </c>
      <c r="I1869">
        <v>4</v>
      </c>
      <c r="J1869" t="b">
        <f>AND(CCData[[#This Row],[Date]]&gt;=Calculation!$E$3,CCData[[#This Row],[Date]]&lt;Calculation!$E$3+7)</f>
        <v>0</v>
      </c>
    </row>
    <row r="1870" spans="1:10">
      <c r="A1870" t="s">
        <v>1869</v>
      </c>
      <c r="B1870" s="2">
        <v>42037.646000000001</v>
      </c>
      <c r="C1870" s="3" t="s">
        <v>5006</v>
      </c>
      <c r="D1870" t="s">
        <v>5016</v>
      </c>
      <c r="E1870" t="s">
        <v>5018</v>
      </c>
      <c r="F1870" t="s">
        <v>5018</v>
      </c>
      <c r="G1870">
        <v>103</v>
      </c>
      <c r="H1870" s="5">
        <v>2.9154212607266968E-3</v>
      </c>
      <c r="I1870">
        <v>5</v>
      </c>
      <c r="J1870" t="b">
        <f>AND(CCData[[#This Row],[Date]]&gt;=Calculation!$E$3,CCData[[#This Row],[Date]]&lt;Calculation!$E$3+7)</f>
        <v>0</v>
      </c>
    </row>
    <row r="1871" spans="1:10">
      <c r="A1871" t="s">
        <v>1870</v>
      </c>
      <c r="B1871" s="2">
        <v>42037.646000000001</v>
      </c>
      <c r="C1871" s="3" t="s">
        <v>5005</v>
      </c>
      <c r="D1871" t="s">
        <v>5014</v>
      </c>
      <c r="E1871" t="s">
        <v>5018</v>
      </c>
      <c r="F1871" t="s">
        <v>5018</v>
      </c>
      <c r="G1871">
        <v>63</v>
      </c>
      <c r="H1871" s="5">
        <v>4.4592190608701236E-3</v>
      </c>
      <c r="I1871">
        <v>4</v>
      </c>
      <c r="J1871" t="b">
        <f>AND(CCData[[#This Row],[Date]]&gt;=Calculation!$E$3,CCData[[#This Row],[Date]]&lt;Calculation!$E$3+7)</f>
        <v>0</v>
      </c>
    </row>
    <row r="1872" spans="1:10">
      <c r="A1872" t="s">
        <v>1871</v>
      </c>
      <c r="B1872" s="2">
        <v>42037.648999999998</v>
      </c>
      <c r="C1872" s="3" t="s">
        <v>5006</v>
      </c>
      <c r="D1872" t="s">
        <v>5015</v>
      </c>
      <c r="E1872" t="s">
        <v>5018</v>
      </c>
      <c r="F1872" t="s">
        <v>5018</v>
      </c>
      <c r="G1872">
        <v>89</v>
      </c>
      <c r="H1872" s="5">
        <v>3.6177715930863392E-3</v>
      </c>
      <c r="I1872">
        <v>4</v>
      </c>
      <c r="J1872" t="b">
        <f>AND(CCData[[#This Row],[Date]]&gt;=Calculation!$E$3,CCData[[#This Row],[Date]]&lt;Calculation!$E$3+7)</f>
        <v>0</v>
      </c>
    </row>
    <row r="1873" spans="1:10">
      <c r="A1873" t="s">
        <v>1872</v>
      </c>
      <c r="B1873" s="2">
        <v>42037.648999999998</v>
      </c>
      <c r="C1873" s="3" t="s">
        <v>5010</v>
      </c>
      <c r="D1873" t="s">
        <v>5015</v>
      </c>
      <c r="E1873" t="s">
        <v>5018</v>
      </c>
      <c r="F1873" t="s">
        <v>5018</v>
      </c>
      <c r="G1873">
        <v>115</v>
      </c>
      <c r="H1873" s="5">
        <v>2.2313759199232984E-3</v>
      </c>
      <c r="I1873">
        <v>4</v>
      </c>
      <c r="J1873" t="b">
        <f>AND(CCData[[#This Row],[Date]]&gt;=Calculation!$E$3,CCData[[#This Row],[Date]]&lt;Calculation!$E$3+7)</f>
        <v>0</v>
      </c>
    </row>
    <row r="1874" spans="1:10">
      <c r="A1874" t="s">
        <v>1873</v>
      </c>
      <c r="B1874" s="2">
        <v>42037.659</v>
      </c>
      <c r="C1874" s="3" t="s">
        <v>5005</v>
      </c>
      <c r="D1874" t="s">
        <v>5016</v>
      </c>
      <c r="E1874" t="s">
        <v>5018</v>
      </c>
      <c r="F1874" t="s">
        <v>5018</v>
      </c>
      <c r="G1874">
        <v>88</v>
      </c>
      <c r="H1874" s="5">
        <v>4.1649292165416678E-3</v>
      </c>
      <c r="I1874">
        <v>1</v>
      </c>
      <c r="J1874" t="b">
        <f>AND(CCData[[#This Row],[Date]]&gt;=Calculation!$E$3,CCData[[#This Row],[Date]]&lt;Calculation!$E$3+7)</f>
        <v>0</v>
      </c>
    </row>
    <row r="1875" spans="1:10">
      <c r="A1875" t="s">
        <v>1874</v>
      </c>
      <c r="B1875" s="2">
        <v>42037.659</v>
      </c>
      <c r="C1875" s="3" t="s">
        <v>5003</v>
      </c>
      <c r="D1875" t="s">
        <v>5016</v>
      </c>
      <c r="E1875" t="s">
        <v>5018</v>
      </c>
      <c r="F1875" t="s">
        <v>5018</v>
      </c>
      <c r="G1875">
        <v>91</v>
      </c>
      <c r="H1875" s="5">
        <v>4.4596673592611335E-3</v>
      </c>
      <c r="I1875">
        <v>5</v>
      </c>
      <c r="J1875" t="b">
        <f>AND(CCData[[#This Row],[Date]]&gt;=Calculation!$E$3,CCData[[#This Row],[Date]]&lt;Calculation!$E$3+7)</f>
        <v>0</v>
      </c>
    </row>
    <row r="1876" spans="1:10">
      <c r="A1876" t="s">
        <v>1875</v>
      </c>
      <c r="B1876" s="2">
        <v>42037.697999999997</v>
      </c>
      <c r="C1876" s="3" t="s">
        <v>5010</v>
      </c>
      <c r="D1876" t="s">
        <v>5016</v>
      </c>
      <c r="E1876" t="s">
        <v>5018</v>
      </c>
      <c r="F1876" t="s">
        <v>5018</v>
      </c>
      <c r="G1876">
        <v>78</v>
      </c>
      <c r="H1876" s="5">
        <v>2.4899869934504933E-3</v>
      </c>
      <c r="I1876">
        <v>4</v>
      </c>
      <c r="J1876" t="b">
        <f>AND(CCData[[#This Row],[Date]]&gt;=Calculation!$E$3,CCData[[#This Row],[Date]]&lt;Calculation!$E$3+7)</f>
        <v>0</v>
      </c>
    </row>
    <row r="1877" spans="1:10">
      <c r="A1877" t="s">
        <v>1876</v>
      </c>
      <c r="B1877" s="2">
        <v>42037.697999999997</v>
      </c>
      <c r="C1877" s="3" t="s">
        <v>5009</v>
      </c>
      <c r="D1877" t="s">
        <v>5012</v>
      </c>
      <c r="E1877" t="s">
        <v>5018</v>
      </c>
      <c r="F1877" t="s">
        <v>5018</v>
      </c>
      <c r="G1877">
        <v>91</v>
      </c>
      <c r="H1877" s="5">
        <v>1.4961581736220326E-3</v>
      </c>
      <c r="I1877">
        <v>3</v>
      </c>
      <c r="J1877" t="b">
        <f>AND(CCData[[#This Row],[Date]]&gt;=Calculation!$E$3,CCData[[#This Row],[Date]]&lt;Calculation!$E$3+7)</f>
        <v>0</v>
      </c>
    </row>
    <row r="1878" spans="1:10">
      <c r="A1878" t="s">
        <v>1877</v>
      </c>
      <c r="B1878" s="2">
        <v>42037.703000000001</v>
      </c>
      <c r="C1878" s="3" t="s">
        <v>5008</v>
      </c>
      <c r="D1878" t="s">
        <v>5016</v>
      </c>
      <c r="E1878" t="s">
        <v>5018</v>
      </c>
      <c r="F1878" t="s">
        <v>5018</v>
      </c>
      <c r="G1878">
        <v>102</v>
      </c>
      <c r="H1878" s="5">
        <v>1.8561830665452979E-3</v>
      </c>
      <c r="I1878">
        <v>3</v>
      </c>
      <c r="J1878" t="b">
        <f>AND(CCData[[#This Row],[Date]]&gt;=Calculation!$E$3,CCData[[#This Row],[Date]]&lt;Calculation!$E$3+7)</f>
        <v>0</v>
      </c>
    </row>
    <row r="1879" spans="1:10">
      <c r="A1879" t="s">
        <v>1878</v>
      </c>
      <c r="B1879" s="2">
        <v>42037.703000000001</v>
      </c>
      <c r="C1879" s="3" t="s">
        <v>5009</v>
      </c>
      <c r="D1879" t="s">
        <v>5013</v>
      </c>
      <c r="E1879" t="s">
        <v>5019</v>
      </c>
      <c r="F1879" t="s">
        <v>5019</v>
      </c>
      <c r="G1879" t="s">
        <v>5022</v>
      </c>
      <c r="H1879" s="5" t="s">
        <v>5022</v>
      </c>
      <c r="I1879" t="s">
        <v>5022</v>
      </c>
      <c r="J1879" t="b">
        <f>AND(CCData[[#This Row],[Date]]&gt;=Calculation!$E$3,CCData[[#This Row],[Date]]&lt;Calculation!$E$3+7)</f>
        <v>0</v>
      </c>
    </row>
    <row r="1880" spans="1:10">
      <c r="A1880" t="s">
        <v>1879</v>
      </c>
      <c r="B1880" s="2">
        <v>42037.716</v>
      </c>
      <c r="C1880" s="3" t="s">
        <v>5006</v>
      </c>
      <c r="D1880" t="s">
        <v>5016</v>
      </c>
      <c r="E1880" t="s">
        <v>5018</v>
      </c>
      <c r="F1880" t="s">
        <v>5018</v>
      </c>
      <c r="G1880">
        <v>24</v>
      </c>
      <c r="H1880" s="5">
        <v>1.8560973169803674E-3</v>
      </c>
      <c r="I1880">
        <v>4</v>
      </c>
      <c r="J1880" t="b">
        <f>AND(CCData[[#This Row],[Date]]&gt;=Calculation!$E$3,CCData[[#This Row],[Date]]&lt;Calculation!$E$3+7)</f>
        <v>0</v>
      </c>
    </row>
    <row r="1881" spans="1:10">
      <c r="A1881" t="s">
        <v>1880</v>
      </c>
      <c r="B1881" s="2">
        <v>42037.716</v>
      </c>
      <c r="C1881" s="3" t="s">
        <v>5005</v>
      </c>
      <c r="D1881" t="s">
        <v>5014</v>
      </c>
      <c r="E1881" t="s">
        <v>5019</v>
      </c>
      <c r="F1881" t="s">
        <v>5019</v>
      </c>
      <c r="G1881" t="s">
        <v>5022</v>
      </c>
      <c r="H1881" s="5" t="s">
        <v>5022</v>
      </c>
      <c r="I1881" t="s">
        <v>5022</v>
      </c>
      <c r="J1881" t="b">
        <f>AND(CCData[[#This Row],[Date]]&gt;=Calculation!$E$3,CCData[[#This Row],[Date]]&lt;Calculation!$E$3+7)</f>
        <v>0</v>
      </c>
    </row>
    <row r="1882" spans="1:10">
      <c r="A1882" t="s">
        <v>1881</v>
      </c>
      <c r="B1882" s="2">
        <v>42038.392999999996</v>
      </c>
      <c r="C1882" s="3" t="s">
        <v>5008</v>
      </c>
      <c r="D1882" t="s">
        <v>5013</v>
      </c>
      <c r="E1882" t="s">
        <v>5018</v>
      </c>
      <c r="F1882" t="s">
        <v>5018</v>
      </c>
      <c r="G1882">
        <v>19</v>
      </c>
      <c r="H1882" s="5">
        <v>1.2769911746540687E-3</v>
      </c>
      <c r="I1882">
        <v>1</v>
      </c>
      <c r="J1882" t="b">
        <f>AND(CCData[[#This Row],[Date]]&gt;=Calculation!$E$3,CCData[[#This Row],[Date]]&lt;Calculation!$E$3+7)</f>
        <v>0</v>
      </c>
    </row>
    <row r="1883" spans="1:10">
      <c r="A1883" t="s">
        <v>1882</v>
      </c>
      <c r="B1883" s="2">
        <v>42038.392999999996</v>
      </c>
      <c r="C1883" s="3" t="s">
        <v>5007</v>
      </c>
      <c r="D1883" t="s">
        <v>5016</v>
      </c>
      <c r="E1883" t="s">
        <v>5018</v>
      </c>
      <c r="F1883" t="s">
        <v>5018</v>
      </c>
      <c r="G1883">
        <v>47</v>
      </c>
      <c r="H1883" s="5">
        <v>6.1079365455341884E-4</v>
      </c>
      <c r="I1883">
        <v>4</v>
      </c>
      <c r="J1883" t="b">
        <f>AND(CCData[[#This Row],[Date]]&gt;=Calculation!$E$3,CCData[[#This Row],[Date]]&lt;Calculation!$E$3+7)</f>
        <v>0</v>
      </c>
    </row>
    <row r="1884" spans="1:10">
      <c r="A1884" t="s">
        <v>1883</v>
      </c>
      <c r="B1884" s="2">
        <v>42038.394999999997</v>
      </c>
      <c r="C1884" s="3" t="s">
        <v>5006</v>
      </c>
      <c r="D1884" t="s">
        <v>5015</v>
      </c>
      <c r="E1884" t="s">
        <v>5018</v>
      </c>
      <c r="F1884" t="s">
        <v>5018</v>
      </c>
      <c r="G1884">
        <v>61</v>
      </c>
      <c r="H1884" s="5">
        <v>2.3532918670600826E-3</v>
      </c>
      <c r="I1884">
        <v>4</v>
      </c>
      <c r="J1884" t="b">
        <f>AND(CCData[[#This Row],[Date]]&gt;=Calculation!$E$3,CCData[[#This Row],[Date]]&lt;Calculation!$E$3+7)</f>
        <v>0</v>
      </c>
    </row>
    <row r="1885" spans="1:10">
      <c r="A1885" t="s">
        <v>1884</v>
      </c>
      <c r="B1885" s="2">
        <v>42038.394999999997</v>
      </c>
      <c r="C1885" s="3" t="s">
        <v>5006</v>
      </c>
      <c r="D1885" t="s">
        <v>5015</v>
      </c>
      <c r="E1885" t="s">
        <v>5018</v>
      </c>
      <c r="F1885" t="s">
        <v>5018</v>
      </c>
      <c r="G1885">
        <v>73</v>
      </c>
      <c r="H1885" s="5">
        <v>3.8710894989160902E-3</v>
      </c>
      <c r="I1885">
        <v>5</v>
      </c>
      <c r="J1885" t="b">
        <f>AND(CCData[[#This Row],[Date]]&gt;=Calculation!$E$3,CCData[[#This Row],[Date]]&lt;Calculation!$E$3+7)</f>
        <v>0</v>
      </c>
    </row>
    <row r="1886" spans="1:10">
      <c r="A1886" t="s">
        <v>1885</v>
      </c>
      <c r="B1886" s="2">
        <v>42038.400000000001</v>
      </c>
      <c r="C1886" s="3" t="s">
        <v>5005</v>
      </c>
      <c r="D1886" t="s">
        <v>5013</v>
      </c>
      <c r="E1886" t="s">
        <v>5018</v>
      </c>
      <c r="F1886" t="s">
        <v>5018</v>
      </c>
      <c r="G1886">
        <v>67</v>
      </c>
      <c r="H1886" s="5">
        <v>3.6685671948628326E-3</v>
      </c>
      <c r="I1886">
        <v>5</v>
      </c>
      <c r="J1886" t="b">
        <f>AND(CCData[[#This Row],[Date]]&gt;=Calculation!$E$3,CCData[[#This Row],[Date]]&lt;Calculation!$E$3+7)</f>
        <v>0</v>
      </c>
    </row>
    <row r="1887" spans="1:10">
      <c r="A1887" t="s">
        <v>1886</v>
      </c>
      <c r="B1887" s="2">
        <v>42038.400000000001</v>
      </c>
      <c r="C1887" s="3" t="s">
        <v>5006</v>
      </c>
      <c r="D1887" t="s">
        <v>5016</v>
      </c>
      <c r="E1887" t="s">
        <v>5018</v>
      </c>
      <c r="F1887" t="s">
        <v>5018</v>
      </c>
      <c r="G1887">
        <v>22</v>
      </c>
      <c r="H1887" s="5">
        <v>4.6058267137459351E-3</v>
      </c>
      <c r="I1887">
        <v>1</v>
      </c>
      <c r="J1887" t="b">
        <f>AND(CCData[[#This Row],[Date]]&gt;=Calculation!$E$3,CCData[[#This Row],[Date]]&lt;Calculation!$E$3+7)</f>
        <v>0</v>
      </c>
    </row>
    <row r="1888" spans="1:10">
      <c r="A1888" t="s">
        <v>1887</v>
      </c>
      <c r="B1888" s="2">
        <v>42038.404000000002</v>
      </c>
      <c r="C1888" s="3" t="s">
        <v>5004</v>
      </c>
      <c r="D1888" t="s">
        <v>5012</v>
      </c>
      <c r="E1888" t="s">
        <v>5018</v>
      </c>
      <c r="F1888" t="s">
        <v>5018</v>
      </c>
      <c r="G1888">
        <v>86</v>
      </c>
      <c r="H1888" s="5">
        <v>5.1288754252347261E-4</v>
      </c>
      <c r="I1888">
        <v>5</v>
      </c>
      <c r="J1888" t="b">
        <f>AND(CCData[[#This Row],[Date]]&gt;=Calculation!$E$3,CCData[[#This Row],[Date]]&lt;Calculation!$E$3+7)</f>
        <v>0</v>
      </c>
    </row>
    <row r="1889" spans="1:10">
      <c r="A1889" t="s">
        <v>1888</v>
      </c>
      <c r="B1889" s="2">
        <v>42038.404000000002</v>
      </c>
      <c r="C1889" s="3" t="s">
        <v>5003</v>
      </c>
      <c r="D1889" t="s">
        <v>5016</v>
      </c>
      <c r="E1889" t="s">
        <v>5019</v>
      </c>
      <c r="F1889" t="s">
        <v>5019</v>
      </c>
      <c r="G1889" t="s">
        <v>5022</v>
      </c>
      <c r="H1889" s="5" t="s">
        <v>5022</v>
      </c>
      <c r="I1889" t="s">
        <v>5022</v>
      </c>
      <c r="J1889" t="b">
        <f>AND(CCData[[#This Row],[Date]]&gt;=Calculation!$E$3,CCData[[#This Row],[Date]]&lt;Calculation!$E$3+7)</f>
        <v>0</v>
      </c>
    </row>
    <row r="1890" spans="1:10">
      <c r="A1890" t="s">
        <v>1889</v>
      </c>
      <c r="B1890" s="2">
        <v>42038.409</v>
      </c>
      <c r="C1890" s="3" t="s">
        <v>5006</v>
      </c>
      <c r="D1890" t="s">
        <v>5016</v>
      </c>
      <c r="E1890" t="s">
        <v>5019</v>
      </c>
      <c r="F1890" t="s">
        <v>5019</v>
      </c>
      <c r="G1890" t="s">
        <v>5022</v>
      </c>
      <c r="H1890" s="5" t="s">
        <v>5022</v>
      </c>
      <c r="I1890" t="s">
        <v>5022</v>
      </c>
      <c r="J1890" t="b">
        <f>AND(CCData[[#This Row],[Date]]&gt;=Calculation!$E$3,CCData[[#This Row],[Date]]&lt;Calculation!$E$3+7)</f>
        <v>0</v>
      </c>
    </row>
    <row r="1891" spans="1:10">
      <c r="A1891" t="s">
        <v>1890</v>
      </c>
      <c r="B1891" s="2">
        <v>42038.409</v>
      </c>
      <c r="C1891" s="3" t="s">
        <v>5003</v>
      </c>
      <c r="D1891" t="s">
        <v>5012</v>
      </c>
      <c r="E1891" t="s">
        <v>5019</v>
      </c>
      <c r="F1891" t="s">
        <v>5019</v>
      </c>
      <c r="G1891" t="s">
        <v>5022</v>
      </c>
      <c r="H1891" s="5" t="s">
        <v>5022</v>
      </c>
      <c r="I1891" t="s">
        <v>5022</v>
      </c>
      <c r="J1891" t="b">
        <f>AND(CCData[[#This Row],[Date]]&gt;=Calculation!$E$3,CCData[[#This Row],[Date]]&lt;Calculation!$E$3+7)</f>
        <v>0</v>
      </c>
    </row>
    <row r="1892" spans="1:10">
      <c r="A1892" t="s">
        <v>1891</v>
      </c>
      <c r="B1892" s="2">
        <v>42038.423000000003</v>
      </c>
      <c r="C1892" s="3" t="s">
        <v>5010</v>
      </c>
      <c r="D1892" t="s">
        <v>5016</v>
      </c>
      <c r="E1892" t="s">
        <v>5019</v>
      </c>
      <c r="F1892" t="s">
        <v>5019</v>
      </c>
      <c r="G1892" t="s">
        <v>5022</v>
      </c>
      <c r="H1892" s="5" t="s">
        <v>5022</v>
      </c>
      <c r="I1892" t="s">
        <v>5022</v>
      </c>
      <c r="J1892" t="b">
        <f>AND(CCData[[#This Row],[Date]]&gt;=Calculation!$E$3,CCData[[#This Row],[Date]]&lt;Calculation!$E$3+7)</f>
        <v>0</v>
      </c>
    </row>
    <row r="1893" spans="1:10">
      <c r="A1893" t="s">
        <v>1892</v>
      </c>
      <c r="B1893" s="2">
        <v>42038.423000000003</v>
      </c>
      <c r="C1893" s="3" t="s">
        <v>5007</v>
      </c>
      <c r="D1893" t="s">
        <v>5015</v>
      </c>
      <c r="E1893" t="s">
        <v>5018</v>
      </c>
      <c r="F1893" t="s">
        <v>5018</v>
      </c>
      <c r="G1893">
        <v>46</v>
      </c>
      <c r="H1893" s="5">
        <v>2.5976165914708424E-3</v>
      </c>
      <c r="I1893">
        <v>4</v>
      </c>
      <c r="J1893" t="b">
        <f>AND(CCData[[#This Row],[Date]]&gt;=Calculation!$E$3,CCData[[#This Row],[Date]]&lt;Calculation!$E$3+7)</f>
        <v>0</v>
      </c>
    </row>
    <row r="1894" spans="1:10">
      <c r="A1894" t="s">
        <v>1893</v>
      </c>
      <c r="B1894" s="2">
        <v>42038.428</v>
      </c>
      <c r="C1894" s="3" t="s">
        <v>5006</v>
      </c>
      <c r="D1894" t="s">
        <v>5012</v>
      </c>
      <c r="E1894" t="s">
        <v>5018</v>
      </c>
      <c r="F1894" t="s">
        <v>5018</v>
      </c>
      <c r="G1894">
        <v>81</v>
      </c>
      <c r="H1894" s="5">
        <v>1.3490495335401582E-3</v>
      </c>
      <c r="I1894">
        <v>4</v>
      </c>
      <c r="J1894" t="b">
        <f>AND(CCData[[#This Row],[Date]]&gt;=Calculation!$E$3,CCData[[#This Row],[Date]]&lt;Calculation!$E$3+7)</f>
        <v>0</v>
      </c>
    </row>
    <row r="1895" spans="1:10">
      <c r="A1895" t="s">
        <v>1894</v>
      </c>
      <c r="B1895" s="2">
        <v>42038.428</v>
      </c>
      <c r="C1895" s="3" t="s">
        <v>5008</v>
      </c>
      <c r="D1895" t="s">
        <v>5015</v>
      </c>
      <c r="E1895" t="s">
        <v>5018</v>
      </c>
      <c r="F1895" t="s">
        <v>5018</v>
      </c>
      <c r="G1895">
        <v>20</v>
      </c>
      <c r="H1895" s="5">
        <v>1.8113850973692225E-3</v>
      </c>
      <c r="I1895">
        <v>3</v>
      </c>
      <c r="J1895" t="b">
        <f>AND(CCData[[#This Row],[Date]]&gt;=Calculation!$E$3,CCData[[#This Row],[Date]]&lt;Calculation!$E$3+7)</f>
        <v>0</v>
      </c>
    </row>
    <row r="1896" spans="1:10">
      <c r="A1896" t="s">
        <v>1895</v>
      </c>
      <c r="B1896" s="2">
        <v>42038.430999999997</v>
      </c>
      <c r="C1896" s="3" t="s">
        <v>5003</v>
      </c>
      <c r="D1896" t="s">
        <v>5016</v>
      </c>
      <c r="E1896" t="s">
        <v>5018</v>
      </c>
      <c r="F1896" t="s">
        <v>5018</v>
      </c>
      <c r="G1896">
        <v>85</v>
      </c>
      <c r="H1896" s="5">
        <v>4.2927838742192253E-3</v>
      </c>
      <c r="I1896">
        <v>1</v>
      </c>
      <c r="J1896" t="b">
        <f>AND(CCData[[#This Row],[Date]]&gt;=Calculation!$E$3,CCData[[#This Row],[Date]]&lt;Calculation!$E$3+7)</f>
        <v>0</v>
      </c>
    </row>
    <row r="1897" spans="1:10">
      <c r="A1897" t="s">
        <v>1896</v>
      </c>
      <c r="B1897" s="2">
        <v>42038.430999999997</v>
      </c>
      <c r="C1897" s="3" t="s">
        <v>5010</v>
      </c>
      <c r="D1897" t="s">
        <v>5016</v>
      </c>
      <c r="E1897" t="s">
        <v>5018</v>
      </c>
      <c r="F1897" t="s">
        <v>5018</v>
      </c>
      <c r="G1897">
        <v>91</v>
      </c>
      <c r="H1897" s="5">
        <v>2.9091875965745529E-3</v>
      </c>
      <c r="I1897">
        <v>4</v>
      </c>
      <c r="J1897" t="b">
        <f>AND(CCData[[#This Row],[Date]]&gt;=Calculation!$E$3,CCData[[#This Row],[Date]]&lt;Calculation!$E$3+7)</f>
        <v>0</v>
      </c>
    </row>
    <row r="1898" spans="1:10">
      <c r="A1898" t="s">
        <v>1897</v>
      </c>
      <c r="B1898" s="2">
        <v>42038.447999999997</v>
      </c>
      <c r="C1898" s="3" t="s">
        <v>5010</v>
      </c>
      <c r="D1898" t="s">
        <v>5012</v>
      </c>
      <c r="E1898" t="s">
        <v>5019</v>
      </c>
      <c r="F1898" t="s">
        <v>5019</v>
      </c>
      <c r="G1898" t="s">
        <v>5022</v>
      </c>
      <c r="H1898" s="5" t="s">
        <v>5022</v>
      </c>
      <c r="I1898" t="s">
        <v>5022</v>
      </c>
      <c r="J1898" t="b">
        <f>AND(CCData[[#This Row],[Date]]&gt;=Calculation!$E$3,CCData[[#This Row],[Date]]&lt;Calculation!$E$3+7)</f>
        <v>0</v>
      </c>
    </row>
    <row r="1899" spans="1:10">
      <c r="A1899" t="s">
        <v>1898</v>
      </c>
      <c r="B1899" s="2">
        <v>42038.447999999997</v>
      </c>
      <c r="C1899" s="3" t="s">
        <v>5003</v>
      </c>
      <c r="D1899" t="s">
        <v>5014</v>
      </c>
      <c r="E1899" t="s">
        <v>5018</v>
      </c>
      <c r="F1899" t="s">
        <v>5018</v>
      </c>
      <c r="G1899">
        <v>87</v>
      </c>
      <c r="H1899" s="5">
        <v>2.9335420102952862E-3</v>
      </c>
      <c r="I1899">
        <v>4</v>
      </c>
      <c r="J1899" t="b">
        <f>AND(CCData[[#This Row],[Date]]&gt;=Calculation!$E$3,CCData[[#This Row],[Date]]&lt;Calculation!$E$3+7)</f>
        <v>0</v>
      </c>
    </row>
    <row r="1900" spans="1:10">
      <c r="A1900" t="s">
        <v>1899</v>
      </c>
      <c r="B1900" s="2">
        <v>42038.451999999997</v>
      </c>
      <c r="C1900" s="3" t="s">
        <v>5006</v>
      </c>
      <c r="D1900" t="s">
        <v>5012</v>
      </c>
      <c r="E1900" t="s">
        <v>5019</v>
      </c>
      <c r="F1900" t="s">
        <v>5019</v>
      </c>
      <c r="G1900" t="s">
        <v>5022</v>
      </c>
      <c r="H1900" s="5" t="s">
        <v>5022</v>
      </c>
      <c r="I1900" t="s">
        <v>5022</v>
      </c>
      <c r="J1900" t="b">
        <f>AND(CCData[[#This Row],[Date]]&gt;=Calculation!$E$3,CCData[[#This Row],[Date]]&lt;Calculation!$E$3+7)</f>
        <v>0</v>
      </c>
    </row>
    <row r="1901" spans="1:10">
      <c r="A1901" t="s">
        <v>1900</v>
      </c>
      <c r="B1901" s="2">
        <v>42038.451999999997</v>
      </c>
      <c r="C1901" s="3" t="s">
        <v>5009</v>
      </c>
      <c r="D1901" t="s">
        <v>5015</v>
      </c>
      <c r="E1901" t="s">
        <v>5018</v>
      </c>
      <c r="F1901" t="s">
        <v>5018</v>
      </c>
      <c r="G1901">
        <v>41</v>
      </c>
      <c r="H1901" s="5">
        <v>4.7882133860078059E-3</v>
      </c>
      <c r="I1901">
        <v>4</v>
      </c>
      <c r="J1901" t="b">
        <f>AND(CCData[[#This Row],[Date]]&gt;=Calculation!$E$3,CCData[[#This Row],[Date]]&lt;Calculation!$E$3+7)</f>
        <v>0</v>
      </c>
    </row>
    <row r="1902" spans="1:10">
      <c r="A1902" t="s">
        <v>1901</v>
      </c>
      <c r="B1902" s="2">
        <v>42038.466999999997</v>
      </c>
      <c r="C1902" s="3" t="s">
        <v>5010</v>
      </c>
      <c r="D1902" t="s">
        <v>5012</v>
      </c>
      <c r="E1902" t="s">
        <v>5018</v>
      </c>
      <c r="F1902" t="s">
        <v>5018</v>
      </c>
      <c r="G1902">
        <v>20</v>
      </c>
      <c r="H1902" s="5">
        <v>4.8334275696495128E-3</v>
      </c>
      <c r="I1902">
        <v>4</v>
      </c>
      <c r="J1902" t="b">
        <f>AND(CCData[[#This Row],[Date]]&gt;=Calculation!$E$3,CCData[[#This Row],[Date]]&lt;Calculation!$E$3+7)</f>
        <v>0</v>
      </c>
    </row>
    <row r="1903" spans="1:10">
      <c r="A1903" t="s">
        <v>1902</v>
      </c>
      <c r="B1903" s="2">
        <v>42038.466999999997</v>
      </c>
      <c r="C1903" s="3" t="s">
        <v>5009</v>
      </c>
      <c r="D1903" t="s">
        <v>5014</v>
      </c>
      <c r="E1903" t="s">
        <v>5018</v>
      </c>
      <c r="F1903" t="s">
        <v>5018</v>
      </c>
      <c r="G1903">
        <v>14</v>
      </c>
      <c r="H1903" s="5">
        <v>3.0440194598970009E-3</v>
      </c>
      <c r="I1903">
        <v>4</v>
      </c>
      <c r="J1903" t="b">
        <f>AND(CCData[[#This Row],[Date]]&gt;=Calculation!$E$3,CCData[[#This Row],[Date]]&lt;Calculation!$E$3+7)</f>
        <v>0</v>
      </c>
    </row>
    <row r="1904" spans="1:10">
      <c r="A1904" t="s">
        <v>1903</v>
      </c>
      <c r="B1904" s="2">
        <v>42038.468000000001</v>
      </c>
      <c r="C1904" s="3" t="s">
        <v>5004</v>
      </c>
      <c r="D1904" t="s">
        <v>5015</v>
      </c>
      <c r="E1904" t="s">
        <v>5018</v>
      </c>
      <c r="F1904" t="s">
        <v>5019</v>
      </c>
      <c r="G1904">
        <v>107</v>
      </c>
      <c r="H1904" s="5">
        <v>8.8691904812762299E-4</v>
      </c>
      <c r="I1904">
        <v>4</v>
      </c>
      <c r="J1904" t="b">
        <f>AND(CCData[[#This Row],[Date]]&gt;=Calculation!$E$3,CCData[[#This Row],[Date]]&lt;Calculation!$E$3+7)</f>
        <v>0</v>
      </c>
    </row>
    <row r="1905" spans="1:10">
      <c r="A1905" t="s">
        <v>1904</v>
      </c>
      <c r="B1905" s="2">
        <v>42038.468000000001</v>
      </c>
      <c r="C1905" s="3" t="s">
        <v>5010</v>
      </c>
      <c r="D1905" t="s">
        <v>5016</v>
      </c>
      <c r="E1905" t="s">
        <v>5019</v>
      </c>
      <c r="F1905" t="s">
        <v>5019</v>
      </c>
      <c r="G1905" t="s">
        <v>5022</v>
      </c>
      <c r="H1905" s="5" t="s">
        <v>5022</v>
      </c>
      <c r="I1905" t="s">
        <v>5022</v>
      </c>
      <c r="J1905" t="b">
        <f>AND(CCData[[#This Row],[Date]]&gt;=Calculation!$E$3,CCData[[#This Row],[Date]]&lt;Calculation!$E$3+7)</f>
        <v>0</v>
      </c>
    </row>
    <row r="1906" spans="1:10">
      <c r="A1906" t="s">
        <v>1905</v>
      </c>
      <c r="B1906" s="2">
        <v>42038.482000000004</v>
      </c>
      <c r="C1906" s="3" t="s">
        <v>5009</v>
      </c>
      <c r="D1906" t="s">
        <v>5013</v>
      </c>
      <c r="E1906" t="s">
        <v>5019</v>
      </c>
      <c r="F1906" t="s">
        <v>5019</v>
      </c>
      <c r="G1906" t="s">
        <v>5022</v>
      </c>
      <c r="H1906" s="5" t="s">
        <v>5022</v>
      </c>
      <c r="I1906" t="s">
        <v>5022</v>
      </c>
      <c r="J1906" t="b">
        <f>AND(CCData[[#This Row],[Date]]&gt;=Calculation!$E$3,CCData[[#This Row],[Date]]&lt;Calculation!$E$3+7)</f>
        <v>0</v>
      </c>
    </row>
    <row r="1907" spans="1:10">
      <c r="A1907" t="s">
        <v>1906</v>
      </c>
      <c r="B1907" s="2">
        <v>42038.482000000004</v>
      </c>
      <c r="C1907" s="3" t="s">
        <v>5010</v>
      </c>
      <c r="D1907" t="s">
        <v>5016</v>
      </c>
      <c r="E1907" t="s">
        <v>5018</v>
      </c>
      <c r="F1907" t="s">
        <v>5019</v>
      </c>
      <c r="G1907">
        <v>27</v>
      </c>
      <c r="H1907" s="5">
        <v>5.6676282395499728E-4</v>
      </c>
      <c r="I1907">
        <v>1</v>
      </c>
      <c r="J1907" t="b">
        <f>AND(CCData[[#This Row],[Date]]&gt;=Calculation!$E$3,CCData[[#This Row],[Date]]&lt;Calculation!$E$3+7)</f>
        <v>0</v>
      </c>
    </row>
    <row r="1908" spans="1:10">
      <c r="A1908" t="s">
        <v>1907</v>
      </c>
      <c r="B1908" s="2">
        <v>42038.491999999998</v>
      </c>
      <c r="C1908" s="3" t="s">
        <v>5005</v>
      </c>
      <c r="D1908" t="s">
        <v>5016</v>
      </c>
      <c r="E1908" t="s">
        <v>5018</v>
      </c>
      <c r="F1908" t="s">
        <v>5018</v>
      </c>
      <c r="G1908">
        <v>119</v>
      </c>
      <c r="H1908" s="5">
        <v>3.2643252997661574E-3</v>
      </c>
      <c r="I1908">
        <v>4</v>
      </c>
      <c r="J1908" t="b">
        <f>AND(CCData[[#This Row],[Date]]&gt;=Calculation!$E$3,CCData[[#This Row],[Date]]&lt;Calculation!$E$3+7)</f>
        <v>0</v>
      </c>
    </row>
    <row r="1909" spans="1:10">
      <c r="A1909" t="s">
        <v>1908</v>
      </c>
      <c r="B1909" s="2">
        <v>42038.491999999998</v>
      </c>
      <c r="C1909" s="3" t="s">
        <v>5007</v>
      </c>
      <c r="D1909" t="s">
        <v>5012</v>
      </c>
      <c r="E1909" t="s">
        <v>5018</v>
      </c>
      <c r="F1909" t="s">
        <v>5018</v>
      </c>
      <c r="G1909">
        <v>55</v>
      </c>
      <c r="H1909" s="5">
        <v>1.6779077210213127E-3</v>
      </c>
      <c r="I1909">
        <v>1</v>
      </c>
      <c r="J1909" t="b">
        <f>AND(CCData[[#This Row],[Date]]&gt;=Calculation!$E$3,CCData[[#This Row],[Date]]&lt;Calculation!$E$3+7)</f>
        <v>0</v>
      </c>
    </row>
    <row r="1910" spans="1:10">
      <c r="A1910" t="s">
        <v>1909</v>
      </c>
      <c r="B1910" s="2">
        <v>42038.500999999997</v>
      </c>
      <c r="C1910" s="3" t="s">
        <v>5006</v>
      </c>
      <c r="D1910" t="s">
        <v>5014</v>
      </c>
      <c r="E1910" t="s">
        <v>5018</v>
      </c>
      <c r="F1910" t="s">
        <v>5018</v>
      </c>
      <c r="G1910">
        <v>62</v>
      </c>
      <c r="H1910" s="5">
        <v>3.3607255715658226E-3</v>
      </c>
      <c r="I1910">
        <v>3</v>
      </c>
      <c r="J1910" t="b">
        <f>AND(CCData[[#This Row],[Date]]&gt;=Calculation!$E$3,CCData[[#This Row],[Date]]&lt;Calculation!$E$3+7)</f>
        <v>0</v>
      </c>
    </row>
    <row r="1911" spans="1:10">
      <c r="A1911" t="s">
        <v>1910</v>
      </c>
      <c r="B1911" s="2">
        <v>42038.500999999997</v>
      </c>
      <c r="C1911" s="3" t="s">
        <v>5007</v>
      </c>
      <c r="D1911" t="s">
        <v>5013</v>
      </c>
      <c r="E1911" t="s">
        <v>5018</v>
      </c>
      <c r="F1911" t="s">
        <v>5018</v>
      </c>
      <c r="G1911">
        <v>105</v>
      </c>
      <c r="H1911" s="5">
        <v>2.2992891342786849E-3</v>
      </c>
      <c r="I1911">
        <v>3</v>
      </c>
      <c r="J1911" t="b">
        <f>AND(CCData[[#This Row],[Date]]&gt;=Calculation!$E$3,CCData[[#This Row],[Date]]&lt;Calculation!$E$3+7)</f>
        <v>0</v>
      </c>
    </row>
    <row r="1912" spans="1:10">
      <c r="A1912" t="s">
        <v>1911</v>
      </c>
      <c r="B1912" s="2">
        <v>42038.527999999998</v>
      </c>
      <c r="C1912" s="3" t="s">
        <v>5009</v>
      </c>
      <c r="D1912" t="s">
        <v>5012</v>
      </c>
      <c r="E1912" t="s">
        <v>5018</v>
      </c>
      <c r="F1912" t="s">
        <v>5018</v>
      </c>
      <c r="G1912">
        <v>16</v>
      </c>
      <c r="H1912" s="5">
        <v>3.8443821072671829E-3</v>
      </c>
      <c r="I1912">
        <v>5</v>
      </c>
      <c r="J1912" t="b">
        <f>AND(CCData[[#This Row],[Date]]&gt;=Calculation!$E$3,CCData[[#This Row],[Date]]&lt;Calculation!$E$3+7)</f>
        <v>0</v>
      </c>
    </row>
    <row r="1913" spans="1:10">
      <c r="A1913" t="s">
        <v>1912</v>
      </c>
      <c r="B1913" s="2">
        <v>42038.527999999998</v>
      </c>
      <c r="C1913" s="3" t="s">
        <v>5003</v>
      </c>
      <c r="D1913" t="s">
        <v>5013</v>
      </c>
      <c r="E1913" t="s">
        <v>5019</v>
      </c>
      <c r="F1913" t="s">
        <v>5019</v>
      </c>
      <c r="G1913" t="s">
        <v>5022</v>
      </c>
      <c r="H1913" s="5" t="s">
        <v>5022</v>
      </c>
      <c r="I1913" t="s">
        <v>5022</v>
      </c>
      <c r="J1913" t="b">
        <f>AND(CCData[[#This Row],[Date]]&gt;=Calculation!$E$3,CCData[[#This Row],[Date]]&lt;Calculation!$E$3+7)</f>
        <v>0</v>
      </c>
    </row>
    <row r="1914" spans="1:10">
      <c r="A1914" t="s">
        <v>1913</v>
      </c>
      <c r="B1914" s="2">
        <v>42038.531000000003</v>
      </c>
      <c r="C1914" s="3" t="s">
        <v>5007</v>
      </c>
      <c r="D1914" t="s">
        <v>5013</v>
      </c>
      <c r="E1914" t="s">
        <v>5018</v>
      </c>
      <c r="F1914" t="s">
        <v>5018</v>
      </c>
      <c r="G1914">
        <v>23</v>
      </c>
      <c r="H1914" s="5">
        <v>2.5422758464267656E-3</v>
      </c>
      <c r="I1914">
        <v>1</v>
      </c>
      <c r="J1914" t="b">
        <f>AND(CCData[[#This Row],[Date]]&gt;=Calculation!$E$3,CCData[[#This Row],[Date]]&lt;Calculation!$E$3+7)</f>
        <v>0</v>
      </c>
    </row>
    <row r="1915" spans="1:10">
      <c r="A1915" t="s">
        <v>1914</v>
      </c>
      <c r="B1915" s="2">
        <v>42038.531000000003</v>
      </c>
      <c r="C1915" s="3" t="s">
        <v>5008</v>
      </c>
      <c r="D1915" t="s">
        <v>5015</v>
      </c>
      <c r="E1915" t="s">
        <v>5019</v>
      </c>
      <c r="F1915" t="s">
        <v>5019</v>
      </c>
      <c r="G1915" t="s">
        <v>5022</v>
      </c>
      <c r="H1915" s="5" t="s">
        <v>5022</v>
      </c>
      <c r="I1915" t="s">
        <v>5022</v>
      </c>
      <c r="J1915" t="b">
        <f>AND(CCData[[#This Row],[Date]]&gt;=Calculation!$E$3,CCData[[#This Row],[Date]]&lt;Calculation!$E$3+7)</f>
        <v>0</v>
      </c>
    </row>
    <row r="1916" spans="1:10">
      <c r="A1916" t="s">
        <v>1915</v>
      </c>
      <c r="B1916" s="2">
        <v>42038.536999999997</v>
      </c>
      <c r="C1916" s="3" t="s">
        <v>5003</v>
      </c>
      <c r="D1916" t="s">
        <v>5014</v>
      </c>
      <c r="E1916" t="s">
        <v>5018</v>
      </c>
      <c r="F1916" t="s">
        <v>5018</v>
      </c>
      <c r="G1916">
        <v>89</v>
      </c>
      <c r="H1916" s="5">
        <v>3.1481424291864226E-3</v>
      </c>
      <c r="I1916">
        <v>5</v>
      </c>
      <c r="J1916" t="b">
        <f>AND(CCData[[#This Row],[Date]]&gt;=Calculation!$E$3,CCData[[#This Row],[Date]]&lt;Calculation!$E$3+7)</f>
        <v>0</v>
      </c>
    </row>
    <row r="1917" spans="1:10">
      <c r="A1917" t="s">
        <v>1916</v>
      </c>
      <c r="B1917" s="2">
        <v>42038.536999999997</v>
      </c>
      <c r="C1917" s="3" t="s">
        <v>5003</v>
      </c>
      <c r="D1917" t="s">
        <v>5013</v>
      </c>
      <c r="E1917" t="s">
        <v>5018</v>
      </c>
      <c r="F1917" t="s">
        <v>5018</v>
      </c>
      <c r="G1917">
        <v>53</v>
      </c>
      <c r="H1917" s="5">
        <v>1.1213967840465985E-3</v>
      </c>
      <c r="I1917">
        <v>5</v>
      </c>
      <c r="J1917" t="b">
        <f>AND(CCData[[#This Row],[Date]]&gt;=Calculation!$E$3,CCData[[#This Row],[Date]]&lt;Calculation!$E$3+7)</f>
        <v>0</v>
      </c>
    </row>
    <row r="1918" spans="1:10">
      <c r="A1918" t="s">
        <v>1917</v>
      </c>
      <c r="B1918" s="2">
        <v>42038.54</v>
      </c>
      <c r="C1918" s="3" t="s">
        <v>5003</v>
      </c>
      <c r="D1918" t="s">
        <v>5012</v>
      </c>
      <c r="E1918" t="s">
        <v>5018</v>
      </c>
      <c r="F1918" t="s">
        <v>5019</v>
      </c>
      <c r="G1918">
        <v>104</v>
      </c>
      <c r="H1918" s="5">
        <v>1.2606434941607445E-3</v>
      </c>
      <c r="I1918">
        <v>3</v>
      </c>
      <c r="J1918" t="b">
        <f>AND(CCData[[#This Row],[Date]]&gt;=Calculation!$E$3,CCData[[#This Row],[Date]]&lt;Calculation!$E$3+7)</f>
        <v>0</v>
      </c>
    </row>
    <row r="1919" spans="1:10">
      <c r="A1919" t="s">
        <v>1918</v>
      </c>
      <c r="B1919" s="2">
        <v>42038.54</v>
      </c>
      <c r="C1919" s="3" t="s">
        <v>5007</v>
      </c>
      <c r="D1919" t="s">
        <v>5014</v>
      </c>
      <c r="E1919" t="s">
        <v>5018</v>
      </c>
      <c r="F1919" t="s">
        <v>5018</v>
      </c>
      <c r="G1919">
        <v>78</v>
      </c>
      <c r="H1919" s="5">
        <v>1.8785110090017772E-3</v>
      </c>
      <c r="I1919">
        <v>2</v>
      </c>
      <c r="J1919" t="b">
        <f>AND(CCData[[#This Row],[Date]]&gt;=Calculation!$E$3,CCData[[#This Row],[Date]]&lt;Calculation!$E$3+7)</f>
        <v>0</v>
      </c>
    </row>
    <row r="1920" spans="1:10">
      <c r="A1920" t="s">
        <v>1919</v>
      </c>
      <c r="B1920" s="2">
        <v>42038.542999999998</v>
      </c>
      <c r="C1920" s="3" t="s">
        <v>5005</v>
      </c>
      <c r="D1920" t="s">
        <v>5013</v>
      </c>
      <c r="E1920" t="s">
        <v>5018</v>
      </c>
      <c r="F1920" t="s">
        <v>5018</v>
      </c>
      <c r="G1920">
        <v>92</v>
      </c>
      <c r="H1920" s="5">
        <v>3.3625402796406884E-3</v>
      </c>
      <c r="I1920">
        <v>2</v>
      </c>
      <c r="J1920" t="b">
        <f>AND(CCData[[#This Row],[Date]]&gt;=Calculation!$E$3,CCData[[#This Row],[Date]]&lt;Calculation!$E$3+7)</f>
        <v>0</v>
      </c>
    </row>
    <row r="1921" spans="1:10">
      <c r="A1921" t="s">
        <v>1920</v>
      </c>
      <c r="B1921" s="2">
        <v>42038.542999999998</v>
      </c>
      <c r="C1921" s="3" t="s">
        <v>5009</v>
      </c>
      <c r="D1921" t="s">
        <v>5016</v>
      </c>
      <c r="E1921" t="s">
        <v>5018</v>
      </c>
      <c r="F1921" t="s">
        <v>5018</v>
      </c>
      <c r="G1921">
        <v>107</v>
      </c>
      <c r="H1921" s="5">
        <v>1.5467988589552807E-3</v>
      </c>
      <c r="I1921">
        <v>4</v>
      </c>
      <c r="J1921" t="b">
        <f>AND(CCData[[#This Row],[Date]]&gt;=Calculation!$E$3,CCData[[#This Row],[Date]]&lt;Calculation!$E$3+7)</f>
        <v>0</v>
      </c>
    </row>
    <row r="1922" spans="1:10">
      <c r="A1922" t="s">
        <v>1921</v>
      </c>
      <c r="B1922" s="2">
        <v>42038.563999999998</v>
      </c>
      <c r="C1922" s="3" t="s">
        <v>5006</v>
      </c>
      <c r="D1922" t="s">
        <v>5016</v>
      </c>
      <c r="E1922" t="s">
        <v>5019</v>
      </c>
      <c r="F1922" t="s">
        <v>5019</v>
      </c>
      <c r="G1922" t="s">
        <v>5022</v>
      </c>
      <c r="H1922" s="5" t="s">
        <v>5022</v>
      </c>
      <c r="I1922" t="s">
        <v>5022</v>
      </c>
      <c r="J1922" t="b">
        <f>AND(CCData[[#This Row],[Date]]&gt;=Calculation!$E$3,CCData[[#This Row],[Date]]&lt;Calculation!$E$3+7)</f>
        <v>0</v>
      </c>
    </row>
    <row r="1923" spans="1:10">
      <c r="A1923" t="s">
        <v>1922</v>
      </c>
      <c r="B1923" s="2">
        <v>42038.563999999998</v>
      </c>
      <c r="C1923" s="3" t="s">
        <v>5010</v>
      </c>
      <c r="D1923" t="s">
        <v>5015</v>
      </c>
      <c r="E1923" t="s">
        <v>5019</v>
      </c>
      <c r="F1923" t="s">
        <v>5019</v>
      </c>
      <c r="G1923" t="s">
        <v>5022</v>
      </c>
      <c r="H1923" s="5" t="s">
        <v>5022</v>
      </c>
      <c r="I1923" t="s">
        <v>5022</v>
      </c>
      <c r="J1923" t="b">
        <f>AND(CCData[[#This Row],[Date]]&gt;=Calculation!$E$3,CCData[[#This Row],[Date]]&lt;Calculation!$E$3+7)</f>
        <v>0</v>
      </c>
    </row>
    <row r="1924" spans="1:10">
      <c r="A1924" t="s">
        <v>1923</v>
      </c>
      <c r="B1924" s="2">
        <v>42038.565000000002</v>
      </c>
      <c r="C1924" s="3" t="s">
        <v>5003</v>
      </c>
      <c r="D1924" t="s">
        <v>5012</v>
      </c>
      <c r="E1924" t="s">
        <v>5018</v>
      </c>
      <c r="F1924" t="s">
        <v>5018</v>
      </c>
      <c r="G1924">
        <v>116</v>
      </c>
      <c r="H1924" s="5">
        <v>1.732145204429103E-3</v>
      </c>
      <c r="I1924">
        <v>3</v>
      </c>
      <c r="J1924" t="b">
        <f>AND(CCData[[#This Row],[Date]]&gt;=Calculation!$E$3,CCData[[#This Row],[Date]]&lt;Calculation!$E$3+7)</f>
        <v>0</v>
      </c>
    </row>
    <row r="1925" spans="1:10">
      <c r="A1925" t="s">
        <v>1924</v>
      </c>
      <c r="B1925" s="2">
        <v>42038.565000000002</v>
      </c>
      <c r="C1925" s="3" t="s">
        <v>5007</v>
      </c>
      <c r="D1925" t="s">
        <v>5016</v>
      </c>
      <c r="E1925" t="s">
        <v>5019</v>
      </c>
      <c r="F1925" t="s">
        <v>5019</v>
      </c>
      <c r="G1925" t="s">
        <v>5022</v>
      </c>
      <c r="H1925" s="5" t="s">
        <v>5022</v>
      </c>
      <c r="I1925" t="s">
        <v>5022</v>
      </c>
      <c r="J1925" t="b">
        <f>AND(CCData[[#This Row],[Date]]&gt;=Calculation!$E$3,CCData[[#This Row],[Date]]&lt;Calculation!$E$3+7)</f>
        <v>0</v>
      </c>
    </row>
    <row r="1926" spans="1:10">
      <c r="A1926" t="s">
        <v>1925</v>
      </c>
      <c r="B1926" s="2">
        <v>42038.57</v>
      </c>
      <c r="C1926" s="3" t="s">
        <v>5010</v>
      </c>
      <c r="D1926" t="s">
        <v>5013</v>
      </c>
      <c r="E1926" t="s">
        <v>5018</v>
      </c>
      <c r="F1926" t="s">
        <v>5018</v>
      </c>
      <c r="G1926">
        <v>101</v>
      </c>
      <c r="H1926" s="5">
        <v>2.0242157832641256E-3</v>
      </c>
      <c r="I1926">
        <v>3</v>
      </c>
      <c r="J1926" t="b">
        <f>AND(CCData[[#This Row],[Date]]&gt;=Calculation!$E$3,CCData[[#This Row],[Date]]&lt;Calculation!$E$3+7)</f>
        <v>0</v>
      </c>
    </row>
    <row r="1927" spans="1:10">
      <c r="A1927" t="s">
        <v>1926</v>
      </c>
      <c r="B1927" s="2">
        <v>42038.57</v>
      </c>
      <c r="C1927" s="3" t="s">
        <v>5008</v>
      </c>
      <c r="D1927" t="s">
        <v>5015</v>
      </c>
      <c r="E1927" t="s">
        <v>5018</v>
      </c>
      <c r="F1927" t="s">
        <v>5018</v>
      </c>
      <c r="G1927">
        <v>41</v>
      </c>
      <c r="H1927" s="5">
        <v>2.4667286254019148E-3</v>
      </c>
      <c r="I1927">
        <v>2</v>
      </c>
      <c r="J1927" t="b">
        <f>AND(CCData[[#This Row],[Date]]&gt;=Calculation!$E$3,CCData[[#This Row],[Date]]&lt;Calculation!$E$3+7)</f>
        <v>0</v>
      </c>
    </row>
    <row r="1928" spans="1:10">
      <c r="A1928" t="s">
        <v>1927</v>
      </c>
      <c r="B1928" s="2">
        <v>42038.572</v>
      </c>
      <c r="C1928" s="3" t="s">
        <v>5009</v>
      </c>
      <c r="D1928" t="s">
        <v>5012</v>
      </c>
      <c r="E1928" t="s">
        <v>5018</v>
      </c>
      <c r="F1928" t="s">
        <v>5019</v>
      </c>
      <c r="G1928">
        <v>102</v>
      </c>
      <c r="H1928" s="5">
        <v>4.1670293277409499E-3</v>
      </c>
      <c r="I1928">
        <v>2</v>
      </c>
      <c r="J1928" t="b">
        <f>AND(CCData[[#This Row],[Date]]&gt;=Calculation!$E$3,CCData[[#This Row],[Date]]&lt;Calculation!$E$3+7)</f>
        <v>0</v>
      </c>
    </row>
    <row r="1929" spans="1:10">
      <c r="A1929" t="s">
        <v>1928</v>
      </c>
      <c r="B1929" s="2">
        <v>42038.572</v>
      </c>
      <c r="C1929" s="3" t="s">
        <v>5007</v>
      </c>
      <c r="D1929" t="s">
        <v>5015</v>
      </c>
      <c r="E1929" t="s">
        <v>5018</v>
      </c>
      <c r="F1929" t="s">
        <v>5018</v>
      </c>
      <c r="G1929">
        <v>94</v>
      </c>
      <c r="H1929" s="5">
        <v>8.8850606739282174E-4</v>
      </c>
      <c r="I1929">
        <v>2</v>
      </c>
      <c r="J1929" t="b">
        <f>AND(CCData[[#This Row],[Date]]&gt;=Calculation!$E$3,CCData[[#This Row],[Date]]&lt;Calculation!$E$3+7)</f>
        <v>0</v>
      </c>
    </row>
    <row r="1930" spans="1:10">
      <c r="A1930" t="s">
        <v>1929</v>
      </c>
      <c r="B1930" s="2">
        <v>42038.576000000001</v>
      </c>
      <c r="C1930" s="3" t="s">
        <v>5009</v>
      </c>
      <c r="D1930" t="s">
        <v>5014</v>
      </c>
      <c r="E1930" t="s">
        <v>5018</v>
      </c>
      <c r="F1930" t="s">
        <v>5018</v>
      </c>
      <c r="G1930">
        <v>72</v>
      </c>
      <c r="H1930" s="5">
        <v>3.5644258210226244E-3</v>
      </c>
      <c r="I1930">
        <v>2</v>
      </c>
      <c r="J1930" t="b">
        <f>AND(CCData[[#This Row],[Date]]&gt;=Calculation!$E$3,CCData[[#This Row],[Date]]&lt;Calculation!$E$3+7)</f>
        <v>0</v>
      </c>
    </row>
    <row r="1931" spans="1:10">
      <c r="A1931" t="s">
        <v>1930</v>
      </c>
      <c r="B1931" s="2">
        <v>42038.576000000001</v>
      </c>
      <c r="C1931" s="3" t="s">
        <v>5006</v>
      </c>
      <c r="D1931" t="s">
        <v>5012</v>
      </c>
      <c r="E1931" t="s">
        <v>5018</v>
      </c>
      <c r="F1931" t="s">
        <v>5018</v>
      </c>
      <c r="G1931">
        <v>30</v>
      </c>
      <c r="H1931" s="5">
        <v>3.5284662882679617E-3</v>
      </c>
      <c r="I1931">
        <v>4</v>
      </c>
      <c r="J1931" t="b">
        <f>AND(CCData[[#This Row],[Date]]&gt;=Calculation!$E$3,CCData[[#This Row],[Date]]&lt;Calculation!$E$3+7)</f>
        <v>0</v>
      </c>
    </row>
    <row r="1932" spans="1:10">
      <c r="A1932" t="s">
        <v>1931</v>
      </c>
      <c r="B1932" s="2">
        <v>42038.576999999997</v>
      </c>
      <c r="C1932" s="3" t="s">
        <v>5008</v>
      </c>
      <c r="D1932" t="s">
        <v>5013</v>
      </c>
      <c r="E1932" t="s">
        <v>5018</v>
      </c>
      <c r="F1932" t="s">
        <v>5018</v>
      </c>
      <c r="G1932">
        <v>58</v>
      </c>
      <c r="H1932" s="5">
        <v>7.3265527718172194E-4</v>
      </c>
      <c r="I1932">
        <v>4</v>
      </c>
      <c r="J1932" t="b">
        <f>AND(CCData[[#This Row],[Date]]&gt;=Calculation!$E$3,CCData[[#This Row],[Date]]&lt;Calculation!$E$3+7)</f>
        <v>0</v>
      </c>
    </row>
    <row r="1933" spans="1:10">
      <c r="A1933" t="s">
        <v>1932</v>
      </c>
      <c r="B1933" s="2">
        <v>42038.576999999997</v>
      </c>
      <c r="C1933" s="3" t="s">
        <v>5009</v>
      </c>
      <c r="D1933" t="s">
        <v>5012</v>
      </c>
      <c r="E1933" t="s">
        <v>5018</v>
      </c>
      <c r="F1933" t="s">
        <v>5018</v>
      </c>
      <c r="G1933">
        <v>57</v>
      </c>
      <c r="H1933" s="5">
        <v>1.4260379862297225E-3</v>
      </c>
      <c r="I1933">
        <v>1</v>
      </c>
      <c r="J1933" t="b">
        <f>AND(CCData[[#This Row],[Date]]&gt;=Calculation!$E$3,CCData[[#This Row],[Date]]&lt;Calculation!$E$3+7)</f>
        <v>0</v>
      </c>
    </row>
    <row r="1934" spans="1:10">
      <c r="A1934" t="s">
        <v>1933</v>
      </c>
      <c r="B1934" s="2">
        <v>42038.614999999998</v>
      </c>
      <c r="C1934" s="3" t="s">
        <v>5005</v>
      </c>
      <c r="D1934" t="s">
        <v>5013</v>
      </c>
      <c r="E1934" t="s">
        <v>5018</v>
      </c>
      <c r="F1934" t="s">
        <v>5018</v>
      </c>
      <c r="G1934">
        <v>113</v>
      </c>
      <c r="H1934" s="5">
        <v>4.7410908166297212E-3</v>
      </c>
      <c r="I1934">
        <v>4</v>
      </c>
      <c r="J1934" t="b">
        <f>AND(CCData[[#This Row],[Date]]&gt;=Calculation!$E$3,CCData[[#This Row],[Date]]&lt;Calculation!$E$3+7)</f>
        <v>0</v>
      </c>
    </row>
    <row r="1935" spans="1:10">
      <c r="A1935" t="s">
        <v>1934</v>
      </c>
      <c r="B1935" s="2">
        <v>42038.614999999998</v>
      </c>
      <c r="C1935" s="3" t="s">
        <v>5004</v>
      </c>
      <c r="D1935" t="s">
        <v>5014</v>
      </c>
      <c r="E1935" t="s">
        <v>5018</v>
      </c>
      <c r="F1935" t="s">
        <v>5018</v>
      </c>
      <c r="G1935">
        <v>59</v>
      </c>
      <c r="H1935" s="5">
        <v>4.8483342386192157E-3</v>
      </c>
      <c r="I1935">
        <v>1</v>
      </c>
      <c r="J1935" t="b">
        <f>AND(CCData[[#This Row],[Date]]&gt;=Calculation!$E$3,CCData[[#This Row],[Date]]&lt;Calculation!$E$3+7)</f>
        <v>0</v>
      </c>
    </row>
    <row r="1936" spans="1:10">
      <c r="A1936" t="s">
        <v>1935</v>
      </c>
      <c r="B1936" s="2">
        <v>42038.624000000003</v>
      </c>
      <c r="C1936" s="3" t="s">
        <v>5009</v>
      </c>
      <c r="D1936" t="s">
        <v>5013</v>
      </c>
      <c r="E1936" t="s">
        <v>5018</v>
      </c>
      <c r="F1936" t="s">
        <v>5019</v>
      </c>
      <c r="G1936">
        <v>121</v>
      </c>
      <c r="H1936" s="5">
        <v>9.7674308983861416E-4</v>
      </c>
      <c r="I1936">
        <v>4</v>
      </c>
      <c r="J1936" t="b">
        <f>AND(CCData[[#This Row],[Date]]&gt;=Calculation!$E$3,CCData[[#This Row],[Date]]&lt;Calculation!$E$3+7)</f>
        <v>0</v>
      </c>
    </row>
    <row r="1937" spans="1:10">
      <c r="A1937" t="s">
        <v>1936</v>
      </c>
      <c r="B1937" s="2">
        <v>42038.624000000003</v>
      </c>
      <c r="C1937" s="3" t="s">
        <v>5008</v>
      </c>
      <c r="D1937" t="s">
        <v>5015</v>
      </c>
      <c r="E1937" t="s">
        <v>5018</v>
      </c>
      <c r="F1937" t="s">
        <v>5018</v>
      </c>
      <c r="G1937">
        <v>78</v>
      </c>
      <c r="H1937" s="5">
        <v>7.6954471725217252E-4</v>
      </c>
      <c r="I1937">
        <v>3</v>
      </c>
      <c r="J1937" t="b">
        <f>AND(CCData[[#This Row],[Date]]&gt;=Calculation!$E$3,CCData[[#This Row],[Date]]&lt;Calculation!$E$3+7)</f>
        <v>0</v>
      </c>
    </row>
    <row r="1938" spans="1:10">
      <c r="A1938" t="s">
        <v>1937</v>
      </c>
      <c r="B1938" s="2">
        <v>42038.642</v>
      </c>
      <c r="C1938" s="3" t="s">
        <v>5006</v>
      </c>
      <c r="D1938" t="s">
        <v>5012</v>
      </c>
      <c r="E1938" t="s">
        <v>5018</v>
      </c>
      <c r="F1938" t="s">
        <v>5018</v>
      </c>
      <c r="G1938">
        <v>66</v>
      </c>
      <c r="H1938" s="5">
        <v>3.8060476013413633E-3</v>
      </c>
      <c r="I1938">
        <v>5</v>
      </c>
      <c r="J1938" t="b">
        <f>AND(CCData[[#This Row],[Date]]&gt;=Calculation!$E$3,CCData[[#This Row],[Date]]&lt;Calculation!$E$3+7)</f>
        <v>0</v>
      </c>
    </row>
    <row r="1939" spans="1:10">
      <c r="A1939" t="s">
        <v>1938</v>
      </c>
      <c r="B1939" s="2">
        <v>42038.642</v>
      </c>
      <c r="C1939" s="3" t="s">
        <v>5007</v>
      </c>
      <c r="D1939" t="s">
        <v>5015</v>
      </c>
      <c r="E1939" t="s">
        <v>5018</v>
      </c>
      <c r="F1939" t="s">
        <v>5018</v>
      </c>
      <c r="G1939">
        <v>10</v>
      </c>
      <c r="H1939" s="5">
        <v>3.4989392958974558E-3</v>
      </c>
      <c r="I1939">
        <v>4</v>
      </c>
      <c r="J1939" t="b">
        <f>AND(CCData[[#This Row],[Date]]&gt;=Calculation!$E$3,CCData[[#This Row],[Date]]&lt;Calculation!$E$3+7)</f>
        <v>0</v>
      </c>
    </row>
    <row r="1940" spans="1:10">
      <c r="A1940" t="s">
        <v>1939</v>
      </c>
      <c r="B1940" s="2">
        <v>42038.648999999998</v>
      </c>
      <c r="C1940" s="3" t="s">
        <v>5007</v>
      </c>
      <c r="D1940" t="s">
        <v>5012</v>
      </c>
      <c r="E1940" t="s">
        <v>5018</v>
      </c>
      <c r="F1940" t="s">
        <v>5018</v>
      </c>
      <c r="G1940">
        <v>15</v>
      </c>
      <c r="H1940" s="5">
        <v>2.9718946590092154E-3</v>
      </c>
      <c r="I1940">
        <v>1</v>
      </c>
      <c r="J1940" t="b">
        <f>AND(CCData[[#This Row],[Date]]&gt;=Calculation!$E$3,CCData[[#This Row],[Date]]&lt;Calculation!$E$3+7)</f>
        <v>0</v>
      </c>
    </row>
    <row r="1941" spans="1:10">
      <c r="A1941" t="s">
        <v>1940</v>
      </c>
      <c r="B1941" s="2">
        <v>42038.648999999998</v>
      </c>
      <c r="C1941" s="3" t="s">
        <v>5006</v>
      </c>
      <c r="D1941" t="s">
        <v>5013</v>
      </c>
      <c r="E1941" t="s">
        <v>5018</v>
      </c>
      <c r="F1941" t="s">
        <v>5018</v>
      </c>
      <c r="G1941">
        <v>81</v>
      </c>
      <c r="H1941" s="5">
        <v>4.0688210243839604E-3</v>
      </c>
      <c r="I1941">
        <v>4</v>
      </c>
      <c r="J1941" t="b">
        <f>AND(CCData[[#This Row],[Date]]&gt;=Calculation!$E$3,CCData[[#This Row],[Date]]&lt;Calculation!$E$3+7)</f>
        <v>0</v>
      </c>
    </row>
    <row r="1942" spans="1:10">
      <c r="A1942" t="s">
        <v>1941</v>
      </c>
      <c r="B1942" s="2">
        <v>42038.688999999998</v>
      </c>
      <c r="C1942" s="3" t="s">
        <v>5004</v>
      </c>
      <c r="D1942" t="s">
        <v>5016</v>
      </c>
      <c r="E1942" t="s">
        <v>5018</v>
      </c>
      <c r="F1942" t="s">
        <v>5019</v>
      </c>
      <c r="G1942">
        <v>115</v>
      </c>
      <c r="H1942" s="5">
        <v>2.2658183798277215E-3</v>
      </c>
      <c r="I1942">
        <v>3</v>
      </c>
      <c r="J1942" t="b">
        <f>AND(CCData[[#This Row],[Date]]&gt;=Calculation!$E$3,CCData[[#This Row],[Date]]&lt;Calculation!$E$3+7)</f>
        <v>0</v>
      </c>
    </row>
    <row r="1943" spans="1:10">
      <c r="A1943" t="s">
        <v>1942</v>
      </c>
      <c r="B1943" s="2">
        <v>42038.688999999998</v>
      </c>
      <c r="C1943" s="3" t="s">
        <v>5009</v>
      </c>
      <c r="D1943" t="s">
        <v>5012</v>
      </c>
      <c r="E1943" t="s">
        <v>5018</v>
      </c>
      <c r="F1943" t="s">
        <v>5018</v>
      </c>
      <c r="G1943">
        <v>17</v>
      </c>
      <c r="H1943" s="5">
        <v>7.2655043548811103E-4</v>
      </c>
      <c r="I1943">
        <v>3</v>
      </c>
      <c r="J1943" t="b">
        <f>AND(CCData[[#This Row],[Date]]&gt;=Calculation!$E$3,CCData[[#This Row],[Date]]&lt;Calculation!$E$3+7)</f>
        <v>0</v>
      </c>
    </row>
    <row r="1944" spans="1:10">
      <c r="A1944" t="s">
        <v>1943</v>
      </c>
      <c r="B1944" s="2">
        <v>42038.694000000003</v>
      </c>
      <c r="C1944" s="3" t="s">
        <v>5003</v>
      </c>
      <c r="D1944" t="s">
        <v>5016</v>
      </c>
      <c r="E1944" t="s">
        <v>5018</v>
      </c>
      <c r="F1944" t="s">
        <v>5018</v>
      </c>
      <c r="G1944">
        <v>20</v>
      </c>
      <c r="H1944" s="5">
        <v>2.1501861956673574E-3</v>
      </c>
      <c r="I1944">
        <v>4</v>
      </c>
      <c r="J1944" t="b">
        <f>AND(CCData[[#This Row],[Date]]&gt;=Calculation!$E$3,CCData[[#This Row],[Date]]&lt;Calculation!$E$3+7)</f>
        <v>0</v>
      </c>
    </row>
    <row r="1945" spans="1:10">
      <c r="A1945" t="s">
        <v>1944</v>
      </c>
      <c r="B1945" s="2">
        <v>42038.694000000003</v>
      </c>
      <c r="C1945" s="3" t="s">
        <v>5010</v>
      </c>
      <c r="D1945" t="s">
        <v>5015</v>
      </c>
      <c r="E1945" t="s">
        <v>5018</v>
      </c>
      <c r="F1945" t="s">
        <v>5018</v>
      </c>
      <c r="G1945">
        <v>26</v>
      </c>
      <c r="H1945" s="5">
        <v>2.800975714434628E-3</v>
      </c>
      <c r="I1945">
        <v>3</v>
      </c>
      <c r="J1945" t="b">
        <f>AND(CCData[[#This Row],[Date]]&gt;=Calculation!$E$3,CCData[[#This Row],[Date]]&lt;Calculation!$E$3+7)</f>
        <v>0</v>
      </c>
    </row>
    <row r="1946" spans="1:10">
      <c r="A1946" t="s">
        <v>1945</v>
      </c>
      <c r="B1946" s="2">
        <v>42038.7</v>
      </c>
      <c r="C1946" s="3" t="s">
        <v>5009</v>
      </c>
      <c r="D1946" t="s">
        <v>5014</v>
      </c>
      <c r="E1946" t="s">
        <v>5018</v>
      </c>
      <c r="F1946" t="s">
        <v>5018</v>
      </c>
      <c r="G1946">
        <v>98</v>
      </c>
      <c r="H1946" s="5">
        <v>2.1772973602336904E-3</v>
      </c>
      <c r="I1946">
        <v>5</v>
      </c>
      <c r="J1946" t="b">
        <f>AND(CCData[[#This Row],[Date]]&gt;=Calculation!$E$3,CCData[[#This Row],[Date]]&lt;Calculation!$E$3+7)</f>
        <v>0</v>
      </c>
    </row>
    <row r="1947" spans="1:10">
      <c r="A1947" t="s">
        <v>1946</v>
      </c>
      <c r="B1947" s="2">
        <v>42038.7</v>
      </c>
      <c r="C1947" s="3" t="s">
        <v>5008</v>
      </c>
      <c r="D1947" t="s">
        <v>5014</v>
      </c>
      <c r="E1947" t="s">
        <v>5018</v>
      </c>
      <c r="F1947" t="s">
        <v>5018</v>
      </c>
      <c r="G1947">
        <v>53</v>
      </c>
      <c r="H1947" s="5">
        <v>1.8742914507027572E-3</v>
      </c>
      <c r="I1947">
        <v>3</v>
      </c>
      <c r="J1947" t="b">
        <f>AND(CCData[[#This Row],[Date]]&gt;=Calculation!$E$3,CCData[[#This Row],[Date]]&lt;Calculation!$E$3+7)</f>
        <v>0</v>
      </c>
    </row>
    <row r="1948" spans="1:10">
      <c r="A1948" t="s">
        <v>1947</v>
      </c>
      <c r="B1948" s="2">
        <v>42038.707000000002</v>
      </c>
      <c r="C1948" s="3" t="s">
        <v>5005</v>
      </c>
      <c r="D1948" t="s">
        <v>5015</v>
      </c>
      <c r="E1948" t="s">
        <v>5018</v>
      </c>
      <c r="F1948" t="s">
        <v>5018</v>
      </c>
      <c r="G1948">
        <v>14</v>
      </c>
      <c r="H1948" s="5">
        <v>3.8894828787205352E-3</v>
      </c>
      <c r="I1948">
        <v>4</v>
      </c>
      <c r="J1948" t="b">
        <f>AND(CCData[[#This Row],[Date]]&gt;=Calculation!$E$3,CCData[[#This Row],[Date]]&lt;Calculation!$E$3+7)</f>
        <v>0</v>
      </c>
    </row>
    <row r="1949" spans="1:10">
      <c r="A1949" t="s">
        <v>1948</v>
      </c>
      <c r="B1949" s="2">
        <v>42038.707000000002</v>
      </c>
      <c r="C1949" s="3" t="s">
        <v>5003</v>
      </c>
      <c r="D1949" t="s">
        <v>5016</v>
      </c>
      <c r="E1949" t="s">
        <v>5019</v>
      </c>
      <c r="F1949" t="s">
        <v>5019</v>
      </c>
      <c r="G1949" t="s">
        <v>5022</v>
      </c>
      <c r="H1949" s="5" t="s">
        <v>5022</v>
      </c>
      <c r="I1949" t="s">
        <v>5022</v>
      </c>
      <c r="J1949" t="b">
        <f>AND(CCData[[#This Row],[Date]]&gt;=Calculation!$E$3,CCData[[#This Row],[Date]]&lt;Calculation!$E$3+7)</f>
        <v>0</v>
      </c>
    </row>
    <row r="1950" spans="1:10">
      <c r="A1950" t="s">
        <v>1949</v>
      </c>
      <c r="B1950" s="2">
        <v>42038.711000000003</v>
      </c>
      <c r="C1950" s="3" t="s">
        <v>5006</v>
      </c>
      <c r="D1950" t="s">
        <v>5016</v>
      </c>
      <c r="E1950" t="s">
        <v>5018</v>
      </c>
      <c r="F1950" t="s">
        <v>5018</v>
      </c>
      <c r="G1950">
        <v>47</v>
      </c>
      <c r="H1950" s="5">
        <v>2.8925388892977384E-3</v>
      </c>
      <c r="I1950">
        <v>3</v>
      </c>
      <c r="J1950" t="b">
        <f>AND(CCData[[#This Row],[Date]]&gt;=Calculation!$E$3,CCData[[#This Row],[Date]]&lt;Calculation!$E$3+7)</f>
        <v>0</v>
      </c>
    </row>
    <row r="1951" spans="1:10">
      <c r="A1951" t="s">
        <v>1950</v>
      </c>
      <c r="B1951" s="2">
        <v>42038.711000000003</v>
      </c>
      <c r="C1951" s="3" t="s">
        <v>5005</v>
      </c>
      <c r="D1951" t="s">
        <v>5014</v>
      </c>
      <c r="E1951" t="s">
        <v>5019</v>
      </c>
      <c r="F1951" t="s">
        <v>5019</v>
      </c>
      <c r="G1951" t="s">
        <v>5022</v>
      </c>
      <c r="H1951" s="5" t="s">
        <v>5022</v>
      </c>
      <c r="I1951" t="s">
        <v>5022</v>
      </c>
      <c r="J1951" t="b">
        <f>AND(CCData[[#This Row],[Date]]&gt;=Calculation!$E$3,CCData[[#This Row],[Date]]&lt;Calculation!$E$3+7)</f>
        <v>0</v>
      </c>
    </row>
    <row r="1952" spans="1:10">
      <c r="A1952" t="s">
        <v>1951</v>
      </c>
      <c r="B1952" s="2">
        <v>42038.713000000003</v>
      </c>
      <c r="C1952" s="3" t="s">
        <v>5005</v>
      </c>
      <c r="D1952" t="s">
        <v>5014</v>
      </c>
      <c r="E1952" t="s">
        <v>5018</v>
      </c>
      <c r="F1952" t="s">
        <v>5018</v>
      </c>
      <c r="G1952">
        <v>109</v>
      </c>
      <c r="H1952" s="5">
        <v>9.6512423509021426E-4</v>
      </c>
      <c r="I1952">
        <v>5</v>
      </c>
      <c r="J1952" t="b">
        <f>AND(CCData[[#This Row],[Date]]&gt;=Calculation!$E$3,CCData[[#This Row],[Date]]&lt;Calculation!$E$3+7)</f>
        <v>0</v>
      </c>
    </row>
    <row r="1953" spans="1:10">
      <c r="A1953" t="s">
        <v>1952</v>
      </c>
      <c r="B1953" s="2">
        <v>42038.713000000003</v>
      </c>
      <c r="C1953" s="3" t="s">
        <v>5006</v>
      </c>
      <c r="D1953" t="s">
        <v>5013</v>
      </c>
      <c r="E1953" t="s">
        <v>5018</v>
      </c>
      <c r="F1953" t="s">
        <v>5018</v>
      </c>
      <c r="G1953">
        <v>82</v>
      </c>
      <c r="H1953" s="5">
        <v>2.8696974262206049E-3</v>
      </c>
      <c r="I1953">
        <v>1</v>
      </c>
      <c r="J1953" t="b">
        <f>AND(CCData[[#This Row],[Date]]&gt;=Calculation!$E$3,CCData[[#This Row],[Date]]&lt;Calculation!$E$3+7)</f>
        <v>0</v>
      </c>
    </row>
    <row r="1954" spans="1:10">
      <c r="A1954" t="s">
        <v>1953</v>
      </c>
      <c r="B1954" s="2">
        <v>42038.739000000001</v>
      </c>
      <c r="C1954" s="3" t="s">
        <v>5010</v>
      </c>
      <c r="D1954" t="s">
        <v>5013</v>
      </c>
      <c r="E1954" t="s">
        <v>5018</v>
      </c>
      <c r="F1954" t="s">
        <v>5018</v>
      </c>
      <c r="G1954">
        <v>58</v>
      </c>
      <c r="H1954" s="5">
        <v>3.4518877558627719E-3</v>
      </c>
      <c r="I1954">
        <v>3</v>
      </c>
      <c r="J1954" t="b">
        <f>AND(CCData[[#This Row],[Date]]&gt;=Calculation!$E$3,CCData[[#This Row],[Date]]&lt;Calculation!$E$3+7)</f>
        <v>0</v>
      </c>
    </row>
    <row r="1955" spans="1:10">
      <c r="A1955" t="s">
        <v>1954</v>
      </c>
      <c r="B1955" s="2">
        <v>42038.739000000001</v>
      </c>
      <c r="C1955" s="3" t="s">
        <v>5006</v>
      </c>
      <c r="D1955" t="s">
        <v>5015</v>
      </c>
      <c r="E1955" t="s">
        <v>5018</v>
      </c>
      <c r="F1955" t="s">
        <v>5018</v>
      </c>
      <c r="G1955">
        <v>94</v>
      </c>
      <c r="H1955" s="5">
        <v>2.7011842036287776E-3</v>
      </c>
      <c r="I1955">
        <v>2</v>
      </c>
      <c r="J1955" t="b">
        <f>AND(CCData[[#This Row],[Date]]&gt;=Calculation!$E$3,CCData[[#This Row],[Date]]&lt;Calculation!$E$3+7)</f>
        <v>0</v>
      </c>
    </row>
    <row r="1956" spans="1:10">
      <c r="A1956" t="s">
        <v>1955</v>
      </c>
      <c r="B1956" s="2">
        <v>42039.383000000002</v>
      </c>
      <c r="C1956" s="3" t="s">
        <v>5006</v>
      </c>
      <c r="D1956" t="s">
        <v>5015</v>
      </c>
      <c r="E1956" t="s">
        <v>5019</v>
      </c>
      <c r="F1956" t="s">
        <v>5019</v>
      </c>
      <c r="G1956" t="s">
        <v>5022</v>
      </c>
      <c r="H1956" s="5" t="s">
        <v>5022</v>
      </c>
      <c r="I1956" t="s">
        <v>5022</v>
      </c>
      <c r="J1956" t="b">
        <f>AND(CCData[[#This Row],[Date]]&gt;=Calculation!$E$3,CCData[[#This Row],[Date]]&lt;Calculation!$E$3+7)</f>
        <v>0</v>
      </c>
    </row>
    <row r="1957" spans="1:10">
      <c r="A1957" t="s">
        <v>1956</v>
      </c>
      <c r="B1957" s="2">
        <v>42039.383000000002</v>
      </c>
      <c r="C1957" s="3" t="s">
        <v>5010</v>
      </c>
      <c r="D1957" t="s">
        <v>5016</v>
      </c>
      <c r="E1957" t="s">
        <v>5018</v>
      </c>
      <c r="F1957" t="s">
        <v>5018</v>
      </c>
      <c r="G1957">
        <v>32</v>
      </c>
      <c r="H1957" s="5">
        <v>4.7733772691808856E-3</v>
      </c>
      <c r="I1957">
        <v>4</v>
      </c>
      <c r="J1957" t="b">
        <f>AND(CCData[[#This Row],[Date]]&gt;=Calculation!$E$3,CCData[[#This Row],[Date]]&lt;Calculation!$E$3+7)</f>
        <v>0</v>
      </c>
    </row>
    <row r="1958" spans="1:10">
      <c r="A1958" t="s">
        <v>1957</v>
      </c>
      <c r="B1958" s="2">
        <v>42039.4</v>
      </c>
      <c r="C1958" s="3" t="s">
        <v>5005</v>
      </c>
      <c r="D1958" t="s">
        <v>5012</v>
      </c>
      <c r="E1958" t="s">
        <v>5018</v>
      </c>
      <c r="F1958" t="s">
        <v>5018</v>
      </c>
      <c r="G1958">
        <v>102</v>
      </c>
      <c r="H1958" s="5">
        <v>3.7217658908520563E-3</v>
      </c>
      <c r="I1958">
        <v>4</v>
      </c>
      <c r="J1958" t="b">
        <f>AND(CCData[[#This Row],[Date]]&gt;=Calculation!$E$3,CCData[[#This Row],[Date]]&lt;Calculation!$E$3+7)</f>
        <v>0</v>
      </c>
    </row>
    <row r="1959" spans="1:10">
      <c r="A1959" t="s">
        <v>1958</v>
      </c>
      <c r="B1959" s="2">
        <v>42039.4</v>
      </c>
      <c r="C1959" s="3" t="s">
        <v>5003</v>
      </c>
      <c r="D1959" t="s">
        <v>5013</v>
      </c>
      <c r="E1959" t="s">
        <v>5019</v>
      </c>
      <c r="F1959" t="s">
        <v>5019</v>
      </c>
      <c r="G1959" t="s">
        <v>5022</v>
      </c>
      <c r="H1959" s="5" t="s">
        <v>5022</v>
      </c>
      <c r="I1959" t="s">
        <v>5022</v>
      </c>
      <c r="J1959" t="b">
        <f>AND(CCData[[#This Row],[Date]]&gt;=Calculation!$E$3,CCData[[#This Row],[Date]]&lt;Calculation!$E$3+7)</f>
        <v>0</v>
      </c>
    </row>
    <row r="1960" spans="1:10">
      <c r="A1960" t="s">
        <v>1959</v>
      </c>
      <c r="B1960" s="2">
        <v>42039.413999999997</v>
      </c>
      <c r="C1960" s="3" t="s">
        <v>5009</v>
      </c>
      <c r="D1960" t="s">
        <v>5015</v>
      </c>
      <c r="E1960" t="s">
        <v>5019</v>
      </c>
      <c r="F1960" t="s">
        <v>5019</v>
      </c>
      <c r="G1960" t="s">
        <v>5022</v>
      </c>
      <c r="H1960" s="5" t="s">
        <v>5022</v>
      </c>
      <c r="I1960" t="s">
        <v>5022</v>
      </c>
      <c r="J1960" t="b">
        <f>AND(CCData[[#This Row],[Date]]&gt;=Calculation!$E$3,CCData[[#This Row],[Date]]&lt;Calculation!$E$3+7)</f>
        <v>0</v>
      </c>
    </row>
    <row r="1961" spans="1:10">
      <c r="A1961" t="s">
        <v>1960</v>
      </c>
      <c r="B1961" s="2">
        <v>42039.413999999997</v>
      </c>
      <c r="C1961" s="3" t="s">
        <v>5010</v>
      </c>
      <c r="D1961" t="s">
        <v>5012</v>
      </c>
      <c r="E1961" t="s">
        <v>5018</v>
      </c>
      <c r="F1961" t="s">
        <v>5018</v>
      </c>
      <c r="G1961">
        <v>36</v>
      </c>
      <c r="H1961" s="5">
        <v>4.6915904336666736E-3</v>
      </c>
      <c r="I1961">
        <v>1</v>
      </c>
      <c r="J1961" t="b">
        <f>AND(CCData[[#This Row],[Date]]&gt;=Calculation!$E$3,CCData[[#This Row],[Date]]&lt;Calculation!$E$3+7)</f>
        <v>0</v>
      </c>
    </row>
    <row r="1962" spans="1:10">
      <c r="A1962" t="s">
        <v>1961</v>
      </c>
      <c r="B1962" s="2">
        <v>42039.42</v>
      </c>
      <c r="C1962" s="3" t="s">
        <v>5006</v>
      </c>
      <c r="D1962" t="s">
        <v>5014</v>
      </c>
      <c r="E1962" t="s">
        <v>5018</v>
      </c>
      <c r="F1962" t="s">
        <v>5018</v>
      </c>
      <c r="G1962">
        <v>41</v>
      </c>
      <c r="H1962" s="5">
        <v>4.0094265871891358E-3</v>
      </c>
      <c r="I1962">
        <v>5</v>
      </c>
      <c r="J1962" t="b">
        <f>AND(CCData[[#This Row],[Date]]&gt;=Calculation!$E$3,CCData[[#This Row],[Date]]&lt;Calculation!$E$3+7)</f>
        <v>0</v>
      </c>
    </row>
    <row r="1963" spans="1:10">
      <c r="A1963" t="s">
        <v>1962</v>
      </c>
      <c r="B1963" s="2">
        <v>42039.42</v>
      </c>
      <c r="C1963" s="3" t="s">
        <v>5006</v>
      </c>
      <c r="D1963" t="s">
        <v>5013</v>
      </c>
      <c r="E1963" t="s">
        <v>5018</v>
      </c>
      <c r="F1963" t="s">
        <v>5018</v>
      </c>
      <c r="G1963">
        <v>117</v>
      </c>
      <c r="H1963" s="5">
        <v>4.8234205285232366E-3</v>
      </c>
      <c r="I1963">
        <v>5</v>
      </c>
      <c r="J1963" t="b">
        <f>AND(CCData[[#This Row],[Date]]&gt;=Calculation!$E$3,CCData[[#This Row],[Date]]&lt;Calculation!$E$3+7)</f>
        <v>0</v>
      </c>
    </row>
    <row r="1964" spans="1:10">
      <c r="A1964" t="s">
        <v>1963</v>
      </c>
      <c r="B1964" s="2">
        <v>42039.423000000003</v>
      </c>
      <c r="C1964" s="3" t="s">
        <v>5003</v>
      </c>
      <c r="D1964" t="s">
        <v>5015</v>
      </c>
      <c r="E1964" t="s">
        <v>5018</v>
      </c>
      <c r="F1964" t="s">
        <v>5018</v>
      </c>
      <c r="G1964">
        <v>118</v>
      </c>
      <c r="H1964" s="5">
        <v>5.126671784422927E-4</v>
      </c>
      <c r="I1964">
        <v>5</v>
      </c>
      <c r="J1964" t="b">
        <f>AND(CCData[[#This Row],[Date]]&gt;=Calculation!$E$3,CCData[[#This Row],[Date]]&lt;Calculation!$E$3+7)</f>
        <v>0</v>
      </c>
    </row>
    <row r="1965" spans="1:10">
      <c r="A1965" t="s">
        <v>1964</v>
      </c>
      <c r="B1965" s="2">
        <v>42039.423000000003</v>
      </c>
      <c r="C1965" s="3" t="s">
        <v>5006</v>
      </c>
      <c r="D1965" t="s">
        <v>5015</v>
      </c>
      <c r="E1965" t="s">
        <v>5018</v>
      </c>
      <c r="F1965" t="s">
        <v>5018</v>
      </c>
      <c r="G1965">
        <v>41</v>
      </c>
      <c r="H1965" s="5">
        <v>3.754253309382791E-3</v>
      </c>
      <c r="I1965">
        <v>3</v>
      </c>
      <c r="J1965" t="b">
        <f>AND(CCData[[#This Row],[Date]]&gt;=Calculation!$E$3,CCData[[#This Row],[Date]]&lt;Calculation!$E$3+7)</f>
        <v>0</v>
      </c>
    </row>
    <row r="1966" spans="1:10">
      <c r="A1966" t="s">
        <v>1965</v>
      </c>
      <c r="B1966" s="2">
        <v>42039.428</v>
      </c>
      <c r="C1966" s="3" t="s">
        <v>5006</v>
      </c>
      <c r="D1966" t="s">
        <v>5016</v>
      </c>
      <c r="E1966" t="s">
        <v>5018</v>
      </c>
      <c r="F1966" t="s">
        <v>5018</v>
      </c>
      <c r="G1966">
        <v>24</v>
      </c>
      <c r="H1966" s="5">
        <v>4.2501355573697627E-3</v>
      </c>
      <c r="I1966">
        <v>3</v>
      </c>
      <c r="J1966" t="b">
        <f>AND(CCData[[#This Row],[Date]]&gt;=Calculation!$E$3,CCData[[#This Row],[Date]]&lt;Calculation!$E$3+7)</f>
        <v>0</v>
      </c>
    </row>
    <row r="1967" spans="1:10">
      <c r="A1967" t="s">
        <v>1966</v>
      </c>
      <c r="B1967" s="2">
        <v>42039.428</v>
      </c>
      <c r="C1967" s="3" t="s">
        <v>5009</v>
      </c>
      <c r="D1967" t="s">
        <v>5012</v>
      </c>
      <c r="E1967" t="s">
        <v>5018</v>
      </c>
      <c r="F1967" t="s">
        <v>5018</v>
      </c>
      <c r="G1967">
        <v>105</v>
      </c>
      <c r="H1967" s="5">
        <v>1.4243550271097864E-3</v>
      </c>
      <c r="I1967">
        <v>4</v>
      </c>
      <c r="J1967" t="b">
        <f>AND(CCData[[#This Row],[Date]]&gt;=Calculation!$E$3,CCData[[#This Row],[Date]]&lt;Calculation!$E$3+7)</f>
        <v>0</v>
      </c>
    </row>
    <row r="1968" spans="1:10">
      <c r="A1968" t="s">
        <v>1967</v>
      </c>
      <c r="B1968" s="2">
        <v>42039.44</v>
      </c>
      <c r="C1968" s="3" t="s">
        <v>5003</v>
      </c>
      <c r="D1968" t="s">
        <v>5016</v>
      </c>
      <c r="E1968" t="s">
        <v>5019</v>
      </c>
      <c r="F1968" t="s">
        <v>5019</v>
      </c>
      <c r="G1968" t="s">
        <v>5022</v>
      </c>
      <c r="H1968" s="5" t="s">
        <v>5022</v>
      </c>
      <c r="I1968" t="s">
        <v>5022</v>
      </c>
      <c r="J1968" t="b">
        <f>AND(CCData[[#This Row],[Date]]&gt;=Calculation!$E$3,CCData[[#This Row],[Date]]&lt;Calculation!$E$3+7)</f>
        <v>0</v>
      </c>
    </row>
    <row r="1969" spans="1:10">
      <c r="A1969" t="s">
        <v>1968</v>
      </c>
      <c r="B1969" s="2">
        <v>42039.44</v>
      </c>
      <c r="C1969" s="3" t="s">
        <v>5004</v>
      </c>
      <c r="D1969" t="s">
        <v>5014</v>
      </c>
      <c r="E1969" t="s">
        <v>5018</v>
      </c>
      <c r="F1969" t="s">
        <v>5018</v>
      </c>
      <c r="G1969">
        <v>45</v>
      </c>
      <c r="H1969" s="5">
        <v>3.5218081002774695E-3</v>
      </c>
      <c r="I1969">
        <v>1</v>
      </c>
      <c r="J1969" t="b">
        <f>AND(CCData[[#This Row],[Date]]&gt;=Calculation!$E$3,CCData[[#This Row],[Date]]&lt;Calculation!$E$3+7)</f>
        <v>0</v>
      </c>
    </row>
    <row r="1970" spans="1:10">
      <c r="A1970" t="s">
        <v>1969</v>
      </c>
      <c r="B1970" s="2">
        <v>42039.457000000002</v>
      </c>
      <c r="C1970" s="3" t="s">
        <v>5004</v>
      </c>
      <c r="D1970" t="s">
        <v>5014</v>
      </c>
      <c r="E1970" t="s">
        <v>5018</v>
      </c>
      <c r="F1970" t="s">
        <v>5018</v>
      </c>
      <c r="G1970">
        <v>66</v>
      </c>
      <c r="H1970" s="5">
        <v>3.8375564541463275E-3</v>
      </c>
      <c r="I1970">
        <v>4</v>
      </c>
      <c r="J1970" t="b">
        <f>AND(CCData[[#This Row],[Date]]&gt;=Calculation!$E$3,CCData[[#This Row],[Date]]&lt;Calculation!$E$3+7)</f>
        <v>0</v>
      </c>
    </row>
    <row r="1971" spans="1:10">
      <c r="A1971" t="s">
        <v>1970</v>
      </c>
      <c r="B1971" s="2">
        <v>42039.457000000002</v>
      </c>
      <c r="C1971" s="3" t="s">
        <v>5008</v>
      </c>
      <c r="D1971" t="s">
        <v>5012</v>
      </c>
      <c r="E1971" t="s">
        <v>5018</v>
      </c>
      <c r="F1971" t="s">
        <v>5018</v>
      </c>
      <c r="G1971">
        <v>63</v>
      </c>
      <c r="H1971" s="5">
        <v>2.3970286276355662E-3</v>
      </c>
      <c r="I1971">
        <v>3</v>
      </c>
      <c r="J1971" t="b">
        <f>AND(CCData[[#This Row],[Date]]&gt;=Calculation!$E$3,CCData[[#This Row],[Date]]&lt;Calculation!$E$3+7)</f>
        <v>0</v>
      </c>
    </row>
    <row r="1972" spans="1:10">
      <c r="A1972" t="s">
        <v>1971</v>
      </c>
      <c r="B1972" s="2">
        <v>42039.46</v>
      </c>
      <c r="C1972" s="3" t="s">
        <v>5004</v>
      </c>
      <c r="D1972" t="s">
        <v>5015</v>
      </c>
      <c r="E1972" t="s">
        <v>5018</v>
      </c>
      <c r="F1972" t="s">
        <v>5018</v>
      </c>
      <c r="G1972">
        <v>11</v>
      </c>
      <c r="H1972" s="5">
        <v>1.5445315664010246E-3</v>
      </c>
      <c r="I1972">
        <v>4</v>
      </c>
      <c r="J1972" t="b">
        <f>AND(CCData[[#This Row],[Date]]&gt;=Calculation!$E$3,CCData[[#This Row],[Date]]&lt;Calculation!$E$3+7)</f>
        <v>0</v>
      </c>
    </row>
    <row r="1973" spans="1:10">
      <c r="A1973" t="s">
        <v>1972</v>
      </c>
      <c r="B1973" s="2">
        <v>42039.46</v>
      </c>
      <c r="C1973" s="3" t="s">
        <v>5007</v>
      </c>
      <c r="D1973" t="s">
        <v>5012</v>
      </c>
      <c r="E1973" t="s">
        <v>5019</v>
      </c>
      <c r="F1973" t="s">
        <v>5019</v>
      </c>
      <c r="G1973" t="s">
        <v>5022</v>
      </c>
      <c r="H1973" s="5" t="s">
        <v>5022</v>
      </c>
      <c r="I1973" t="s">
        <v>5022</v>
      </c>
      <c r="J1973" t="b">
        <f>AND(CCData[[#This Row],[Date]]&gt;=Calculation!$E$3,CCData[[#This Row],[Date]]&lt;Calculation!$E$3+7)</f>
        <v>0</v>
      </c>
    </row>
    <row r="1974" spans="1:10">
      <c r="A1974" t="s">
        <v>1973</v>
      </c>
      <c r="B1974" s="2">
        <v>42039.485999999997</v>
      </c>
      <c r="C1974" s="3" t="s">
        <v>5004</v>
      </c>
      <c r="D1974" t="s">
        <v>5012</v>
      </c>
      <c r="E1974" t="s">
        <v>5018</v>
      </c>
      <c r="F1974" t="s">
        <v>5018</v>
      </c>
      <c r="G1974">
        <v>31</v>
      </c>
      <c r="H1974" s="5">
        <v>4.8367174266970137E-4</v>
      </c>
      <c r="I1974">
        <v>3</v>
      </c>
      <c r="J1974" t="b">
        <f>AND(CCData[[#This Row],[Date]]&gt;=Calculation!$E$3,CCData[[#This Row],[Date]]&lt;Calculation!$E$3+7)</f>
        <v>0</v>
      </c>
    </row>
    <row r="1975" spans="1:10">
      <c r="A1975" t="s">
        <v>1974</v>
      </c>
      <c r="B1975" s="2">
        <v>42039.485999999997</v>
      </c>
      <c r="C1975" s="3" t="s">
        <v>5007</v>
      </c>
      <c r="D1975" t="s">
        <v>5015</v>
      </c>
      <c r="E1975" t="s">
        <v>5018</v>
      </c>
      <c r="F1975" t="s">
        <v>5018</v>
      </c>
      <c r="G1975">
        <v>60</v>
      </c>
      <c r="H1975" s="5">
        <v>2.7491475381647102E-3</v>
      </c>
      <c r="I1975">
        <v>5</v>
      </c>
      <c r="J1975" t="b">
        <f>AND(CCData[[#This Row],[Date]]&gt;=Calculation!$E$3,CCData[[#This Row],[Date]]&lt;Calculation!$E$3+7)</f>
        <v>0</v>
      </c>
    </row>
    <row r="1976" spans="1:10">
      <c r="A1976" t="s">
        <v>1975</v>
      </c>
      <c r="B1976" s="2">
        <v>42039.49</v>
      </c>
      <c r="C1976" s="3" t="s">
        <v>5008</v>
      </c>
      <c r="D1976" t="s">
        <v>5014</v>
      </c>
      <c r="E1976" t="s">
        <v>5019</v>
      </c>
      <c r="F1976" t="s">
        <v>5019</v>
      </c>
      <c r="G1976" t="s">
        <v>5022</v>
      </c>
      <c r="H1976" s="5" t="s">
        <v>5022</v>
      </c>
      <c r="I1976" t="s">
        <v>5022</v>
      </c>
      <c r="J1976" t="b">
        <f>AND(CCData[[#This Row],[Date]]&gt;=Calculation!$E$3,CCData[[#This Row],[Date]]&lt;Calculation!$E$3+7)</f>
        <v>0</v>
      </c>
    </row>
    <row r="1977" spans="1:10">
      <c r="A1977" t="s">
        <v>1976</v>
      </c>
      <c r="B1977" s="2">
        <v>42039.49</v>
      </c>
      <c r="C1977" s="3" t="s">
        <v>5005</v>
      </c>
      <c r="D1977" t="s">
        <v>5013</v>
      </c>
      <c r="E1977" t="s">
        <v>5019</v>
      </c>
      <c r="F1977" t="s">
        <v>5019</v>
      </c>
      <c r="G1977" t="s">
        <v>5022</v>
      </c>
      <c r="H1977" s="5" t="s">
        <v>5022</v>
      </c>
      <c r="I1977" t="s">
        <v>5022</v>
      </c>
      <c r="J1977" t="b">
        <f>AND(CCData[[#This Row],[Date]]&gt;=Calculation!$E$3,CCData[[#This Row],[Date]]&lt;Calculation!$E$3+7)</f>
        <v>0</v>
      </c>
    </row>
    <row r="1978" spans="1:10">
      <c r="A1978" t="s">
        <v>1977</v>
      </c>
      <c r="B1978" s="2">
        <v>42039.5</v>
      </c>
      <c r="C1978" s="3" t="s">
        <v>5005</v>
      </c>
      <c r="D1978" t="s">
        <v>5012</v>
      </c>
      <c r="E1978" t="s">
        <v>5018</v>
      </c>
      <c r="F1978" t="s">
        <v>5018</v>
      </c>
      <c r="G1978">
        <v>105</v>
      </c>
      <c r="H1978" s="5">
        <v>4.7535365104928529E-3</v>
      </c>
      <c r="I1978">
        <v>5</v>
      </c>
      <c r="J1978" t="b">
        <f>AND(CCData[[#This Row],[Date]]&gt;=Calculation!$E$3,CCData[[#This Row],[Date]]&lt;Calculation!$E$3+7)</f>
        <v>0</v>
      </c>
    </row>
    <row r="1979" spans="1:10">
      <c r="A1979" t="s">
        <v>1978</v>
      </c>
      <c r="B1979" s="2">
        <v>42039.5</v>
      </c>
      <c r="C1979" s="3" t="s">
        <v>5006</v>
      </c>
      <c r="D1979" t="s">
        <v>5016</v>
      </c>
      <c r="E1979" t="s">
        <v>5018</v>
      </c>
      <c r="F1979" t="s">
        <v>5018</v>
      </c>
      <c r="G1979">
        <v>109</v>
      </c>
      <c r="H1979" s="5">
        <v>1.0683062038353234E-3</v>
      </c>
      <c r="I1979">
        <v>5</v>
      </c>
      <c r="J1979" t="b">
        <f>AND(CCData[[#This Row],[Date]]&gt;=Calculation!$E$3,CCData[[#This Row],[Date]]&lt;Calculation!$E$3+7)</f>
        <v>0</v>
      </c>
    </row>
    <row r="1980" spans="1:10">
      <c r="A1980" t="s">
        <v>1979</v>
      </c>
      <c r="B1980" s="2">
        <v>42039.502999999997</v>
      </c>
      <c r="C1980" s="3" t="s">
        <v>5009</v>
      </c>
      <c r="D1980" t="s">
        <v>5014</v>
      </c>
      <c r="E1980" t="s">
        <v>5018</v>
      </c>
      <c r="F1980" t="s">
        <v>5018</v>
      </c>
      <c r="G1980">
        <v>120</v>
      </c>
      <c r="H1980" s="5">
        <v>2.1447649621605556E-3</v>
      </c>
      <c r="I1980">
        <v>3</v>
      </c>
      <c r="J1980" t="b">
        <f>AND(CCData[[#This Row],[Date]]&gt;=Calculation!$E$3,CCData[[#This Row],[Date]]&lt;Calculation!$E$3+7)</f>
        <v>0</v>
      </c>
    </row>
    <row r="1981" spans="1:10">
      <c r="A1981" t="s">
        <v>1980</v>
      </c>
      <c r="B1981" s="2">
        <v>42039.502999999997</v>
      </c>
      <c r="C1981" s="3" t="s">
        <v>5009</v>
      </c>
      <c r="D1981" t="s">
        <v>5014</v>
      </c>
      <c r="E1981" t="s">
        <v>5018</v>
      </c>
      <c r="F1981" t="s">
        <v>5018</v>
      </c>
      <c r="G1981">
        <v>61</v>
      </c>
      <c r="H1981" s="5">
        <v>3.2802792293064537E-3</v>
      </c>
      <c r="I1981">
        <v>3</v>
      </c>
      <c r="J1981" t="b">
        <f>AND(CCData[[#This Row],[Date]]&gt;=Calculation!$E$3,CCData[[#This Row],[Date]]&lt;Calculation!$E$3+7)</f>
        <v>0</v>
      </c>
    </row>
    <row r="1982" spans="1:10">
      <c r="A1982" t="s">
        <v>1981</v>
      </c>
      <c r="B1982" s="2">
        <v>42039.51</v>
      </c>
      <c r="C1982" s="3" t="s">
        <v>5005</v>
      </c>
      <c r="D1982" t="s">
        <v>5016</v>
      </c>
      <c r="E1982" t="s">
        <v>5018</v>
      </c>
      <c r="F1982" t="s">
        <v>5018</v>
      </c>
      <c r="G1982">
        <v>44</v>
      </c>
      <c r="H1982" s="5">
        <v>4.2030105312940646E-4</v>
      </c>
      <c r="I1982">
        <v>3</v>
      </c>
      <c r="J1982" t="b">
        <f>AND(CCData[[#This Row],[Date]]&gt;=Calculation!$E$3,CCData[[#This Row],[Date]]&lt;Calculation!$E$3+7)</f>
        <v>0</v>
      </c>
    </row>
    <row r="1983" spans="1:10">
      <c r="A1983" t="s">
        <v>1982</v>
      </c>
      <c r="B1983" s="2">
        <v>42039.51</v>
      </c>
      <c r="C1983" s="3" t="s">
        <v>5004</v>
      </c>
      <c r="D1983" t="s">
        <v>5015</v>
      </c>
      <c r="E1983" t="s">
        <v>5018</v>
      </c>
      <c r="F1983" t="s">
        <v>5018</v>
      </c>
      <c r="G1983">
        <v>17</v>
      </c>
      <c r="H1983" s="5">
        <v>3.9987201933589988E-3</v>
      </c>
      <c r="I1983">
        <v>4</v>
      </c>
      <c r="J1983" t="b">
        <f>AND(CCData[[#This Row],[Date]]&gt;=Calculation!$E$3,CCData[[#This Row],[Date]]&lt;Calculation!$E$3+7)</f>
        <v>0</v>
      </c>
    </row>
    <row r="1984" spans="1:10">
      <c r="A1984" t="s">
        <v>1983</v>
      </c>
      <c r="B1984" s="2">
        <v>42039.514000000003</v>
      </c>
      <c r="C1984" s="3" t="s">
        <v>5003</v>
      </c>
      <c r="D1984" t="s">
        <v>5016</v>
      </c>
      <c r="E1984" t="s">
        <v>5019</v>
      </c>
      <c r="F1984" t="s">
        <v>5019</v>
      </c>
      <c r="G1984" t="s">
        <v>5022</v>
      </c>
      <c r="H1984" s="5" t="s">
        <v>5022</v>
      </c>
      <c r="I1984" t="s">
        <v>5022</v>
      </c>
      <c r="J1984" t="b">
        <f>AND(CCData[[#This Row],[Date]]&gt;=Calculation!$E$3,CCData[[#This Row],[Date]]&lt;Calculation!$E$3+7)</f>
        <v>0</v>
      </c>
    </row>
    <row r="1985" spans="1:10">
      <c r="A1985" t="s">
        <v>1984</v>
      </c>
      <c r="B1985" s="2">
        <v>42039.514000000003</v>
      </c>
      <c r="C1985" s="3" t="s">
        <v>5005</v>
      </c>
      <c r="D1985" t="s">
        <v>5016</v>
      </c>
      <c r="E1985" t="s">
        <v>5018</v>
      </c>
      <c r="F1985" t="s">
        <v>5018</v>
      </c>
      <c r="G1985">
        <v>15</v>
      </c>
      <c r="H1985" s="5">
        <v>1.9478571189633722E-3</v>
      </c>
      <c r="I1985">
        <v>4</v>
      </c>
      <c r="J1985" t="b">
        <f>AND(CCData[[#This Row],[Date]]&gt;=Calculation!$E$3,CCData[[#This Row],[Date]]&lt;Calculation!$E$3+7)</f>
        <v>0</v>
      </c>
    </row>
    <row r="1986" spans="1:10">
      <c r="A1986" t="s">
        <v>1985</v>
      </c>
      <c r="B1986" s="2">
        <v>42039.514000000003</v>
      </c>
      <c r="C1986" s="3" t="s">
        <v>5009</v>
      </c>
      <c r="D1986" t="s">
        <v>5013</v>
      </c>
      <c r="E1986" t="s">
        <v>5018</v>
      </c>
      <c r="F1986" t="s">
        <v>5018</v>
      </c>
      <c r="G1986">
        <v>112</v>
      </c>
      <c r="H1986" s="5">
        <v>2.289348168693067E-3</v>
      </c>
      <c r="I1986">
        <v>4</v>
      </c>
      <c r="J1986" t="b">
        <f>AND(CCData[[#This Row],[Date]]&gt;=Calculation!$E$3,CCData[[#This Row],[Date]]&lt;Calculation!$E$3+7)</f>
        <v>0</v>
      </c>
    </row>
    <row r="1987" spans="1:10">
      <c r="A1987" t="s">
        <v>1986</v>
      </c>
      <c r="B1987" s="2">
        <v>42039.514000000003</v>
      </c>
      <c r="C1987" s="3" t="s">
        <v>5004</v>
      </c>
      <c r="D1987" t="s">
        <v>5013</v>
      </c>
      <c r="E1987" t="s">
        <v>5018</v>
      </c>
      <c r="F1987" t="s">
        <v>5018</v>
      </c>
      <c r="G1987">
        <v>119</v>
      </c>
      <c r="H1987" s="5">
        <v>3.0055829836118995E-3</v>
      </c>
      <c r="I1987">
        <v>3</v>
      </c>
      <c r="J1987" t="b">
        <f>AND(CCData[[#This Row],[Date]]&gt;=Calculation!$E$3,CCData[[#This Row],[Date]]&lt;Calculation!$E$3+7)</f>
        <v>0</v>
      </c>
    </row>
    <row r="1988" spans="1:10">
      <c r="A1988" t="s">
        <v>1987</v>
      </c>
      <c r="B1988" s="2">
        <v>42039.525000000001</v>
      </c>
      <c r="C1988" s="3" t="s">
        <v>5008</v>
      </c>
      <c r="D1988" t="s">
        <v>5013</v>
      </c>
      <c r="E1988" t="s">
        <v>5019</v>
      </c>
      <c r="F1988" t="s">
        <v>5019</v>
      </c>
      <c r="G1988" t="s">
        <v>5022</v>
      </c>
      <c r="H1988" s="5" t="s">
        <v>5022</v>
      </c>
      <c r="I1988" t="s">
        <v>5022</v>
      </c>
      <c r="J1988" t="b">
        <f>AND(CCData[[#This Row],[Date]]&gt;=Calculation!$E$3,CCData[[#This Row],[Date]]&lt;Calculation!$E$3+7)</f>
        <v>0</v>
      </c>
    </row>
    <row r="1989" spans="1:10">
      <c r="A1989" t="s">
        <v>1988</v>
      </c>
      <c r="B1989" s="2">
        <v>42039.525000000001</v>
      </c>
      <c r="C1989" s="3" t="s">
        <v>5008</v>
      </c>
      <c r="D1989" t="s">
        <v>5015</v>
      </c>
      <c r="E1989" t="s">
        <v>5018</v>
      </c>
      <c r="F1989" t="s">
        <v>5019</v>
      </c>
      <c r="G1989">
        <v>60</v>
      </c>
      <c r="H1989" s="5">
        <v>2.0678394667732808E-3</v>
      </c>
      <c r="I1989">
        <v>5</v>
      </c>
      <c r="J1989" t="b">
        <f>AND(CCData[[#This Row],[Date]]&gt;=Calculation!$E$3,CCData[[#This Row],[Date]]&lt;Calculation!$E$3+7)</f>
        <v>0</v>
      </c>
    </row>
    <row r="1990" spans="1:10">
      <c r="A1990" t="s">
        <v>1989</v>
      </c>
      <c r="B1990" s="2">
        <v>42039.527000000002</v>
      </c>
      <c r="C1990" s="3" t="s">
        <v>5007</v>
      </c>
      <c r="D1990" t="s">
        <v>5012</v>
      </c>
      <c r="E1990" t="s">
        <v>5018</v>
      </c>
      <c r="F1990" t="s">
        <v>5018</v>
      </c>
      <c r="G1990">
        <v>24</v>
      </c>
      <c r="H1990" s="5">
        <v>4.7392328156631355E-3</v>
      </c>
      <c r="I1990">
        <v>4</v>
      </c>
      <c r="J1990" t="b">
        <f>AND(CCData[[#This Row],[Date]]&gt;=Calculation!$E$3,CCData[[#This Row],[Date]]&lt;Calculation!$E$3+7)</f>
        <v>0</v>
      </c>
    </row>
    <row r="1991" spans="1:10">
      <c r="A1991" t="s">
        <v>1990</v>
      </c>
      <c r="B1991" s="2">
        <v>42039.527000000002</v>
      </c>
      <c r="C1991" s="3" t="s">
        <v>5007</v>
      </c>
      <c r="D1991" t="s">
        <v>5014</v>
      </c>
      <c r="E1991" t="s">
        <v>5018</v>
      </c>
      <c r="F1991" t="s">
        <v>5018</v>
      </c>
      <c r="G1991">
        <v>83</v>
      </c>
      <c r="H1991" s="5">
        <v>3.6683875991180121E-3</v>
      </c>
      <c r="I1991">
        <v>4</v>
      </c>
      <c r="J1991" t="b">
        <f>AND(CCData[[#This Row],[Date]]&gt;=Calculation!$E$3,CCData[[#This Row],[Date]]&lt;Calculation!$E$3+7)</f>
        <v>0</v>
      </c>
    </row>
    <row r="1992" spans="1:10">
      <c r="A1992" t="s">
        <v>1991</v>
      </c>
      <c r="B1992" s="2">
        <v>42039.546000000002</v>
      </c>
      <c r="C1992" s="3" t="s">
        <v>5003</v>
      </c>
      <c r="D1992" t="s">
        <v>5016</v>
      </c>
      <c r="E1992" t="s">
        <v>5018</v>
      </c>
      <c r="F1992" t="s">
        <v>5018</v>
      </c>
      <c r="G1992">
        <v>19</v>
      </c>
      <c r="H1992" s="5">
        <v>2.2697620730793579E-3</v>
      </c>
      <c r="I1992">
        <v>3</v>
      </c>
      <c r="J1992" t="b">
        <f>AND(CCData[[#This Row],[Date]]&gt;=Calculation!$E$3,CCData[[#This Row],[Date]]&lt;Calculation!$E$3+7)</f>
        <v>0</v>
      </c>
    </row>
    <row r="1993" spans="1:10">
      <c r="A1993" t="s">
        <v>1992</v>
      </c>
      <c r="B1993" s="2">
        <v>42039.546000000002</v>
      </c>
      <c r="C1993" s="3" t="s">
        <v>5009</v>
      </c>
      <c r="D1993" t="s">
        <v>5012</v>
      </c>
      <c r="E1993" t="s">
        <v>5018</v>
      </c>
      <c r="F1993" t="s">
        <v>5018</v>
      </c>
      <c r="G1993">
        <v>125</v>
      </c>
      <c r="H1993" s="5">
        <v>2.3642923398266252E-3</v>
      </c>
      <c r="I1993">
        <v>4</v>
      </c>
      <c r="J1993" t="b">
        <f>AND(CCData[[#This Row],[Date]]&gt;=Calculation!$E$3,CCData[[#This Row],[Date]]&lt;Calculation!$E$3+7)</f>
        <v>0</v>
      </c>
    </row>
    <row r="1994" spans="1:10">
      <c r="A1994" t="s">
        <v>1993</v>
      </c>
      <c r="B1994" s="2">
        <v>42039.546000000002</v>
      </c>
      <c r="C1994" s="3" t="s">
        <v>5008</v>
      </c>
      <c r="D1994" t="s">
        <v>5014</v>
      </c>
      <c r="E1994" t="s">
        <v>5018</v>
      </c>
      <c r="F1994" t="s">
        <v>5019</v>
      </c>
      <c r="G1994">
        <v>72</v>
      </c>
      <c r="H1994" s="5">
        <v>3.6517342975111674E-3</v>
      </c>
      <c r="I1994">
        <v>2</v>
      </c>
      <c r="J1994" t="b">
        <f>AND(CCData[[#This Row],[Date]]&gt;=Calculation!$E$3,CCData[[#This Row],[Date]]&lt;Calculation!$E$3+7)</f>
        <v>0</v>
      </c>
    </row>
    <row r="1995" spans="1:10">
      <c r="A1995" t="s">
        <v>1994</v>
      </c>
      <c r="B1995" s="2">
        <v>42039.546000000002</v>
      </c>
      <c r="C1995" s="3" t="s">
        <v>5003</v>
      </c>
      <c r="D1995" t="s">
        <v>5015</v>
      </c>
      <c r="E1995" t="s">
        <v>5019</v>
      </c>
      <c r="F1995" t="s">
        <v>5019</v>
      </c>
      <c r="G1995" t="s">
        <v>5022</v>
      </c>
      <c r="H1995" s="5" t="s">
        <v>5022</v>
      </c>
      <c r="I1995" t="s">
        <v>5022</v>
      </c>
      <c r="J1995" t="b">
        <f>AND(CCData[[#This Row],[Date]]&gt;=Calculation!$E$3,CCData[[#This Row],[Date]]&lt;Calculation!$E$3+7)</f>
        <v>0</v>
      </c>
    </row>
    <row r="1996" spans="1:10">
      <c r="A1996" t="s">
        <v>1995</v>
      </c>
      <c r="B1996" s="2">
        <v>42039.557999999997</v>
      </c>
      <c r="C1996" s="3" t="s">
        <v>5005</v>
      </c>
      <c r="D1996" t="s">
        <v>5016</v>
      </c>
      <c r="E1996" t="s">
        <v>5018</v>
      </c>
      <c r="F1996" t="s">
        <v>5018</v>
      </c>
      <c r="G1996">
        <v>39</v>
      </c>
      <c r="H1996" s="5">
        <v>2.9269338258020171E-3</v>
      </c>
      <c r="I1996">
        <v>4</v>
      </c>
      <c r="J1996" t="b">
        <f>AND(CCData[[#This Row],[Date]]&gt;=Calculation!$E$3,CCData[[#This Row],[Date]]&lt;Calculation!$E$3+7)</f>
        <v>0</v>
      </c>
    </row>
    <row r="1997" spans="1:10">
      <c r="A1997" t="s">
        <v>1996</v>
      </c>
      <c r="B1997" s="2">
        <v>42039.557999999997</v>
      </c>
      <c r="C1997" s="3" t="s">
        <v>5005</v>
      </c>
      <c r="D1997" t="s">
        <v>5014</v>
      </c>
      <c r="E1997" t="s">
        <v>5019</v>
      </c>
      <c r="F1997" t="s">
        <v>5019</v>
      </c>
      <c r="G1997" t="s">
        <v>5022</v>
      </c>
      <c r="H1997" s="5" t="s">
        <v>5022</v>
      </c>
      <c r="I1997" t="s">
        <v>5022</v>
      </c>
      <c r="J1997" t="b">
        <f>AND(CCData[[#This Row],[Date]]&gt;=Calculation!$E$3,CCData[[#This Row],[Date]]&lt;Calculation!$E$3+7)</f>
        <v>0</v>
      </c>
    </row>
    <row r="1998" spans="1:10">
      <c r="A1998" t="s">
        <v>1997</v>
      </c>
      <c r="B1998" s="2">
        <v>42039.578999999998</v>
      </c>
      <c r="C1998" s="3" t="s">
        <v>5004</v>
      </c>
      <c r="D1998" t="s">
        <v>5012</v>
      </c>
      <c r="E1998" t="s">
        <v>5018</v>
      </c>
      <c r="F1998" t="s">
        <v>5018</v>
      </c>
      <c r="G1998">
        <v>125</v>
      </c>
      <c r="H1998" s="5">
        <v>3.1007395558252109E-3</v>
      </c>
      <c r="I1998">
        <v>4</v>
      </c>
      <c r="J1998" t="b">
        <f>AND(CCData[[#This Row],[Date]]&gt;=Calculation!$E$3,CCData[[#This Row],[Date]]&lt;Calculation!$E$3+7)</f>
        <v>0</v>
      </c>
    </row>
    <row r="1999" spans="1:10">
      <c r="A1999" t="s">
        <v>1998</v>
      </c>
      <c r="B1999" s="2">
        <v>42039.578999999998</v>
      </c>
      <c r="C1999" s="3" t="s">
        <v>5008</v>
      </c>
      <c r="D1999" t="s">
        <v>5014</v>
      </c>
      <c r="E1999" t="s">
        <v>5018</v>
      </c>
      <c r="F1999" t="s">
        <v>5018</v>
      </c>
      <c r="G1999">
        <v>124</v>
      </c>
      <c r="H1999" s="5">
        <v>9.7813033373596141E-4</v>
      </c>
      <c r="I1999">
        <v>5</v>
      </c>
      <c r="J1999" t="b">
        <f>AND(CCData[[#This Row],[Date]]&gt;=Calculation!$E$3,CCData[[#This Row],[Date]]&lt;Calculation!$E$3+7)</f>
        <v>0</v>
      </c>
    </row>
    <row r="2000" spans="1:10">
      <c r="A2000" t="s">
        <v>1999</v>
      </c>
      <c r="B2000" s="2">
        <v>42039.586000000003</v>
      </c>
      <c r="C2000" s="3" t="s">
        <v>5003</v>
      </c>
      <c r="D2000" t="s">
        <v>5014</v>
      </c>
      <c r="E2000" t="s">
        <v>5018</v>
      </c>
      <c r="F2000" t="s">
        <v>5018</v>
      </c>
      <c r="G2000">
        <v>105</v>
      </c>
      <c r="H2000" s="5">
        <v>2.7593612301768807E-3</v>
      </c>
      <c r="I2000">
        <v>4</v>
      </c>
      <c r="J2000" t="b">
        <f>AND(CCData[[#This Row],[Date]]&gt;=Calculation!$E$3,CCData[[#This Row],[Date]]&lt;Calculation!$E$3+7)</f>
        <v>0</v>
      </c>
    </row>
    <row r="2001" spans="1:10">
      <c r="A2001" t="s">
        <v>2000</v>
      </c>
      <c r="B2001" s="2">
        <v>42039.586000000003</v>
      </c>
      <c r="C2001" s="3" t="s">
        <v>5003</v>
      </c>
      <c r="D2001" t="s">
        <v>5013</v>
      </c>
      <c r="E2001" t="s">
        <v>5019</v>
      </c>
      <c r="F2001" t="s">
        <v>5019</v>
      </c>
      <c r="G2001" t="s">
        <v>5022</v>
      </c>
      <c r="H2001" s="5" t="s">
        <v>5022</v>
      </c>
      <c r="I2001" t="s">
        <v>5022</v>
      </c>
      <c r="J2001" t="b">
        <f>AND(CCData[[#This Row],[Date]]&gt;=Calculation!$E$3,CCData[[#This Row],[Date]]&lt;Calculation!$E$3+7)</f>
        <v>0</v>
      </c>
    </row>
    <row r="2002" spans="1:10">
      <c r="A2002" t="s">
        <v>2001</v>
      </c>
      <c r="B2002" s="2">
        <v>42039.616000000002</v>
      </c>
      <c r="C2002" s="3" t="s">
        <v>5009</v>
      </c>
      <c r="D2002" t="s">
        <v>5014</v>
      </c>
      <c r="E2002" t="s">
        <v>5018</v>
      </c>
      <c r="F2002" t="s">
        <v>5018</v>
      </c>
      <c r="G2002">
        <v>28</v>
      </c>
      <c r="H2002" s="5">
        <v>1.257530006909999E-3</v>
      </c>
      <c r="I2002">
        <v>5</v>
      </c>
      <c r="J2002" t="b">
        <f>AND(CCData[[#This Row],[Date]]&gt;=Calculation!$E$3,CCData[[#This Row],[Date]]&lt;Calculation!$E$3+7)</f>
        <v>0</v>
      </c>
    </row>
    <row r="2003" spans="1:10">
      <c r="A2003" t="s">
        <v>2002</v>
      </c>
      <c r="B2003" s="2">
        <v>42039.616000000002</v>
      </c>
      <c r="C2003" s="3" t="s">
        <v>5005</v>
      </c>
      <c r="D2003" t="s">
        <v>5016</v>
      </c>
      <c r="E2003" t="s">
        <v>5018</v>
      </c>
      <c r="F2003" t="s">
        <v>5018</v>
      </c>
      <c r="G2003">
        <v>82</v>
      </c>
      <c r="H2003" s="5">
        <v>5.0929901604708115E-4</v>
      </c>
      <c r="I2003">
        <v>1</v>
      </c>
      <c r="J2003" t="b">
        <f>AND(CCData[[#This Row],[Date]]&gt;=Calculation!$E$3,CCData[[#This Row],[Date]]&lt;Calculation!$E$3+7)</f>
        <v>0</v>
      </c>
    </row>
    <row r="2004" spans="1:10">
      <c r="A2004" t="s">
        <v>2003</v>
      </c>
      <c r="B2004" s="2">
        <v>42039.624000000003</v>
      </c>
      <c r="C2004" s="3" t="s">
        <v>5007</v>
      </c>
      <c r="D2004" t="s">
        <v>5015</v>
      </c>
      <c r="E2004" t="s">
        <v>5019</v>
      </c>
      <c r="F2004" t="s">
        <v>5019</v>
      </c>
      <c r="G2004" t="s">
        <v>5022</v>
      </c>
      <c r="H2004" s="5" t="s">
        <v>5022</v>
      </c>
      <c r="I2004" t="s">
        <v>5022</v>
      </c>
      <c r="J2004" t="b">
        <f>AND(CCData[[#This Row],[Date]]&gt;=Calculation!$E$3,CCData[[#This Row],[Date]]&lt;Calculation!$E$3+7)</f>
        <v>0</v>
      </c>
    </row>
    <row r="2005" spans="1:10">
      <c r="A2005" t="s">
        <v>2004</v>
      </c>
      <c r="B2005" s="2">
        <v>42039.624000000003</v>
      </c>
      <c r="C2005" s="3" t="s">
        <v>5010</v>
      </c>
      <c r="D2005" t="s">
        <v>5016</v>
      </c>
      <c r="E2005" t="s">
        <v>5018</v>
      </c>
      <c r="F2005" t="s">
        <v>5018</v>
      </c>
      <c r="G2005">
        <v>30</v>
      </c>
      <c r="H2005" s="5">
        <v>1.538176051067077E-3</v>
      </c>
      <c r="I2005">
        <v>4</v>
      </c>
      <c r="J2005" t="b">
        <f>AND(CCData[[#This Row],[Date]]&gt;=Calculation!$E$3,CCData[[#This Row],[Date]]&lt;Calculation!$E$3+7)</f>
        <v>0</v>
      </c>
    </row>
    <row r="2006" spans="1:10">
      <c r="A2006" t="s">
        <v>2005</v>
      </c>
      <c r="B2006" s="2">
        <v>42039.627</v>
      </c>
      <c r="C2006" s="3" t="s">
        <v>5004</v>
      </c>
      <c r="D2006" t="s">
        <v>5015</v>
      </c>
      <c r="E2006" t="s">
        <v>5018</v>
      </c>
      <c r="F2006" t="s">
        <v>5018</v>
      </c>
      <c r="G2006">
        <v>47</v>
      </c>
      <c r="H2006" s="5">
        <v>2.180929515339278E-3</v>
      </c>
      <c r="I2006">
        <v>4</v>
      </c>
      <c r="J2006" t="b">
        <f>AND(CCData[[#This Row],[Date]]&gt;=Calculation!$E$3,CCData[[#This Row],[Date]]&lt;Calculation!$E$3+7)</f>
        <v>0</v>
      </c>
    </row>
    <row r="2007" spans="1:10">
      <c r="A2007" t="s">
        <v>2006</v>
      </c>
      <c r="B2007" s="2">
        <v>42039.627</v>
      </c>
      <c r="C2007" s="3" t="s">
        <v>5007</v>
      </c>
      <c r="D2007" t="s">
        <v>5015</v>
      </c>
      <c r="E2007" t="s">
        <v>5018</v>
      </c>
      <c r="F2007" t="s">
        <v>5018</v>
      </c>
      <c r="G2007">
        <v>124</v>
      </c>
      <c r="H2007" s="5">
        <v>4.1785008843219012E-3</v>
      </c>
      <c r="I2007">
        <v>1</v>
      </c>
      <c r="J2007" t="b">
        <f>AND(CCData[[#This Row],[Date]]&gt;=Calculation!$E$3,CCData[[#This Row],[Date]]&lt;Calculation!$E$3+7)</f>
        <v>0</v>
      </c>
    </row>
    <row r="2008" spans="1:10">
      <c r="A2008" t="s">
        <v>2007</v>
      </c>
      <c r="B2008" s="2">
        <v>42039.648999999998</v>
      </c>
      <c r="C2008" s="3" t="s">
        <v>5009</v>
      </c>
      <c r="D2008" t="s">
        <v>5013</v>
      </c>
      <c r="E2008" t="s">
        <v>5018</v>
      </c>
      <c r="F2008" t="s">
        <v>5018</v>
      </c>
      <c r="G2008">
        <v>113</v>
      </c>
      <c r="H2008" s="5">
        <v>3.241176087403097E-3</v>
      </c>
      <c r="I2008">
        <v>4</v>
      </c>
      <c r="J2008" t="b">
        <f>AND(CCData[[#This Row],[Date]]&gt;=Calculation!$E$3,CCData[[#This Row],[Date]]&lt;Calculation!$E$3+7)</f>
        <v>0</v>
      </c>
    </row>
    <row r="2009" spans="1:10">
      <c r="A2009" t="s">
        <v>2008</v>
      </c>
      <c r="B2009" s="2">
        <v>42039.648999999998</v>
      </c>
      <c r="C2009" s="3" t="s">
        <v>5007</v>
      </c>
      <c r="D2009" t="s">
        <v>5016</v>
      </c>
      <c r="E2009" t="s">
        <v>5019</v>
      </c>
      <c r="F2009" t="s">
        <v>5019</v>
      </c>
      <c r="G2009" t="s">
        <v>5022</v>
      </c>
      <c r="H2009" s="5" t="s">
        <v>5022</v>
      </c>
      <c r="I2009" t="s">
        <v>5022</v>
      </c>
      <c r="J2009" t="b">
        <f>AND(CCData[[#This Row],[Date]]&gt;=Calculation!$E$3,CCData[[#This Row],[Date]]&lt;Calculation!$E$3+7)</f>
        <v>0</v>
      </c>
    </row>
    <row r="2010" spans="1:10">
      <c r="A2010" t="s">
        <v>2009</v>
      </c>
      <c r="B2010" s="2">
        <v>42039.656999999999</v>
      </c>
      <c r="C2010" s="3" t="s">
        <v>5003</v>
      </c>
      <c r="D2010" t="s">
        <v>5014</v>
      </c>
      <c r="E2010" t="s">
        <v>5019</v>
      </c>
      <c r="F2010" t="s">
        <v>5019</v>
      </c>
      <c r="G2010" t="s">
        <v>5022</v>
      </c>
      <c r="H2010" s="5" t="s">
        <v>5022</v>
      </c>
      <c r="I2010" t="s">
        <v>5022</v>
      </c>
      <c r="J2010" t="b">
        <f>AND(CCData[[#This Row],[Date]]&gt;=Calculation!$E$3,CCData[[#This Row],[Date]]&lt;Calculation!$E$3+7)</f>
        <v>0</v>
      </c>
    </row>
    <row r="2011" spans="1:10">
      <c r="A2011" t="s">
        <v>2010</v>
      </c>
      <c r="B2011" s="2">
        <v>42039.656999999999</v>
      </c>
      <c r="C2011" s="3" t="s">
        <v>5005</v>
      </c>
      <c r="D2011" t="s">
        <v>5015</v>
      </c>
      <c r="E2011" t="s">
        <v>5018</v>
      </c>
      <c r="F2011" t="s">
        <v>5018</v>
      </c>
      <c r="G2011">
        <v>112</v>
      </c>
      <c r="H2011" s="5">
        <v>3.2780335233792801E-3</v>
      </c>
      <c r="I2011">
        <v>5</v>
      </c>
      <c r="J2011" t="b">
        <f>AND(CCData[[#This Row],[Date]]&gt;=Calculation!$E$3,CCData[[#This Row],[Date]]&lt;Calculation!$E$3+7)</f>
        <v>0</v>
      </c>
    </row>
    <row r="2012" spans="1:10">
      <c r="A2012" t="s">
        <v>2011</v>
      </c>
      <c r="B2012" s="2">
        <v>42039.658000000003</v>
      </c>
      <c r="C2012" s="3" t="s">
        <v>5007</v>
      </c>
      <c r="D2012" t="s">
        <v>5015</v>
      </c>
      <c r="E2012" t="s">
        <v>5018</v>
      </c>
      <c r="F2012" t="s">
        <v>5018</v>
      </c>
      <c r="G2012">
        <v>17</v>
      </c>
      <c r="H2012" s="5">
        <v>3.3609922581884109E-3</v>
      </c>
      <c r="I2012">
        <v>3</v>
      </c>
      <c r="J2012" t="b">
        <f>AND(CCData[[#This Row],[Date]]&gt;=Calculation!$E$3,CCData[[#This Row],[Date]]&lt;Calculation!$E$3+7)</f>
        <v>0</v>
      </c>
    </row>
    <row r="2013" spans="1:10">
      <c r="A2013" t="s">
        <v>2012</v>
      </c>
      <c r="B2013" s="2">
        <v>42039.658000000003</v>
      </c>
      <c r="C2013" s="3" t="s">
        <v>5008</v>
      </c>
      <c r="D2013" t="s">
        <v>5013</v>
      </c>
      <c r="E2013" t="s">
        <v>5019</v>
      </c>
      <c r="F2013" t="s">
        <v>5019</v>
      </c>
      <c r="G2013" t="s">
        <v>5022</v>
      </c>
      <c r="H2013" s="5" t="s">
        <v>5022</v>
      </c>
      <c r="I2013" t="s">
        <v>5022</v>
      </c>
      <c r="J2013" t="b">
        <f>AND(CCData[[#This Row],[Date]]&gt;=Calculation!$E$3,CCData[[#This Row],[Date]]&lt;Calculation!$E$3+7)</f>
        <v>0</v>
      </c>
    </row>
    <row r="2014" spans="1:10">
      <c r="A2014" t="s">
        <v>2013</v>
      </c>
      <c r="B2014" s="2">
        <v>42039.678</v>
      </c>
      <c r="C2014" s="3" t="s">
        <v>5003</v>
      </c>
      <c r="D2014" t="s">
        <v>5015</v>
      </c>
      <c r="E2014" t="s">
        <v>5018</v>
      </c>
      <c r="F2014" t="s">
        <v>5018</v>
      </c>
      <c r="G2014">
        <v>82</v>
      </c>
      <c r="H2014" s="5">
        <v>4.2203887909633871E-3</v>
      </c>
      <c r="I2014">
        <v>2</v>
      </c>
      <c r="J2014" t="b">
        <f>AND(CCData[[#This Row],[Date]]&gt;=Calculation!$E$3,CCData[[#This Row],[Date]]&lt;Calculation!$E$3+7)</f>
        <v>0</v>
      </c>
    </row>
    <row r="2015" spans="1:10">
      <c r="A2015" t="s">
        <v>2014</v>
      </c>
      <c r="B2015" s="2">
        <v>42039.678</v>
      </c>
      <c r="C2015" s="3" t="s">
        <v>5003</v>
      </c>
      <c r="D2015" t="s">
        <v>5015</v>
      </c>
      <c r="E2015" t="s">
        <v>5018</v>
      </c>
      <c r="F2015" t="s">
        <v>5018</v>
      </c>
      <c r="G2015">
        <v>50</v>
      </c>
      <c r="H2015" s="5">
        <v>3.6966073788902822E-3</v>
      </c>
      <c r="I2015">
        <v>2</v>
      </c>
      <c r="J2015" t="b">
        <f>AND(CCData[[#This Row],[Date]]&gt;=Calculation!$E$3,CCData[[#This Row],[Date]]&lt;Calculation!$E$3+7)</f>
        <v>0</v>
      </c>
    </row>
    <row r="2016" spans="1:10">
      <c r="A2016" t="s">
        <v>2015</v>
      </c>
      <c r="B2016" s="2">
        <v>42039.686999999998</v>
      </c>
      <c r="C2016" s="3" t="s">
        <v>5003</v>
      </c>
      <c r="D2016" t="s">
        <v>5013</v>
      </c>
      <c r="E2016" t="s">
        <v>5018</v>
      </c>
      <c r="F2016" t="s">
        <v>5019</v>
      </c>
      <c r="G2016">
        <v>84</v>
      </c>
      <c r="H2016" s="5">
        <v>7.1239664309986591E-4</v>
      </c>
      <c r="I2016">
        <v>3</v>
      </c>
      <c r="J2016" t="b">
        <f>AND(CCData[[#This Row],[Date]]&gt;=Calculation!$E$3,CCData[[#This Row],[Date]]&lt;Calculation!$E$3+7)</f>
        <v>0</v>
      </c>
    </row>
    <row r="2017" spans="1:10">
      <c r="A2017" t="s">
        <v>2016</v>
      </c>
      <c r="B2017" s="2">
        <v>42039.686999999998</v>
      </c>
      <c r="C2017" s="3" t="s">
        <v>5009</v>
      </c>
      <c r="D2017" t="s">
        <v>5014</v>
      </c>
      <c r="E2017" t="s">
        <v>5018</v>
      </c>
      <c r="F2017" t="s">
        <v>5018</v>
      </c>
      <c r="G2017">
        <v>12</v>
      </c>
      <c r="H2017" s="5">
        <v>3.7965139425490861E-3</v>
      </c>
      <c r="I2017">
        <v>3</v>
      </c>
      <c r="J2017" t="b">
        <f>AND(CCData[[#This Row],[Date]]&gt;=Calculation!$E$3,CCData[[#This Row],[Date]]&lt;Calculation!$E$3+7)</f>
        <v>0</v>
      </c>
    </row>
    <row r="2018" spans="1:10">
      <c r="A2018" t="s">
        <v>2017</v>
      </c>
      <c r="B2018" s="2">
        <v>42039.709000000003</v>
      </c>
      <c r="C2018" s="3" t="s">
        <v>5005</v>
      </c>
      <c r="D2018" t="s">
        <v>5012</v>
      </c>
      <c r="E2018" t="s">
        <v>5018</v>
      </c>
      <c r="F2018" t="s">
        <v>5018</v>
      </c>
      <c r="G2018">
        <v>80</v>
      </c>
      <c r="H2018" s="5">
        <v>1.1629213240323471E-3</v>
      </c>
      <c r="I2018">
        <v>2</v>
      </c>
      <c r="J2018" t="b">
        <f>AND(CCData[[#This Row],[Date]]&gt;=Calculation!$E$3,CCData[[#This Row],[Date]]&lt;Calculation!$E$3+7)</f>
        <v>0</v>
      </c>
    </row>
    <row r="2019" spans="1:10">
      <c r="A2019" t="s">
        <v>2018</v>
      </c>
      <c r="B2019" s="2">
        <v>42039.709000000003</v>
      </c>
      <c r="C2019" s="3" t="s">
        <v>5004</v>
      </c>
      <c r="D2019" t="s">
        <v>5013</v>
      </c>
      <c r="E2019" t="s">
        <v>5018</v>
      </c>
      <c r="F2019" t="s">
        <v>5018</v>
      </c>
      <c r="G2019">
        <v>51</v>
      </c>
      <c r="H2019" s="5">
        <v>1.5907327611914645E-3</v>
      </c>
      <c r="I2019">
        <v>3</v>
      </c>
      <c r="J2019" t="b">
        <f>AND(CCData[[#This Row],[Date]]&gt;=Calculation!$E$3,CCData[[#This Row],[Date]]&lt;Calculation!$E$3+7)</f>
        <v>0</v>
      </c>
    </row>
    <row r="2020" spans="1:10">
      <c r="A2020" t="s">
        <v>2019</v>
      </c>
      <c r="B2020" s="2">
        <v>42039.714999999997</v>
      </c>
      <c r="C2020" s="3" t="s">
        <v>5003</v>
      </c>
      <c r="D2020" t="s">
        <v>5014</v>
      </c>
      <c r="E2020" t="s">
        <v>5018</v>
      </c>
      <c r="F2020" t="s">
        <v>5018</v>
      </c>
      <c r="G2020">
        <v>90</v>
      </c>
      <c r="H2020" s="5">
        <v>2.1759752141743039E-3</v>
      </c>
      <c r="I2020">
        <v>5</v>
      </c>
      <c r="J2020" t="b">
        <f>AND(CCData[[#This Row],[Date]]&gt;=Calculation!$E$3,CCData[[#This Row],[Date]]&lt;Calculation!$E$3+7)</f>
        <v>0</v>
      </c>
    </row>
    <row r="2021" spans="1:10">
      <c r="A2021" t="s">
        <v>2020</v>
      </c>
      <c r="B2021" s="2">
        <v>42039.714999999997</v>
      </c>
      <c r="C2021" s="3" t="s">
        <v>5006</v>
      </c>
      <c r="D2021" t="s">
        <v>5012</v>
      </c>
      <c r="E2021" t="s">
        <v>5018</v>
      </c>
      <c r="F2021" t="s">
        <v>5018</v>
      </c>
      <c r="G2021">
        <v>40</v>
      </c>
      <c r="H2021" s="5">
        <v>2.9239244705485689E-3</v>
      </c>
      <c r="I2021">
        <v>4</v>
      </c>
      <c r="J2021" t="b">
        <f>AND(CCData[[#This Row],[Date]]&gt;=Calculation!$E$3,CCData[[#This Row],[Date]]&lt;Calculation!$E$3+7)</f>
        <v>0</v>
      </c>
    </row>
    <row r="2022" spans="1:10">
      <c r="A2022" t="s">
        <v>2021</v>
      </c>
      <c r="B2022" s="2">
        <v>42039.739000000001</v>
      </c>
      <c r="C2022" s="3" t="s">
        <v>5004</v>
      </c>
      <c r="D2022" t="s">
        <v>5013</v>
      </c>
      <c r="E2022" t="s">
        <v>5018</v>
      </c>
      <c r="F2022" t="s">
        <v>5019</v>
      </c>
      <c r="G2022">
        <v>59</v>
      </c>
      <c r="H2022" s="5">
        <v>7.3196328927012031E-4</v>
      </c>
      <c r="I2022">
        <v>3</v>
      </c>
      <c r="J2022" t="b">
        <f>AND(CCData[[#This Row],[Date]]&gt;=Calculation!$E$3,CCData[[#This Row],[Date]]&lt;Calculation!$E$3+7)</f>
        <v>0</v>
      </c>
    </row>
    <row r="2023" spans="1:10">
      <c r="A2023" t="s">
        <v>2022</v>
      </c>
      <c r="B2023" s="2">
        <v>42039.739000000001</v>
      </c>
      <c r="C2023" s="3" t="s">
        <v>5008</v>
      </c>
      <c r="D2023" t="s">
        <v>5015</v>
      </c>
      <c r="E2023" t="s">
        <v>5018</v>
      </c>
      <c r="F2023" t="s">
        <v>5018</v>
      </c>
      <c r="G2023">
        <v>53</v>
      </c>
      <c r="H2023" s="5">
        <v>4.4116536408083037E-3</v>
      </c>
      <c r="I2023">
        <v>4</v>
      </c>
      <c r="J2023" t="b">
        <f>AND(CCData[[#This Row],[Date]]&gt;=Calculation!$E$3,CCData[[#This Row],[Date]]&lt;Calculation!$E$3+7)</f>
        <v>0</v>
      </c>
    </row>
    <row r="2024" spans="1:10">
      <c r="A2024" t="s">
        <v>2023</v>
      </c>
      <c r="B2024" s="2">
        <v>42039.741000000002</v>
      </c>
      <c r="C2024" s="3" t="s">
        <v>5009</v>
      </c>
      <c r="D2024" t="s">
        <v>5012</v>
      </c>
      <c r="E2024" t="s">
        <v>5018</v>
      </c>
      <c r="F2024" t="s">
        <v>5018</v>
      </c>
      <c r="G2024">
        <v>14</v>
      </c>
      <c r="H2024" s="5">
        <v>1.8611455561177665E-3</v>
      </c>
      <c r="I2024">
        <v>5</v>
      </c>
      <c r="J2024" t="b">
        <f>AND(CCData[[#This Row],[Date]]&gt;=Calculation!$E$3,CCData[[#This Row],[Date]]&lt;Calculation!$E$3+7)</f>
        <v>0</v>
      </c>
    </row>
    <row r="2025" spans="1:10">
      <c r="A2025" t="s">
        <v>2024</v>
      </c>
      <c r="B2025" s="2">
        <v>42039.741000000002</v>
      </c>
      <c r="C2025" s="3" t="s">
        <v>5007</v>
      </c>
      <c r="D2025" t="s">
        <v>5016</v>
      </c>
      <c r="E2025" t="s">
        <v>5018</v>
      </c>
      <c r="F2025" t="s">
        <v>5018</v>
      </c>
      <c r="G2025">
        <v>89</v>
      </c>
      <c r="H2025" s="5">
        <v>4.4486244533494057E-3</v>
      </c>
      <c r="I2025">
        <v>4</v>
      </c>
      <c r="J2025" t="b">
        <f>AND(CCData[[#This Row],[Date]]&gt;=Calculation!$E$3,CCData[[#This Row],[Date]]&lt;Calculation!$E$3+7)</f>
        <v>0</v>
      </c>
    </row>
    <row r="2026" spans="1:10">
      <c r="A2026" t="s">
        <v>2025</v>
      </c>
      <c r="B2026" s="2">
        <v>42039.748</v>
      </c>
      <c r="C2026" s="3" t="s">
        <v>5004</v>
      </c>
      <c r="D2026" t="s">
        <v>5013</v>
      </c>
      <c r="E2026" t="s">
        <v>5018</v>
      </c>
      <c r="F2026" t="s">
        <v>5018</v>
      </c>
      <c r="G2026">
        <v>22</v>
      </c>
      <c r="H2026" s="5">
        <v>2.036144133168466E-3</v>
      </c>
      <c r="I2026">
        <v>1</v>
      </c>
      <c r="J2026" t="b">
        <f>AND(CCData[[#This Row],[Date]]&gt;=Calculation!$E$3,CCData[[#This Row],[Date]]&lt;Calculation!$E$3+7)</f>
        <v>0</v>
      </c>
    </row>
    <row r="2027" spans="1:10">
      <c r="A2027" t="s">
        <v>2026</v>
      </c>
      <c r="B2027" s="2">
        <v>42039.748</v>
      </c>
      <c r="C2027" s="3" t="s">
        <v>5009</v>
      </c>
      <c r="D2027" t="s">
        <v>5013</v>
      </c>
      <c r="E2027" t="s">
        <v>5019</v>
      </c>
      <c r="F2027" t="s">
        <v>5019</v>
      </c>
      <c r="G2027" t="s">
        <v>5022</v>
      </c>
      <c r="H2027" s="5" t="s">
        <v>5022</v>
      </c>
      <c r="I2027" t="s">
        <v>5022</v>
      </c>
      <c r="J2027" t="b">
        <f>AND(CCData[[#This Row],[Date]]&gt;=Calculation!$E$3,CCData[[#This Row],[Date]]&lt;Calculation!$E$3+7)</f>
        <v>0</v>
      </c>
    </row>
    <row r="2028" spans="1:10">
      <c r="A2028" t="s">
        <v>2027</v>
      </c>
      <c r="B2028" s="2">
        <v>42040.385999999999</v>
      </c>
      <c r="C2028" s="3" t="s">
        <v>5008</v>
      </c>
      <c r="D2028" t="s">
        <v>5012</v>
      </c>
      <c r="E2028" t="s">
        <v>5018</v>
      </c>
      <c r="F2028" t="s">
        <v>5018</v>
      </c>
      <c r="G2028">
        <v>67</v>
      </c>
      <c r="H2028" s="5">
        <v>2.7972950551517291E-3</v>
      </c>
      <c r="I2028">
        <v>3</v>
      </c>
      <c r="J2028" t="b">
        <f>AND(CCData[[#This Row],[Date]]&gt;=Calculation!$E$3,CCData[[#This Row],[Date]]&lt;Calculation!$E$3+7)</f>
        <v>0</v>
      </c>
    </row>
    <row r="2029" spans="1:10">
      <c r="A2029" t="s">
        <v>2028</v>
      </c>
      <c r="B2029" s="2">
        <v>42040.385999999999</v>
      </c>
      <c r="C2029" s="3" t="s">
        <v>5003</v>
      </c>
      <c r="D2029" t="s">
        <v>5016</v>
      </c>
      <c r="E2029" t="s">
        <v>5018</v>
      </c>
      <c r="F2029" t="s">
        <v>5018</v>
      </c>
      <c r="G2029">
        <v>28</v>
      </c>
      <c r="H2029" s="5">
        <v>3.5878394522915512E-3</v>
      </c>
      <c r="I2029">
        <v>1</v>
      </c>
      <c r="J2029" t="b">
        <f>AND(CCData[[#This Row],[Date]]&gt;=Calculation!$E$3,CCData[[#This Row],[Date]]&lt;Calculation!$E$3+7)</f>
        <v>0</v>
      </c>
    </row>
    <row r="2030" spans="1:10">
      <c r="A2030" t="s">
        <v>2029</v>
      </c>
      <c r="B2030" s="2">
        <v>42040.394</v>
      </c>
      <c r="C2030" s="3" t="s">
        <v>5006</v>
      </c>
      <c r="D2030" t="s">
        <v>5013</v>
      </c>
      <c r="E2030" t="s">
        <v>5019</v>
      </c>
      <c r="F2030" t="s">
        <v>5019</v>
      </c>
      <c r="G2030" t="s">
        <v>5022</v>
      </c>
      <c r="H2030" s="5" t="s">
        <v>5022</v>
      </c>
      <c r="I2030" t="s">
        <v>5022</v>
      </c>
      <c r="J2030" t="b">
        <f>AND(CCData[[#This Row],[Date]]&gt;=Calculation!$E$3,CCData[[#This Row],[Date]]&lt;Calculation!$E$3+7)</f>
        <v>0</v>
      </c>
    </row>
    <row r="2031" spans="1:10">
      <c r="A2031" t="s">
        <v>2030</v>
      </c>
      <c r="B2031" s="2">
        <v>42040.394</v>
      </c>
      <c r="C2031" s="3" t="s">
        <v>5007</v>
      </c>
      <c r="D2031" t="s">
        <v>5012</v>
      </c>
      <c r="E2031" t="s">
        <v>5019</v>
      </c>
      <c r="F2031" t="s">
        <v>5019</v>
      </c>
      <c r="G2031" t="s">
        <v>5022</v>
      </c>
      <c r="H2031" s="5" t="s">
        <v>5022</v>
      </c>
      <c r="I2031" t="s">
        <v>5022</v>
      </c>
      <c r="J2031" t="b">
        <f>AND(CCData[[#This Row],[Date]]&gt;=Calculation!$E$3,CCData[[#This Row],[Date]]&lt;Calculation!$E$3+7)</f>
        <v>0</v>
      </c>
    </row>
    <row r="2032" spans="1:10">
      <c r="A2032" t="s">
        <v>2031</v>
      </c>
      <c r="B2032" s="2">
        <v>42040.400999999998</v>
      </c>
      <c r="C2032" s="3" t="s">
        <v>5010</v>
      </c>
      <c r="D2032" t="s">
        <v>5012</v>
      </c>
      <c r="E2032" t="s">
        <v>5018</v>
      </c>
      <c r="F2032" t="s">
        <v>5018</v>
      </c>
      <c r="G2032">
        <v>15</v>
      </c>
      <c r="H2032" s="5">
        <v>1.3393016374579315E-3</v>
      </c>
      <c r="I2032">
        <v>5</v>
      </c>
      <c r="J2032" t="b">
        <f>AND(CCData[[#This Row],[Date]]&gt;=Calculation!$E$3,CCData[[#This Row],[Date]]&lt;Calculation!$E$3+7)</f>
        <v>0</v>
      </c>
    </row>
    <row r="2033" spans="1:10">
      <c r="A2033" t="s">
        <v>2032</v>
      </c>
      <c r="B2033" s="2">
        <v>42040.400999999998</v>
      </c>
      <c r="C2033" s="3" t="s">
        <v>5009</v>
      </c>
      <c r="D2033" t="s">
        <v>5016</v>
      </c>
      <c r="E2033" t="s">
        <v>5019</v>
      </c>
      <c r="F2033" t="s">
        <v>5019</v>
      </c>
      <c r="G2033" t="s">
        <v>5022</v>
      </c>
      <c r="H2033" s="5" t="s">
        <v>5022</v>
      </c>
      <c r="I2033" t="s">
        <v>5022</v>
      </c>
      <c r="J2033" t="b">
        <f>AND(CCData[[#This Row],[Date]]&gt;=Calculation!$E$3,CCData[[#This Row],[Date]]&lt;Calculation!$E$3+7)</f>
        <v>0</v>
      </c>
    </row>
    <row r="2034" spans="1:10">
      <c r="A2034" t="s">
        <v>2033</v>
      </c>
      <c r="B2034" s="2">
        <v>42040.400999999998</v>
      </c>
      <c r="C2034" s="3" t="s">
        <v>5009</v>
      </c>
      <c r="D2034" t="s">
        <v>5014</v>
      </c>
      <c r="E2034" t="s">
        <v>5018</v>
      </c>
      <c r="F2034" t="s">
        <v>5019</v>
      </c>
      <c r="G2034">
        <v>48</v>
      </c>
      <c r="H2034" s="5">
        <v>1.1549345835882698E-3</v>
      </c>
      <c r="I2034">
        <v>1</v>
      </c>
      <c r="J2034" t="b">
        <f>AND(CCData[[#This Row],[Date]]&gt;=Calculation!$E$3,CCData[[#This Row],[Date]]&lt;Calculation!$E$3+7)</f>
        <v>0</v>
      </c>
    </row>
    <row r="2035" spans="1:10">
      <c r="A2035" t="s">
        <v>2034</v>
      </c>
      <c r="B2035" s="2">
        <v>42040.400999999998</v>
      </c>
      <c r="C2035" s="3" t="s">
        <v>5003</v>
      </c>
      <c r="D2035" t="s">
        <v>5014</v>
      </c>
      <c r="E2035" t="s">
        <v>5018</v>
      </c>
      <c r="F2035" t="s">
        <v>5018</v>
      </c>
      <c r="G2035">
        <v>27</v>
      </c>
      <c r="H2035" s="5">
        <v>3.2646634321926988E-3</v>
      </c>
      <c r="I2035">
        <v>1</v>
      </c>
      <c r="J2035" t="b">
        <f>AND(CCData[[#This Row],[Date]]&gt;=Calculation!$E$3,CCData[[#This Row],[Date]]&lt;Calculation!$E$3+7)</f>
        <v>0</v>
      </c>
    </row>
    <row r="2036" spans="1:10">
      <c r="A2036" t="s">
        <v>2035</v>
      </c>
      <c r="B2036" s="2">
        <v>42040.402999999998</v>
      </c>
      <c r="C2036" s="3" t="s">
        <v>5010</v>
      </c>
      <c r="D2036" t="s">
        <v>5013</v>
      </c>
      <c r="E2036" t="s">
        <v>5018</v>
      </c>
      <c r="F2036" t="s">
        <v>5018</v>
      </c>
      <c r="G2036">
        <v>99</v>
      </c>
      <c r="H2036" s="5">
        <v>4.3215436270865109E-3</v>
      </c>
      <c r="I2036">
        <v>3</v>
      </c>
      <c r="J2036" t="b">
        <f>AND(CCData[[#This Row],[Date]]&gt;=Calculation!$E$3,CCData[[#This Row],[Date]]&lt;Calculation!$E$3+7)</f>
        <v>0</v>
      </c>
    </row>
    <row r="2037" spans="1:10">
      <c r="A2037" t="s">
        <v>2036</v>
      </c>
      <c r="B2037" s="2">
        <v>42040.402999999998</v>
      </c>
      <c r="C2037" s="3" t="s">
        <v>5005</v>
      </c>
      <c r="D2037" t="s">
        <v>5014</v>
      </c>
      <c r="E2037" t="s">
        <v>5018</v>
      </c>
      <c r="F2037" t="s">
        <v>5018</v>
      </c>
      <c r="G2037">
        <v>33</v>
      </c>
      <c r="H2037" s="5">
        <v>4.7641115928047035E-3</v>
      </c>
      <c r="I2037">
        <v>3</v>
      </c>
      <c r="J2037" t="b">
        <f>AND(CCData[[#This Row],[Date]]&gt;=Calculation!$E$3,CCData[[#This Row],[Date]]&lt;Calculation!$E$3+7)</f>
        <v>0</v>
      </c>
    </row>
    <row r="2038" spans="1:10">
      <c r="A2038" t="s">
        <v>2037</v>
      </c>
      <c r="B2038" s="2">
        <v>42040.428999999996</v>
      </c>
      <c r="C2038" s="3" t="s">
        <v>5006</v>
      </c>
      <c r="D2038" t="s">
        <v>5016</v>
      </c>
      <c r="E2038" t="s">
        <v>5018</v>
      </c>
      <c r="F2038" t="s">
        <v>5018</v>
      </c>
      <c r="G2038">
        <v>106</v>
      </c>
      <c r="H2038" s="5">
        <v>3.0931342018053094E-3</v>
      </c>
      <c r="I2038">
        <v>5</v>
      </c>
      <c r="J2038" t="b">
        <f>AND(CCData[[#This Row],[Date]]&gt;=Calculation!$E$3,CCData[[#This Row],[Date]]&lt;Calculation!$E$3+7)</f>
        <v>0</v>
      </c>
    </row>
    <row r="2039" spans="1:10">
      <c r="A2039" t="s">
        <v>2038</v>
      </c>
      <c r="B2039" s="2">
        <v>42040.428999999996</v>
      </c>
      <c r="C2039" s="3" t="s">
        <v>5007</v>
      </c>
      <c r="D2039" t="s">
        <v>5015</v>
      </c>
      <c r="E2039" t="s">
        <v>5019</v>
      </c>
      <c r="F2039" t="s">
        <v>5019</v>
      </c>
      <c r="G2039" t="s">
        <v>5022</v>
      </c>
      <c r="H2039" s="5" t="s">
        <v>5022</v>
      </c>
      <c r="I2039" t="s">
        <v>5022</v>
      </c>
      <c r="J2039" t="b">
        <f>AND(CCData[[#This Row],[Date]]&gt;=Calculation!$E$3,CCData[[#This Row],[Date]]&lt;Calculation!$E$3+7)</f>
        <v>0</v>
      </c>
    </row>
    <row r="2040" spans="1:10">
      <c r="A2040" t="s">
        <v>2039</v>
      </c>
      <c r="B2040" s="2">
        <v>42040.434999999998</v>
      </c>
      <c r="C2040" s="3" t="s">
        <v>5010</v>
      </c>
      <c r="D2040" t="s">
        <v>5014</v>
      </c>
      <c r="E2040" t="s">
        <v>5018</v>
      </c>
      <c r="F2040" t="s">
        <v>5018</v>
      </c>
      <c r="G2040">
        <v>121</v>
      </c>
      <c r="H2040" s="5">
        <v>2.2543736654629608E-3</v>
      </c>
      <c r="I2040">
        <v>4</v>
      </c>
      <c r="J2040" t="b">
        <f>AND(CCData[[#This Row],[Date]]&gt;=Calculation!$E$3,CCData[[#This Row],[Date]]&lt;Calculation!$E$3+7)</f>
        <v>0</v>
      </c>
    </row>
    <row r="2041" spans="1:10">
      <c r="A2041" t="s">
        <v>2040</v>
      </c>
      <c r="B2041" s="2">
        <v>42040.434999999998</v>
      </c>
      <c r="C2041" s="3" t="s">
        <v>5007</v>
      </c>
      <c r="D2041" t="s">
        <v>5013</v>
      </c>
      <c r="E2041" t="s">
        <v>5018</v>
      </c>
      <c r="F2041" t="s">
        <v>5018</v>
      </c>
      <c r="G2041">
        <v>36</v>
      </c>
      <c r="H2041" s="5">
        <v>2.995230374861635E-3</v>
      </c>
      <c r="I2041">
        <v>5</v>
      </c>
      <c r="J2041" t="b">
        <f>AND(CCData[[#This Row],[Date]]&gt;=Calculation!$E$3,CCData[[#This Row],[Date]]&lt;Calculation!$E$3+7)</f>
        <v>0</v>
      </c>
    </row>
    <row r="2042" spans="1:10">
      <c r="A2042" t="s">
        <v>2041</v>
      </c>
      <c r="B2042" s="2">
        <v>42040.438000000002</v>
      </c>
      <c r="C2042" s="3" t="s">
        <v>5003</v>
      </c>
      <c r="D2042" t="s">
        <v>5014</v>
      </c>
      <c r="E2042" t="s">
        <v>5018</v>
      </c>
      <c r="F2042" t="s">
        <v>5018</v>
      </c>
      <c r="G2042">
        <v>54</v>
      </c>
      <c r="H2042" s="5">
        <v>2.8020184602590816E-3</v>
      </c>
      <c r="I2042">
        <v>3</v>
      </c>
      <c r="J2042" t="b">
        <f>AND(CCData[[#This Row],[Date]]&gt;=Calculation!$E$3,CCData[[#This Row],[Date]]&lt;Calculation!$E$3+7)</f>
        <v>0</v>
      </c>
    </row>
    <row r="2043" spans="1:10">
      <c r="A2043" t="s">
        <v>2042</v>
      </c>
      <c r="B2043" s="2">
        <v>42040.438000000002</v>
      </c>
      <c r="C2043" s="3" t="s">
        <v>5006</v>
      </c>
      <c r="D2043" t="s">
        <v>5015</v>
      </c>
      <c r="E2043" t="s">
        <v>5018</v>
      </c>
      <c r="F2043" t="s">
        <v>5018</v>
      </c>
      <c r="G2043">
        <v>55</v>
      </c>
      <c r="H2043" s="5">
        <v>1.5932071180190365E-3</v>
      </c>
      <c r="I2043">
        <v>3</v>
      </c>
      <c r="J2043" t="b">
        <f>AND(CCData[[#This Row],[Date]]&gt;=Calculation!$E$3,CCData[[#This Row],[Date]]&lt;Calculation!$E$3+7)</f>
        <v>0</v>
      </c>
    </row>
    <row r="2044" spans="1:10">
      <c r="A2044" t="s">
        <v>2043</v>
      </c>
      <c r="B2044" s="2">
        <v>42040.451000000001</v>
      </c>
      <c r="C2044" s="3" t="s">
        <v>5010</v>
      </c>
      <c r="D2044" t="s">
        <v>5016</v>
      </c>
      <c r="E2044" t="s">
        <v>5019</v>
      </c>
      <c r="F2044" t="s">
        <v>5019</v>
      </c>
      <c r="G2044" t="s">
        <v>5022</v>
      </c>
      <c r="H2044" s="5" t="s">
        <v>5022</v>
      </c>
      <c r="I2044" t="s">
        <v>5022</v>
      </c>
      <c r="J2044" t="b">
        <f>AND(CCData[[#This Row],[Date]]&gt;=Calculation!$E$3,CCData[[#This Row],[Date]]&lt;Calculation!$E$3+7)</f>
        <v>0</v>
      </c>
    </row>
    <row r="2045" spans="1:10">
      <c r="A2045" t="s">
        <v>2044</v>
      </c>
      <c r="B2045" s="2">
        <v>42040.451000000001</v>
      </c>
      <c r="C2045" s="3" t="s">
        <v>5008</v>
      </c>
      <c r="D2045" t="s">
        <v>5016</v>
      </c>
      <c r="E2045" t="s">
        <v>5018</v>
      </c>
      <c r="F2045" t="s">
        <v>5018</v>
      </c>
      <c r="G2045">
        <v>61</v>
      </c>
      <c r="H2045" s="5">
        <v>6.3109049623999826E-4</v>
      </c>
      <c r="I2045">
        <v>3</v>
      </c>
      <c r="J2045" t="b">
        <f>AND(CCData[[#This Row],[Date]]&gt;=Calculation!$E$3,CCData[[#This Row],[Date]]&lt;Calculation!$E$3+7)</f>
        <v>0</v>
      </c>
    </row>
    <row r="2046" spans="1:10">
      <c r="A2046" t="s">
        <v>2045</v>
      </c>
      <c r="B2046" s="2">
        <v>42040.468000000001</v>
      </c>
      <c r="C2046" s="3" t="s">
        <v>5007</v>
      </c>
      <c r="D2046" t="s">
        <v>5015</v>
      </c>
      <c r="E2046" t="s">
        <v>5018</v>
      </c>
      <c r="F2046" t="s">
        <v>5019</v>
      </c>
      <c r="G2046">
        <v>25</v>
      </c>
      <c r="H2046" s="5">
        <v>2.4469455986300165E-3</v>
      </c>
      <c r="I2046">
        <v>2</v>
      </c>
      <c r="J2046" t="b">
        <f>AND(CCData[[#This Row],[Date]]&gt;=Calculation!$E$3,CCData[[#This Row],[Date]]&lt;Calculation!$E$3+7)</f>
        <v>0</v>
      </c>
    </row>
    <row r="2047" spans="1:10">
      <c r="A2047" t="s">
        <v>2046</v>
      </c>
      <c r="B2047" s="2">
        <v>42040.468000000001</v>
      </c>
      <c r="C2047" s="3" t="s">
        <v>5009</v>
      </c>
      <c r="D2047" t="s">
        <v>5014</v>
      </c>
      <c r="E2047" t="s">
        <v>5019</v>
      </c>
      <c r="F2047" t="s">
        <v>5019</v>
      </c>
      <c r="G2047" t="s">
        <v>5022</v>
      </c>
      <c r="H2047" s="5" t="s">
        <v>5022</v>
      </c>
      <c r="I2047" t="s">
        <v>5022</v>
      </c>
      <c r="J2047" t="b">
        <f>AND(CCData[[#This Row],[Date]]&gt;=Calculation!$E$3,CCData[[#This Row],[Date]]&lt;Calculation!$E$3+7)</f>
        <v>0</v>
      </c>
    </row>
    <row r="2048" spans="1:10">
      <c r="A2048" t="s">
        <v>2047</v>
      </c>
      <c r="B2048" s="2">
        <v>42040.483</v>
      </c>
      <c r="C2048" s="3" t="s">
        <v>5009</v>
      </c>
      <c r="D2048" t="s">
        <v>5015</v>
      </c>
      <c r="E2048" t="s">
        <v>5018</v>
      </c>
      <c r="F2048" t="s">
        <v>5018</v>
      </c>
      <c r="G2048">
        <v>84</v>
      </c>
      <c r="H2048" s="5">
        <v>1.1513356540024029E-3</v>
      </c>
      <c r="I2048">
        <v>4</v>
      </c>
      <c r="J2048" t="b">
        <f>AND(CCData[[#This Row],[Date]]&gt;=Calculation!$E$3,CCData[[#This Row],[Date]]&lt;Calculation!$E$3+7)</f>
        <v>0</v>
      </c>
    </row>
    <row r="2049" spans="1:10">
      <c r="A2049" t="s">
        <v>2048</v>
      </c>
      <c r="B2049" s="2">
        <v>42040.483</v>
      </c>
      <c r="C2049" s="3" t="s">
        <v>5004</v>
      </c>
      <c r="D2049" t="s">
        <v>5014</v>
      </c>
      <c r="E2049" t="s">
        <v>5018</v>
      </c>
      <c r="F2049" t="s">
        <v>5018</v>
      </c>
      <c r="G2049">
        <v>36</v>
      </c>
      <c r="H2049" s="5">
        <v>3.5945596655593414E-3</v>
      </c>
      <c r="I2049">
        <v>4</v>
      </c>
      <c r="J2049" t="b">
        <f>AND(CCData[[#This Row],[Date]]&gt;=Calculation!$E$3,CCData[[#This Row],[Date]]&lt;Calculation!$E$3+7)</f>
        <v>0</v>
      </c>
    </row>
    <row r="2050" spans="1:10">
      <c r="A2050" t="s">
        <v>2049</v>
      </c>
      <c r="B2050" s="2">
        <v>42040.485999999997</v>
      </c>
      <c r="C2050" s="3" t="s">
        <v>5005</v>
      </c>
      <c r="D2050" t="s">
        <v>5016</v>
      </c>
      <c r="E2050" t="s">
        <v>5018</v>
      </c>
      <c r="F2050" t="s">
        <v>5018</v>
      </c>
      <c r="G2050">
        <v>123</v>
      </c>
      <c r="H2050" s="5">
        <v>2.2990957596158452E-3</v>
      </c>
      <c r="I2050">
        <v>3</v>
      </c>
      <c r="J2050" t="b">
        <f>AND(CCData[[#This Row],[Date]]&gt;=Calculation!$E$3,CCData[[#This Row],[Date]]&lt;Calculation!$E$3+7)</f>
        <v>0</v>
      </c>
    </row>
    <row r="2051" spans="1:10">
      <c r="A2051" t="s">
        <v>2050</v>
      </c>
      <c r="B2051" s="2">
        <v>42040.485999999997</v>
      </c>
      <c r="C2051" s="3" t="s">
        <v>5008</v>
      </c>
      <c r="D2051" t="s">
        <v>5014</v>
      </c>
      <c r="E2051" t="s">
        <v>5018</v>
      </c>
      <c r="F2051" t="s">
        <v>5018</v>
      </c>
      <c r="G2051">
        <v>50</v>
      </c>
      <c r="H2051" s="5">
        <v>4.8061336293863518E-3</v>
      </c>
      <c r="I2051">
        <v>1</v>
      </c>
      <c r="J2051" t="b">
        <f>AND(CCData[[#This Row],[Date]]&gt;=Calculation!$E$3,CCData[[#This Row],[Date]]&lt;Calculation!$E$3+7)</f>
        <v>0</v>
      </c>
    </row>
    <row r="2052" spans="1:10">
      <c r="A2052" t="s">
        <v>2051</v>
      </c>
      <c r="B2052" s="2">
        <v>42040.487999999998</v>
      </c>
      <c r="C2052" s="3" t="s">
        <v>5010</v>
      </c>
      <c r="D2052" t="s">
        <v>5015</v>
      </c>
      <c r="E2052" t="s">
        <v>5019</v>
      </c>
      <c r="F2052" t="s">
        <v>5019</v>
      </c>
      <c r="G2052" t="s">
        <v>5022</v>
      </c>
      <c r="H2052" s="5" t="s">
        <v>5022</v>
      </c>
      <c r="I2052" t="s">
        <v>5022</v>
      </c>
      <c r="J2052" t="b">
        <f>AND(CCData[[#This Row],[Date]]&gt;=Calculation!$E$3,CCData[[#This Row],[Date]]&lt;Calculation!$E$3+7)</f>
        <v>0</v>
      </c>
    </row>
    <row r="2053" spans="1:10">
      <c r="A2053" t="s">
        <v>2052</v>
      </c>
      <c r="B2053" s="2">
        <v>42040.487999999998</v>
      </c>
      <c r="C2053" s="3" t="s">
        <v>5007</v>
      </c>
      <c r="D2053" t="s">
        <v>5012</v>
      </c>
      <c r="E2053" t="s">
        <v>5018</v>
      </c>
      <c r="F2053" t="s">
        <v>5018</v>
      </c>
      <c r="G2053">
        <v>69</v>
      </c>
      <c r="H2053" s="5">
        <v>1.6602362088879604E-3</v>
      </c>
      <c r="I2053">
        <v>4</v>
      </c>
      <c r="J2053" t="b">
        <f>AND(CCData[[#This Row],[Date]]&gt;=Calculation!$E$3,CCData[[#This Row],[Date]]&lt;Calculation!$E$3+7)</f>
        <v>0</v>
      </c>
    </row>
    <row r="2054" spans="1:10">
      <c r="A2054" t="s">
        <v>2053</v>
      </c>
      <c r="B2054" s="2">
        <v>42040.491999999998</v>
      </c>
      <c r="C2054" s="3" t="s">
        <v>5007</v>
      </c>
      <c r="D2054" t="s">
        <v>5016</v>
      </c>
      <c r="E2054" t="s">
        <v>5018</v>
      </c>
      <c r="F2054" t="s">
        <v>5018</v>
      </c>
      <c r="G2054">
        <v>62</v>
      </c>
      <c r="H2054" s="5">
        <v>2.4531360183947487E-3</v>
      </c>
      <c r="I2054">
        <v>3</v>
      </c>
      <c r="J2054" t="b">
        <f>AND(CCData[[#This Row],[Date]]&gt;=Calculation!$E$3,CCData[[#This Row],[Date]]&lt;Calculation!$E$3+7)</f>
        <v>0</v>
      </c>
    </row>
    <row r="2055" spans="1:10">
      <c r="A2055" t="s">
        <v>2054</v>
      </c>
      <c r="B2055" s="2">
        <v>42040.491999999998</v>
      </c>
      <c r="C2055" s="3" t="s">
        <v>5005</v>
      </c>
      <c r="D2055" t="s">
        <v>5016</v>
      </c>
      <c r="E2055" t="s">
        <v>5018</v>
      </c>
      <c r="F2055" t="s">
        <v>5018</v>
      </c>
      <c r="G2055">
        <v>39</v>
      </c>
      <c r="H2055" s="5">
        <v>1.0497155098299475E-3</v>
      </c>
      <c r="I2055">
        <v>3</v>
      </c>
      <c r="J2055" t="b">
        <f>AND(CCData[[#This Row],[Date]]&gt;=Calculation!$E$3,CCData[[#This Row],[Date]]&lt;Calculation!$E$3+7)</f>
        <v>0</v>
      </c>
    </row>
    <row r="2056" spans="1:10">
      <c r="A2056" t="s">
        <v>2055</v>
      </c>
      <c r="B2056" s="2">
        <v>42040.493000000002</v>
      </c>
      <c r="C2056" s="3" t="s">
        <v>5009</v>
      </c>
      <c r="D2056" t="s">
        <v>5014</v>
      </c>
      <c r="E2056" t="s">
        <v>5018</v>
      </c>
      <c r="F2056" t="s">
        <v>5018</v>
      </c>
      <c r="G2056">
        <v>61</v>
      </c>
      <c r="H2056" s="5">
        <v>3.5392362185738451E-3</v>
      </c>
      <c r="I2056">
        <v>5</v>
      </c>
      <c r="J2056" t="b">
        <f>AND(CCData[[#This Row],[Date]]&gt;=Calculation!$E$3,CCData[[#This Row],[Date]]&lt;Calculation!$E$3+7)</f>
        <v>0</v>
      </c>
    </row>
    <row r="2057" spans="1:10">
      <c r="A2057" t="s">
        <v>2056</v>
      </c>
      <c r="B2057" s="2">
        <v>42040.493000000002</v>
      </c>
      <c r="C2057" s="3" t="s">
        <v>5009</v>
      </c>
      <c r="D2057" t="s">
        <v>5015</v>
      </c>
      <c r="E2057" t="s">
        <v>5018</v>
      </c>
      <c r="F2057" t="s">
        <v>5018</v>
      </c>
      <c r="G2057">
        <v>45</v>
      </c>
      <c r="H2057" s="5">
        <v>2.1508692670649775E-3</v>
      </c>
      <c r="I2057">
        <v>3</v>
      </c>
      <c r="J2057" t="b">
        <f>AND(CCData[[#This Row],[Date]]&gt;=Calculation!$E$3,CCData[[#This Row],[Date]]&lt;Calculation!$E$3+7)</f>
        <v>0</v>
      </c>
    </row>
    <row r="2058" spans="1:10">
      <c r="A2058" t="s">
        <v>2057</v>
      </c>
      <c r="B2058" s="2">
        <v>42040.493000000002</v>
      </c>
      <c r="C2058" s="3" t="s">
        <v>5008</v>
      </c>
      <c r="D2058" t="s">
        <v>5013</v>
      </c>
      <c r="E2058" t="s">
        <v>5018</v>
      </c>
      <c r="F2058" t="s">
        <v>5018</v>
      </c>
      <c r="G2058">
        <v>109</v>
      </c>
      <c r="H2058" s="5">
        <v>3.6058353539636626E-3</v>
      </c>
      <c r="I2058">
        <v>4</v>
      </c>
      <c r="J2058" t="b">
        <f>AND(CCData[[#This Row],[Date]]&gt;=Calculation!$E$3,CCData[[#This Row],[Date]]&lt;Calculation!$E$3+7)</f>
        <v>0</v>
      </c>
    </row>
    <row r="2059" spans="1:10">
      <c r="A2059" t="s">
        <v>2058</v>
      </c>
      <c r="B2059" s="2">
        <v>42040.493000000002</v>
      </c>
      <c r="C2059" s="3" t="s">
        <v>5006</v>
      </c>
      <c r="D2059" t="s">
        <v>5015</v>
      </c>
      <c r="E2059" t="s">
        <v>5019</v>
      </c>
      <c r="F2059" t="s">
        <v>5019</v>
      </c>
      <c r="G2059" t="s">
        <v>5022</v>
      </c>
      <c r="H2059" s="5" t="s">
        <v>5022</v>
      </c>
      <c r="I2059" t="s">
        <v>5022</v>
      </c>
      <c r="J2059" t="b">
        <f>AND(CCData[[#This Row],[Date]]&gt;=Calculation!$E$3,CCData[[#This Row],[Date]]&lt;Calculation!$E$3+7)</f>
        <v>0</v>
      </c>
    </row>
    <row r="2060" spans="1:10">
      <c r="A2060" t="s">
        <v>2059</v>
      </c>
      <c r="B2060" s="2">
        <v>42040.493999999999</v>
      </c>
      <c r="C2060" s="3" t="s">
        <v>5009</v>
      </c>
      <c r="D2060" t="s">
        <v>5016</v>
      </c>
      <c r="E2060" t="s">
        <v>5018</v>
      </c>
      <c r="F2060" t="s">
        <v>5018</v>
      </c>
      <c r="G2060">
        <v>41</v>
      </c>
      <c r="H2060" s="5">
        <v>9.5984313209329349E-4</v>
      </c>
      <c r="I2060">
        <v>5</v>
      </c>
      <c r="J2060" t="b">
        <f>AND(CCData[[#This Row],[Date]]&gt;=Calculation!$E$3,CCData[[#This Row],[Date]]&lt;Calculation!$E$3+7)</f>
        <v>0</v>
      </c>
    </row>
    <row r="2061" spans="1:10">
      <c r="A2061" t="s">
        <v>2060</v>
      </c>
      <c r="B2061" s="2">
        <v>42040.493999999999</v>
      </c>
      <c r="C2061" s="3" t="s">
        <v>5006</v>
      </c>
      <c r="D2061" t="s">
        <v>5016</v>
      </c>
      <c r="E2061" t="s">
        <v>5018</v>
      </c>
      <c r="F2061" t="s">
        <v>5018</v>
      </c>
      <c r="G2061">
        <v>10</v>
      </c>
      <c r="H2061" s="5">
        <v>3.6365112852442165E-3</v>
      </c>
      <c r="I2061">
        <v>3</v>
      </c>
      <c r="J2061" t="b">
        <f>AND(CCData[[#This Row],[Date]]&gt;=Calculation!$E$3,CCData[[#This Row],[Date]]&lt;Calculation!$E$3+7)</f>
        <v>0</v>
      </c>
    </row>
    <row r="2062" spans="1:10">
      <c r="A2062" t="s">
        <v>2061</v>
      </c>
      <c r="B2062" s="2">
        <v>42040.508000000002</v>
      </c>
      <c r="C2062" s="3" t="s">
        <v>5005</v>
      </c>
      <c r="D2062" t="s">
        <v>5012</v>
      </c>
      <c r="E2062" t="s">
        <v>5018</v>
      </c>
      <c r="F2062" t="s">
        <v>5018</v>
      </c>
      <c r="G2062">
        <v>23</v>
      </c>
      <c r="H2062" s="5">
        <v>2.4956287858364104E-3</v>
      </c>
      <c r="I2062">
        <v>1</v>
      </c>
      <c r="J2062" t="b">
        <f>AND(CCData[[#This Row],[Date]]&gt;=Calculation!$E$3,CCData[[#This Row],[Date]]&lt;Calculation!$E$3+7)</f>
        <v>0</v>
      </c>
    </row>
    <row r="2063" spans="1:10">
      <c r="A2063" t="s">
        <v>2062</v>
      </c>
      <c r="B2063" s="2">
        <v>42040.508000000002</v>
      </c>
      <c r="C2063" s="3" t="s">
        <v>5009</v>
      </c>
      <c r="D2063" t="s">
        <v>5015</v>
      </c>
      <c r="E2063" t="s">
        <v>5018</v>
      </c>
      <c r="F2063" t="s">
        <v>5018</v>
      </c>
      <c r="G2063">
        <v>22</v>
      </c>
      <c r="H2063" s="5">
        <v>3.2465855012008549E-3</v>
      </c>
      <c r="I2063">
        <v>4</v>
      </c>
      <c r="J2063" t="b">
        <f>AND(CCData[[#This Row],[Date]]&gt;=Calculation!$E$3,CCData[[#This Row],[Date]]&lt;Calculation!$E$3+7)</f>
        <v>0</v>
      </c>
    </row>
    <row r="2064" spans="1:10">
      <c r="A2064" t="s">
        <v>2063</v>
      </c>
      <c r="B2064" s="2">
        <v>42040.546999999999</v>
      </c>
      <c r="C2064" s="3" t="s">
        <v>5003</v>
      </c>
      <c r="D2064" t="s">
        <v>5012</v>
      </c>
      <c r="E2064" t="s">
        <v>5018</v>
      </c>
      <c r="F2064" t="s">
        <v>5019</v>
      </c>
      <c r="G2064">
        <v>75</v>
      </c>
      <c r="H2064" s="5">
        <v>1.2950466588177523E-3</v>
      </c>
      <c r="I2064">
        <v>5</v>
      </c>
      <c r="J2064" t="b">
        <f>AND(CCData[[#This Row],[Date]]&gt;=Calculation!$E$3,CCData[[#This Row],[Date]]&lt;Calculation!$E$3+7)</f>
        <v>0</v>
      </c>
    </row>
    <row r="2065" spans="1:10">
      <c r="A2065" t="s">
        <v>2064</v>
      </c>
      <c r="B2065" s="2">
        <v>42040.546999999999</v>
      </c>
      <c r="C2065" s="3" t="s">
        <v>5010</v>
      </c>
      <c r="D2065" t="s">
        <v>5014</v>
      </c>
      <c r="E2065" t="s">
        <v>5018</v>
      </c>
      <c r="F2065" t="s">
        <v>5018</v>
      </c>
      <c r="G2065">
        <v>93</v>
      </c>
      <c r="H2065" s="5">
        <v>3.2076440496447622E-3</v>
      </c>
      <c r="I2065">
        <v>3</v>
      </c>
      <c r="J2065" t="b">
        <f>AND(CCData[[#This Row],[Date]]&gt;=Calculation!$E$3,CCData[[#This Row],[Date]]&lt;Calculation!$E$3+7)</f>
        <v>0</v>
      </c>
    </row>
    <row r="2066" spans="1:10">
      <c r="A2066" t="s">
        <v>2065</v>
      </c>
      <c r="B2066" s="2">
        <v>42040.553999999996</v>
      </c>
      <c r="C2066" s="3" t="s">
        <v>5007</v>
      </c>
      <c r="D2066" t="s">
        <v>5016</v>
      </c>
      <c r="E2066" t="s">
        <v>5018</v>
      </c>
      <c r="F2066" t="s">
        <v>5018</v>
      </c>
      <c r="G2066">
        <v>106</v>
      </c>
      <c r="H2066" s="5">
        <v>2.6447314488234168E-3</v>
      </c>
      <c r="I2066">
        <v>4</v>
      </c>
      <c r="J2066" t="b">
        <f>AND(CCData[[#This Row],[Date]]&gt;=Calculation!$E$3,CCData[[#This Row],[Date]]&lt;Calculation!$E$3+7)</f>
        <v>0</v>
      </c>
    </row>
    <row r="2067" spans="1:10">
      <c r="A2067" t="s">
        <v>2066</v>
      </c>
      <c r="B2067" s="2">
        <v>42040.553999999996</v>
      </c>
      <c r="C2067" s="3" t="s">
        <v>5008</v>
      </c>
      <c r="D2067" t="s">
        <v>5016</v>
      </c>
      <c r="E2067" t="s">
        <v>5018</v>
      </c>
      <c r="F2067" t="s">
        <v>5018</v>
      </c>
      <c r="G2067">
        <v>117</v>
      </c>
      <c r="H2067" s="5">
        <v>2.6851151175390875E-3</v>
      </c>
      <c r="I2067">
        <v>3</v>
      </c>
      <c r="J2067" t="b">
        <f>AND(CCData[[#This Row],[Date]]&gt;=Calculation!$E$3,CCData[[#This Row],[Date]]&lt;Calculation!$E$3+7)</f>
        <v>0</v>
      </c>
    </row>
    <row r="2068" spans="1:10">
      <c r="A2068" t="s">
        <v>2067</v>
      </c>
      <c r="B2068" s="2">
        <v>42040.572</v>
      </c>
      <c r="C2068" s="3" t="s">
        <v>5007</v>
      </c>
      <c r="D2068" t="s">
        <v>5014</v>
      </c>
      <c r="E2068" t="s">
        <v>5018</v>
      </c>
      <c r="F2068" t="s">
        <v>5019</v>
      </c>
      <c r="G2068">
        <v>74</v>
      </c>
      <c r="H2068" s="5">
        <v>1.8731583835984338E-3</v>
      </c>
      <c r="I2068">
        <v>1</v>
      </c>
      <c r="J2068" t="b">
        <f>AND(CCData[[#This Row],[Date]]&gt;=Calculation!$E$3,CCData[[#This Row],[Date]]&lt;Calculation!$E$3+7)</f>
        <v>0</v>
      </c>
    </row>
    <row r="2069" spans="1:10">
      <c r="A2069" t="s">
        <v>2068</v>
      </c>
      <c r="B2069" s="2">
        <v>42040.572</v>
      </c>
      <c r="C2069" s="3" t="s">
        <v>5004</v>
      </c>
      <c r="D2069" t="s">
        <v>5013</v>
      </c>
      <c r="E2069" t="s">
        <v>5018</v>
      </c>
      <c r="F2069" t="s">
        <v>5018</v>
      </c>
      <c r="G2069">
        <v>68</v>
      </c>
      <c r="H2069" s="5">
        <v>7.7822591430928227E-4</v>
      </c>
      <c r="I2069">
        <v>3</v>
      </c>
      <c r="J2069" t="b">
        <f>AND(CCData[[#This Row],[Date]]&gt;=Calculation!$E$3,CCData[[#This Row],[Date]]&lt;Calculation!$E$3+7)</f>
        <v>0</v>
      </c>
    </row>
    <row r="2070" spans="1:10">
      <c r="A2070" t="s">
        <v>2069</v>
      </c>
      <c r="B2070" s="2">
        <v>42040.593000000001</v>
      </c>
      <c r="C2070" s="3" t="s">
        <v>5006</v>
      </c>
      <c r="D2070" t="s">
        <v>5015</v>
      </c>
      <c r="E2070" t="s">
        <v>5018</v>
      </c>
      <c r="F2070" t="s">
        <v>5018</v>
      </c>
      <c r="G2070">
        <v>107</v>
      </c>
      <c r="H2070" s="5">
        <v>3.904661158554082E-3</v>
      </c>
      <c r="I2070">
        <v>3</v>
      </c>
      <c r="J2070" t="b">
        <f>AND(CCData[[#This Row],[Date]]&gt;=Calculation!$E$3,CCData[[#This Row],[Date]]&lt;Calculation!$E$3+7)</f>
        <v>0</v>
      </c>
    </row>
    <row r="2071" spans="1:10">
      <c r="A2071" t="s">
        <v>2070</v>
      </c>
      <c r="B2071" s="2">
        <v>42040.593000000001</v>
      </c>
      <c r="C2071" s="3" t="s">
        <v>5003</v>
      </c>
      <c r="D2071" t="s">
        <v>5012</v>
      </c>
      <c r="E2071" t="s">
        <v>5018</v>
      </c>
      <c r="F2071" t="s">
        <v>5018</v>
      </c>
      <c r="G2071">
        <v>119</v>
      </c>
      <c r="H2071" s="5">
        <v>6.6776564798775163E-4</v>
      </c>
      <c r="I2071">
        <v>1</v>
      </c>
      <c r="J2071" t="b">
        <f>AND(CCData[[#This Row],[Date]]&gt;=Calculation!$E$3,CCData[[#This Row],[Date]]&lt;Calculation!$E$3+7)</f>
        <v>0</v>
      </c>
    </row>
    <row r="2072" spans="1:10">
      <c r="A2072" t="s">
        <v>2071</v>
      </c>
      <c r="B2072" s="2">
        <v>42040.601999999999</v>
      </c>
      <c r="C2072" s="3" t="s">
        <v>5010</v>
      </c>
      <c r="D2072" t="s">
        <v>5014</v>
      </c>
      <c r="E2072" t="s">
        <v>5019</v>
      </c>
      <c r="F2072" t="s">
        <v>5019</v>
      </c>
      <c r="G2072" t="s">
        <v>5022</v>
      </c>
      <c r="H2072" s="5" t="s">
        <v>5022</v>
      </c>
      <c r="I2072" t="s">
        <v>5022</v>
      </c>
      <c r="J2072" t="b">
        <f>AND(CCData[[#This Row],[Date]]&gt;=Calculation!$E$3,CCData[[#This Row],[Date]]&lt;Calculation!$E$3+7)</f>
        <v>0</v>
      </c>
    </row>
    <row r="2073" spans="1:10">
      <c r="A2073" t="s">
        <v>2072</v>
      </c>
      <c r="B2073" s="2">
        <v>42040.601999999999</v>
      </c>
      <c r="C2073" s="3" t="s">
        <v>5005</v>
      </c>
      <c r="D2073" t="s">
        <v>5016</v>
      </c>
      <c r="E2073" t="s">
        <v>5018</v>
      </c>
      <c r="F2073" t="s">
        <v>5018</v>
      </c>
      <c r="G2073">
        <v>123</v>
      </c>
      <c r="H2073" s="5">
        <v>2.9614073752513631E-3</v>
      </c>
      <c r="I2073">
        <v>2</v>
      </c>
      <c r="J2073" t="b">
        <f>AND(CCData[[#This Row],[Date]]&gt;=Calculation!$E$3,CCData[[#This Row],[Date]]&lt;Calculation!$E$3+7)</f>
        <v>0</v>
      </c>
    </row>
    <row r="2074" spans="1:10">
      <c r="A2074" t="s">
        <v>2073</v>
      </c>
      <c r="B2074" s="2">
        <v>42040.606</v>
      </c>
      <c r="C2074" s="3" t="s">
        <v>5007</v>
      </c>
      <c r="D2074" t="s">
        <v>5015</v>
      </c>
      <c r="E2074" t="s">
        <v>5018</v>
      </c>
      <c r="F2074" t="s">
        <v>5018</v>
      </c>
      <c r="G2074">
        <v>103</v>
      </c>
      <c r="H2074" s="5">
        <v>1.5172601493435209E-3</v>
      </c>
      <c r="I2074">
        <v>2</v>
      </c>
      <c r="J2074" t="b">
        <f>AND(CCData[[#This Row],[Date]]&gt;=Calculation!$E$3,CCData[[#This Row],[Date]]&lt;Calculation!$E$3+7)</f>
        <v>0</v>
      </c>
    </row>
    <row r="2075" spans="1:10">
      <c r="A2075" t="s">
        <v>2074</v>
      </c>
      <c r="B2075" s="2">
        <v>42040.606</v>
      </c>
      <c r="C2075" s="3" t="s">
        <v>5009</v>
      </c>
      <c r="D2075" t="s">
        <v>5016</v>
      </c>
      <c r="E2075" t="s">
        <v>5018</v>
      </c>
      <c r="F2075" t="s">
        <v>5018</v>
      </c>
      <c r="G2075">
        <v>113</v>
      </c>
      <c r="H2075" s="5">
        <v>4.2962566517923601E-4</v>
      </c>
      <c r="I2075">
        <v>5</v>
      </c>
      <c r="J2075" t="b">
        <f>AND(CCData[[#This Row],[Date]]&gt;=Calculation!$E$3,CCData[[#This Row],[Date]]&lt;Calculation!$E$3+7)</f>
        <v>0</v>
      </c>
    </row>
    <row r="2076" spans="1:10">
      <c r="A2076" t="s">
        <v>2075</v>
      </c>
      <c r="B2076" s="2">
        <v>42040.608</v>
      </c>
      <c r="C2076" s="3" t="s">
        <v>5006</v>
      </c>
      <c r="D2076" t="s">
        <v>5013</v>
      </c>
      <c r="E2076" t="s">
        <v>5018</v>
      </c>
      <c r="F2076" t="s">
        <v>5019</v>
      </c>
      <c r="G2076">
        <v>116</v>
      </c>
      <c r="H2076" s="5">
        <v>3.6527654475952448E-3</v>
      </c>
      <c r="I2076">
        <v>4</v>
      </c>
      <c r="J2076" t="b">
        <f>AND(CCData[[#This Row],[Date]]&gt;=Calculation!$E$3,CCData[[#This Row],[Date]]&lt;Calculation!$E$3+7)</f>
        <v>0</v>
      </c>
    </row>
    <row r="2077" spans="1:10">
      <c r="A2077" t="s">
        <v>2076</v>
      </c>
      <c r="B2077" s="2">
        <v>42040.608</v>
      </c>
      <c r="C2077" s="3" t="s">
        <v>5005</v>
      </c>
      <c r="D2077" t="s">
        <v>5015</v>
      </c>
      <c r="E2077" t="s">
        <v>5018</v>
      </c>
      <c r="F2077" t="s">
        <v>5019</v>
      </c>
      <c r="G2077">
        <v>39</v>
      </c>
      <c r="H2077" s="5">
        <v>1.5744160303465184E-3</v>
      </c>
      <c r="I2077">
        <v>1</v>
      </c>
      <c r="J2077" t="b">
        <f>AND(CCData[[#This Row],[Date]]&gt;=Calculation!$E$3,CCData[[#This Row],[Date]]&lt;Calculation!$E$3+7)</f>
        <v>0</v>
      </c>
    </row>
    <row r="2078" spans="1:10">
      <c r="A2078" t="s">
        <v>2077</v>
      </c>
      <c r="B2078" s="2">
        <v>42040.616000000002</v>
      </c>
      <c r="C2078" s="3" t="s">
        <v>5004</v>
      </c>
      <c r="D2078" t="s">
        <v>5015</v>
      </c>
      <c r="E2078" t="s">
        <v>5018</v>
      </c>
      <c r="F2078" t="s">
        <v>5018</v>
      </c>
      <c r="G2078">
        <v>78</v>
      </c>
      <c r="H2078" s="5">
        <v>4.3099197752148304E-3</v>
      </c>
      <c r="I2078">
        <v>3</v>
      </c>
      <c r="J2078" t="b">
        <f>AND(CCData[[#This Row],[Date]]&gt;=Calculation!$E$3,CCData[[#This Row],[Date]]&lt;Calculation!$E$3+7)</f>
        <v>0</v>
      </c>
    </row>
    <row r="2079" spans="1:10">
      <c r="A2079" t="s">
        <v>2078</v>
      </c>
      <c r="B2079" s="2">
        <v>42040.616000000002</v>
      </c>
      <c r="C2079" s="3" t="s">
        <v>5009</v>
      </c>
      <c r="D2079" t="s">
        <v>5013</v>
      </c>
      <c r="E2079" t="s">
        <v>5018</v>
      </c>
      <c r="F2079" t="s">
        <v>5018</v>
      </c>
      <c r="G2079">
        <v>120</v>
      </c>
      <c r="H2079" s="5">
        <v>3.5883388868176102E-3</v>
      </c>
      <c r="I2079">
        <v>3</v>
      </c>
      <c r="J2079" t="b">
        <f>AND(CCData[[#This Row],[Date]]&gt;=Calculation!$E$3,CCData[[#This Row],[Date]]&lt;Calculation!$E$3+7)</f>
        <v>0</v>
      </c>
    </row>
    <row r="2080" spans="1:10">
      <c r="A2080" t="s">
        <v>2079</v>
      </c>
      <c r="B2080" s="2">
        <v>42040.623</v>
      </c>
      <c r="C2080" s="3" t="s">
        <v>5008</v>
      </c>
      <c r="D2080" t="s">
        <v>5012</v>
      </c>
      <c r="E2080" t="s">
        <v>5018</v>
      </c>
      <c r="F2080" t="s">
        <v>5018</v>
      </c>
      <c r="G2080">
        <v>118</v>
      </c>
      <c r="H2080" s="5">
        <v>2.0064837436729525E-3</v>
      </c>
      <c r="I2080">
        <v>3</v>
      </c>
      <c r="J2080" t="b">
        <f>AND(CCData[[#This Row],[Date]]&gt;=Calculation!$E$3,CCData[[#This Row],[Date]]&lt;Calculation!$E$3+7)</f>
        <v>0</v>
      </c>
    </row>
    <row r="2081" spans="1:10">
      <c r="A2081" t="s">
        <v>2080</v>
      </c>
      <c r="B2081" s="2">
        <v>42040.623</v>
      </c>
      <c r="C2081" s="3" t="s">
        <v>5010</v>
      </c>
      <c r="D2081" t="s">
        <v>5012</v>
      </c>
      <c r="E2081" t="s">
        <v>5018</v>
      </c>
      <c r="F2081" t="s">
        <v>5018</v>
      </c>
      <c r="G2081">
        <v>103</v>
      </c>
      <c r="H2081" s="5">
        <v>3.3057267857701722E-3</v>
      </c>
      <c r="I2081">
        <v>3</v>
      </c>
      <c r="J2081" t="b">
        <f>AND(CCData[[#This Row],[Date]]&gt;=Calculation!$E$3,CCData[[#This Row],[Date]]&lt;Calculation!$E$3+7)</f>
        <v>0</v>
      </c>
    </row>
    <row r="2082" spans="1:10">
      <c r="A2082" t="s">
        <v>2081</v>
      </c>
      <c r="B2082" s="2">
        <v>42040.635000000002</v>
      </c>
      <c r="C2082" s="3" t="s">
        <v>5007</v>
      </c>
      <c r="D2082" t="s">
        <v>5015</v>
      </c>
      <c r="E2082" t="s">
        <v>5018</v>
      </c>
      <c r="F2082" t="s">
        <v>5018</v>
      </c>
      <c r="G2082">
        <v>96</v>
      </c>
      <c r="H2082" s="5">
        <v>3.4555862548062508E-3</v>
      </c>
      <c r="I2082">
        <v>4</v>
      </c>
      <c r="J2082" t="b">
        <f>AND(CCData[[#This Row],[Date]]&gt;=Calculation!$E$3,CCData[[#This Row],[Date]]&lt;Calculation!$E$3+7)</f>
        <v>0</v>
      </c>
    </row>
    <row r="2083" spans="1:10">
      <c r="A2083" t="s">
        <v>2082</v>
      </c>
      <c r="B2083" s="2">
        <v>42040.635000000002</v>
      </c>
      <c r="C2083" s="3" t="s">
        <v>5004</v>
      </c>
      <c r="D2083" t="s">
        <v>5014</v>
      </c>
      <c r="E2083" t="s">
        <v>5018</v>
      </c>
      <c r="F2083" t="s">
        <v>5018</v>
      </c>
      <c r="G2083">
        <v>105</v>
      </c>
      <c r="H2083" s="5">
        <v>2.4809178519379122E-3</v>
      </c>
      <c r="I2083">
        <v>4</v>
      </c>
      <c r="J2083" t="b">
        <f>AND(CCData[[#This Row],[Date]]&gt;=Calculation!$E$3,CCData[[#This Row],[Date]]&lt;Calculation!$E$3+7)</f>
        <v>0</v>
      </c>
    </row>
    <row r="2084" spans="1:10">
      <c r="A2084" t="s">
        <v>2083</v>
      </c>
      <c r="B2084" s="2">
        <v>42040.654000000002</v>
      </c>
      <c r="C2084" s="3" t="s">
        <v>5008</v>
      </c>
      <c r="D2084" t="s">
        <v>5014</v>
      </c>
      <c r="E2084" t="s">
        <v>5018</v>
      </c>
      <c r="F2084" t="s">
        <v>5018</v>
      </c>
      <c r="G2084">
        <v>12</v>
      </c>
      <c r="H2084" s="5">
        <v>2.053253462996475E-3</v>
      </c>
      <c r="I2084">
        <v>2</v>
      </c>
      <c r="J2084" t="b">
        <f>AND(CCData[[#This Row],[Date]]&gt;=Calculation!$E$3,CCData[[#This Row],[Date]]&lt;Calculation!$E$3+7)</f>
        <v>0</v>
      </c>
    </row>
    <row r="2085" spans="1:10">
      <c r="A2085" t="s">
        <v>2084</v>
      </c>
      <c r="B2085" s="2">
        <v>42040.654000000002</v>
      </c>
      <c r="C2085" s="3" t="s">
        <v>5009</v>
      </c>
      <c r="D2085" t="s">
        <v>5015</v>
      </c>
      <c r="E2085" t="s">
        <v>5019</v>
      </c>
      <c r="F2085" t="s">
        <v>5019</v>
      </c>
      <c r="G2085" t="s">
        <v>5022</v>
      </c>
      <c r="H2085" s="5" t="s">
        <v>5022</v>
      </c>
      <c r="I2085" t="s">
        <v>5022</v>
      </c>
      <c r="J2085" t="b">
        <f>AND(CCData[[#This Row],[Date]]&gt;=Calculation!$E$3,CCData[[#This Row],[Date]]&lt;Calculation!$E$3+7)</f>
        <v>0</v>
      </c>
    </row>
    <row r="2086" spans="1:10">
      <c r="A2086" t="s">
        <v>2085</v>
      </c>
      <c r="B2086" s="2">
        <v>42040.67</v>
      </c>
      <c r="C2086" s="3" t="s">
        <v>5009</v>
      </c>
      <c r="D2086" t="s">
        <v>5013</v>
      </c>
      <c r="E2086" t="s">
        <v>5018</v>
      </c>
      <c r="F2086" t="s">
        <v>5018</v>
      </c>
      <c r="G2086">
        <v>61</v>
      </c>
      <c r="H2086" s="5">
        <v>2.227081095047565E-3</v>
      </c>
      <c r="I2086">
        <v>2</v>
      </c>
      <c r="J2086" t="b">
        <f>AND(CCData[[#This Row],[Date]]&gt;=Calculation!$E$3,CCData[[#This Row],[Date]]&lt;Calculation!$E$3+7)</f>
        <v>0</v>
      </c>
    </row>
    <row r="2087" spans="1:10">
      <c r="A2087" t="s">
        <v>2086</v>
      </c>
      <c r="B2087" s="2">
        <v>42040.67</v>
      </c>
      <c r="C2087" s="3" t="s">
        <v>5009</v>
      </c>
      <c r="D2087" t="s">
        <v>5015</v>
      </c>
      <c r="E2087" t="s">
        <v>5018</v>
      </c>
      <c r="F2087" t="s">
        <v>5018</v>
      </c>
      <c r="G2087">
        <v>82</v>
      </c>
      <c r="H2087" s="5">
        <v>4.7921788384945726E-3</v>
      </c>
      <c r="I2087">
        <v>1</v>
      </c>
      <c r="J2087" t="b">
        <f>AND(CCData[[#This Row],[Date]]&gt;=Calculation!$E$3,CCData[[#This Row],[Date]]&lt;Calculation!$E$3+7)</f>
        <v>0</v>
      </c>
    </row>
    <row r="2088" spans="1:10">
      <c r="A2088" t="s">
        <v>2087</v>
      </c>
      <c r="B2088" s="2">
        <v>42040.678999999996</v>
      </c>
      <c r="C2088" s="3" t="s">
        <v>5006</v>
      </c>
      <c r="D2088" t="s">
        <v>5013</v>
      </c>
      <c r="E2088" t="s">
        <v>5018</v>
      </c>
      <c r="F2088" t="s">
        <v>5018</v>
      </c>
      <c r="G2088">
        <v>51</v>
      </c>
      <c r="H2088" s="5">
        <v>7.28861722187815E-4</v>
      </c>
      <c r="I2088">
        <v>2</v>
      </c>
      <c r="J2088" t="b">
        <f>AND(CCData[[#This Row],[Date]]&gt;=Calculation!$E$3,CCData[[#This Row],[Date]]&lt;Calculation!$E$3+7)</f>
        <v>0</v>
      </c>
    </row>
    <row r="2089" spans="1:10">
      <c r="A2089" t="s">
        <v>2088</v>
      </c>
      <c r="B2089" s="2">
        <v>42040.678999999996</v>
      </c>
      <c r="C2089" s="3" t="s">
        <v>5004</v>
      </c>
      <c r="D2089" t="s">
        <v>5015</v>
      </c>
      <c r="E2089" t="s">
        <v>5018</v>
      </c>
      <c r="F2089" t="s">
        <v>5018</v>
      </c>
      <c r="G2089">
        <v>25</v>
      </c>
      <c r="H2089" s="5">
        <v>4.6746039187873494E-3</v>
      </c>
      <c r="I2089">
        <v>5</v>
      </c>
      <c r="J2089" t="b">
        <f>AND(CCData[[#This Row],[Date]]&gt;=Calculation!$E$3,CCData[[#This Row],[Date]]&lt;Calculation!$E$3+7)</f>
        <v>0</v>
      </c>
    </row>
    <row r="2090" spans="1:10">
      <c r="A2090" t="s">
        <v>2089</v>
      </c>
      <c r="B2090" s="2">
        <v>42040.682999999997</v>
      </c>
      <c r="C2090" s="3" t="s">
        <v>5007</v>
      </c>
      <c r="D2090" t="s">
        <v>5013</v>
      </c>
      <c r="E2090" t="s">
        <v>5018</v>
      </c>
      <c r="F2090" t="s">
        <v>5018</v>
      </c>
      <c r="G2090">
        <v>30</v>
      </c>
      <c r="H2090" s="5">
        <v>4.0294844925931901E-4</v>
      </c>
      <c r="I2090">
        <v>4</v>
      </c>
      <c r="J2090" t="b">
        <f>AND(CCData[[#This Row],[Date]]&gt;=Calculation!$E$3,CCData[[#This Row],[Date]]&lt;Calculation!$E$3+7)</f>
        <v>0</v>
      </c>
    </row>
    <row r="2091" spans="1:10">
      <c r="A2091" t="s">
        <v>2090</v>
      </c>
      <c r="B2091" s="2">
        <v>42040.682999999997</v>
      </c>
      <c r="C2091" s="3" t="s">
        <v>5009</v>
      </c>
      <c r="D2091" t="s">
        <v>5013</v>
      </c>
      <c r="E2091" t="s">
        <v>5019</v>
      </c>
      <c r="F2091" t="s">
        <v>5019</v>
      </c>
      <c r="G2091" t="s">
        <v>5022</v>
      </c>
      <c r="H2091" s="5" t="s">
        <v>5022</v>
      </c>
      <c r="I2091" t="s">
        <v>5022</v>
      </c>
      <c r="J2091" t="b">
        <f>AND(CCData[[#This Row],[Date]]&gt;=Calculation!$E$3,CCData[[#This Row],[Date]]&lt;Calculation!$E$3+7)</f>
        <v>0</v>
      </c>
    </row>
    <row r="2092" spans="1:10">
      <c r="A2092" t="s">
        <v>2091</v>
      </c>
      <c r="B2092" s="2">
        <v>42040.705000000002</v>
      </c>
      <c r="C2092" s="3" t="s">
        <v>5005</v>
      </c>
      <c r="D2092" t="s">
        <v>5012</v>
      </c>
      <c r="E2092" t="s">
        <v>5018</v>
      </c>
      <c r="F2092" t="s">
        <v>5018</v>
      </c>
      <c r="G2092">
        <v>90</v>
      </c>
      <c r="H2092" s="5">
        <v>1.3769310061885547E-3</v>
      </c>
      <c r="I2092">
        <v>3</v>
      </c>
      <c r="J2092" t="b">
        <f>AND(CCData[[#This Row],[Date]]&gt;=Calculation!$E$3,CCData[[#This Row],[Date]]&lt;Calculation!$E$3+7)</f>
        <v>0</v>
      </c>
    </row>
    <row r="2093" spans="1:10">
      <c r="A2093" t="s">
        <v>2092</v>
      </c>
      <c r="B2093" s="2">
        <v>42040.705000000002</v>
      </c>
      <c r="C2093" s="3" t="s">
        <v>5010</v>
      </c>
      <c r="D2093" t="s">
        <v>5015</v>
      </c>
      <c r="E2093" t="s">
        <v>5019</v>
      </c>
      <c r="F2093" t="s">
        <v>5019</v>
      </c>
      <c r="G2093" t="s">
        <v>5022</v>
      </c>
      <c r="H2093" s="5" t="s">
        <v>5022</v>
      </c>
      <c r="I2093" t="s">
        <v>5022</v>
      </c>
      <c r="J2093" t="b">
        <f>AND(CCData[[#This Row],[Date]]&gt;=Calculation!$E$3,CCData[[#This Row],[Date]]&lt;Calculation!$E$3+7)</f>
        <v>0</v>
      </c>
    </row>
    <row r="2094" spans="1:10">
      <c r="A2094" t="s">
        <v>2093</v>
      </c>
      <c r="B2094" s="2">
        <v>42040.722999999998</v>
      </c>
      <c r="C2094" s="3" t="s">
        <v>5003</v>
      </c>
      <c r="D2094" t="s">
        <v>5012</v>
      </c>
      <c r="E2094" t="s">
        <v>5018</v>
      </c>
      <c r="F2094" t="s">
        <v>5018</v>
      </c>
      <c r="G2094">
        <v>12</v>
      </c>
      <c r="H2094" s="5">
        <v>1.211150621862066E-3</v>
      </c>
      <c r="I2094">
        <v>3</v>
      </c>
      <c r="J2094" t="b">
        <f>AND(CCData[[#This Row],[Date]]&gt;=Calculation!$E$3,CCData[[#This Row],[Date]]&lt;Calculation!$E$3+7)</f>
        <v>0</v>
      </c>
    </row>
    <row r="2095" spans="1:10">
      <c r="A2095" t="s">
        <v>2094</v>
      </c>
      <c r="B2095" s="2">
        <v>42040.722999999998</v>
      </c>
      <c r="C2095" s="3" t="s">
        <v>5007</v>
      </c>
      <c r="D2095" t="s">
        <v>5015</v>
      </c>
      <c r="E2095" t="s">
        <v>5019</v>
      </c>
      <c r="F2095" t="s">
        <v>5019</v>
      </c>
      <c r="G2095" t="s">
        <v>5022</v>
      </c>
      <c r="H2095" s="5" t="s">
        <v>5022</v>
      </c>
      <c r="I2095" t="s">
        <v>5022</v>
      </c>
      <c r="J2095" t="b">
        <f>AND(CCData[[#This Row],[Date]]&gt;=Calculation!$E$3,CCData[[#This Row],[Date]]&lt;Calculation!$E$3+7)</f>
        <v>0</v>
      </c>
    </row>
    <row r="2096" spans="1:10">
      <c r="A2096" t="s">
        <v>2095</v>
      </c>
      <c r="B2096" s="2">
        <v>42040.735999999997</v>
      </c>
      <c r="C2096" s="3" t="s">
        <v>5009</v>
      </c>
      <c r="D2096" t="s">
        <v>5012</v>
      </c>
      <c r="E2096" t="s">
        <v>5019</v>
      </c>
      <c r="F2096" t="s">
        <v>5019</v>
      </c>
      <c r="G2096" t="s">
        <v>5022</v>
      </c>
      <c r="H2096" s="5" t="s">
        <v>5022</v>
      </c>
      <c r="I2096" t="s">
        <v>5022</v>
      </c>
      <c r="J2096" t="b">
        <f>AND(CCData[[#This Row],[Date]]&gt;=Calculation!$E$3,CCData[[#This Row],[Date]]&lt;Calculation!$E$3+7)</f>
        <v>0</v>
      </c>
    </row>
    <row r="2097" spans="1:10">
      <c r="A2097" t="s">
        <v>2096</v>
      </c>
      <c r="B2097" s="2">
        <v>42040.735999999997</v>
      </c>
      <c r="C2097" s="3" t="s">
        <v>5007</v>
      </c>
      <c r="D2097" t="s">
        <v>5013</v>
      </c>
      <c r="E2097" t="s">
        <v>5019</v>
      </c>
      <c r="F2097" t="s">
        <v>5019</v>
      </c>
      <c r="G2097" t="s">
        <v>5022</v>
      </c>
      <c r="H2097" s="5" t="s">
        <v>5022</v>
      </c>
      <c r="I2097" t="s">
        <v>5022</v>
      </c>
      <c r="J2097" t="b">
        <f>AND(CCData[[#This Row],[Date]]&gt;=Calculation!$E$3,CCData[[#This Row],[Date]]&lt;Calculation!$E$3+7)</f>
        <v>0</v>
      </c>
    </row>
    <row r="2098" spans="1:10">
      <c r="A2098" t="s">
        <v>2097</v>
      </c>
      <c r="B2098" s="2">
        <v>42040.739000000001</v>
      </c>
      <c r="C2098" s="3" t="s">
        <v>5004</v>
      </c>
      <c r="D2098" t="s">
        <v>5013</v>
      </c>
      <c r="E2098" t="s">
        <v>5018</v>
      </c>
      <c r="F2098" t="s">
        <v>5018</v>
      </c>
      <c r="G2098">
        <v>50</v>
      </c>
      <c r="H2098" s="5">
        <v>3.6558698656984348E-3</v>
      </c>
      <c r="I2098">
        <v>3</v>
      </c>
      <c r="J2098" t="b">
        <f>AND(CCData[[#This Row],[Date]]&gt;=Calculation!$E$3,CCData[[#This Row],[Date]]&lt;Calculation!$E$3+7)</f>
        <v>0</v>
      </c>
    </row>
    <row r="2099" spans="1:10">
      <c r="A2099" t="s">
        <v>2098</v>
      </c>
      <c r="B2099" s="2">
        <v>42040.739000000001</v>
      </c>
      <c r="C2099" s="3" t="s">
        <v>5003</v>
      </c>
      <c r="D2099" t="s">
        <v>5013</v>
      </c>
      <c r="E2099" t="s">
        <v>5018</v>
      </c>
      <c r="F2099" t="s">
        <v>5018</v>
      </c>
      <c r="G2099">
        <v>125</v>
      </c>
      <c r="H2099" s="5">
        <v>5.8193834699516421E-4</v>
      </c>
      <c r="I2099">
        <v>3</v>
      </c>
      <c r="J2099" t="b">
        <f>AND(CCData[[#This Row],[Date]]&gt;=Calculation!$E$3,CCData[[#This Row],[Date]]&lt;Calculation!$E$3+7)</f>
        <v>0</v>
      </c>
    </row>
    <row r="2100" spans="1:10">
      <c r="A2100" t="s">
        <v>2099</v>
      </c>
      <c r="B2100" s="2">
        <v>42041.391000000003</v>
      </c>
      <c r="C2100" s="3" t="s">
        <v>5007</v>
      </c>
      <c r="D2100" t="s">
        <v>5015</v>
      </c>
      <c r="E2100" t="s">
        <v>5018</v>
      </c>
      <c r="F2100" t="s">
        <v>5018</v>
      </c>
      <c r="G2100">
        <v>118</v>
      </c>
      <c r="H2100" s="5">
        <v>1.2727047920906927E-3</v>
      </c>
      <c r="I2100">
        <v>4</v>
      </c>
      <c r="J2100" t="b">
        <f>AND(CCData[[#This Row],[Date]]&gt;=Calculation!$E$3,CCData[[#This Row],[Date]]&lt;Calculation!$E$3+7)</f>
        <v>0</v>
      </c>
    </row>
    <row r="2101" spans="1:10">
      <c r="A2101" t="s">
        <v>2100</v>
      </c>
      <c r="B2101" s="2">
        <v>42041.391000000003</v>
      </c>
      <c r="C2101" s="3" t="s">
        <v>5009</v>
      </c>
      <c r="D2101" t="s">
        <v>5016</v>
      </c>
      <c r="E2101" t="s">
        <v>5018</v>
      </c>
      <c r="F2101" t="s">
        <v>5019</v>
      </c>
      <c r="G2101">
        <v>46</v>
      </c>
      <c r="H2101" s="5">
        <v>1.0809723974351735E-3</v>
      </c>
      <c r="I2101">
        <v>5</v>
      </c>
      <c r="J2101" t="b">
        <f>AND(CCData[[#This Row],[Date]]&gt;=Calculation!$E$3,CCData[[#This Row],[Date]]&lt;Calculation!$E$3+7)</f>
        <v>0</v>
      </c>
    </row>
    <row r="2102" spans="1:10">
      <c r="A2102" t="s">
        <v>2101</v>
      </c>
      <c r="B2102" s="2">
        <v>42041.415000000001</v>
      </c>
      <c r="C2102" s="3" t="s">
        <v>5007</v>
      </c>
      <c r="D2102" t="s">
        <v>5013</v>
      </c>
      <c r="E2102" t="s">
        <v>5018</v>
      </c>
      <c r="F2102" t="s">
        <v>5018</v>
      </c>
      <c r="G2102">
        <v>92</v>
      </c>
      <c r="H2102" s="5">
        <v>2.7231418870125503E-3</v>
      </c>
      <c r="I2102">
        <v>4</v>
      </c>
      <c r="J2102" t="b">
        <f>AND(CCData[[#This Row],[Date]]&gt;=Calculation!$E$3,CCData[[#This Row],[Date]]&lt;Calculation!$E$3+7)</f>
        <v>0</v>
      </c>
    </row>
    <row r="2103" spans="1:10">
      <c r="A2103" t="s">
        <v>2102</v>
      </c>
      <c r="B2103" s="2">
        <v>42041.415000000001</v>
      </c>
      <c r="C2103" s="3" t="s">
        <v>5004</v>
      </c>
      <c r="D2103" t="s">
        <v>5014</v>
      </c>
      <c r="E2103" t="s">
        <v>5018</v>
      </c>
      <c r="F2103" t="s">
        <v>5018</v>
      </c>
      <c r="G2103">
        <v>23</v>
      </c>
      <c r="H2103" s="5">
        <v>1.6952874693405388E-3</v>
      </c>
      <c r="I2103">
        <v>3</v>
      </c>
      <c r="J2103" t="b">
        <f>AND(CCData[[#This Row],[Date]]&gt;=Calculation!$E$3,CCData[[#This Row],[Date]]&lt;Calculation!$E$3+7)</f>
        <v>0</v>
      </c>
    </row>
    <row r="2104" spans="1:10">
      <c r="A2104" t="s">
        <v>2103</v>
      </c>
      <c r="B2104" s="2">
        <v>42041.415999999997</v>
      </c>
      <c r="C2104" s="3" t="s">
        <v>5004</v>
      </c>
      <c r="D2104" t="s">
        <v>5012</v>
      </c>
      <c r="E2104" t="s">
        <v>5018</v>
      </c>
      <c r="F2104" t="s">
        <v>5018</v>
      </c>
      <c r="G2104">
        <v>108</v>
      </c>
      <c r="H2104" s="5">
        <v>2.5809367990032059E-3</v>
      </c>
      <c r="I2104">
        <v>2</v>
      </c>
      <c r="J2104" t="b">
        <f>AND(CCData[[#This Row],[Date]]&gt;=Calculation!$E$3,CCData[[#This Row],[Date]]&lt;Calculation!$E$3+7)</f>
        <v>0</v>
      </c>
    </row>
    <row r="2105" spans="1:10">
      <c r="A2105" t="s">
        <v>2104</v>
      </c>
      <c r="B2105" s="2">
        <v>42041.415999999997</v>
      </c>
      <c r="C2105" s="3" t="s">
        <v>5003</v>
      </c>
      <c r="D2105" t="s">
        <v>5016</v>
      </c>
      <c r="E2105" t="s">
        <v>5018</v>
      </c>
      <c r="F2105" t="s">
        <v>5018</v>
      </c>
      <c r="G2105">
        <v>122</v>
      </c>
      <c r="H2105" s="5">
        <v>2.3191958027536028E-3</v>
      </c>
      <c r="I2105">
        <v>4</v>
      </c>
      <c r="J2105" t="b">
        <f>AND(CCData[[#This Row],[Date]]&gt;=Calculation!$E$3,CCData[[#This Row],[Date]]&lt;Calculation!$E$3+7)</f>
        <v>0</v>
      </c>
    </row>
    <row r="2106" spans="1:10">
      <c r="A2106" t="s">
        <v>2105</v>
      </c>
      <c r="B2106" s="2">
        <v>42041.449000000001</v>
      </c>
      <c r="C2106" s="3" t="s">
        <v>5008</v>
      </c>
      <c r="D2106" t="s">
        <v>5013</v>
      </c>
      <c r="E2106" t="s">
        <v>5018</v>
      </c>
      <c r="F2106" t="s">
        <v>5018</v>
      </c>
      <c r="G2106">
        <v>27</v>
      </c>
      <c r="H2106" s="5">
        <v>4.3936703863738281E-4</v>
      </c>
      <c r="I2106">
        <v>4</v>
      </c>
      <c r="J2106" t="b">
        <f>AND(CCData[[#This Row],[Date]]&gt;=Calculation!$E$3,CCData[[#This Row],[Date]]&lt;Calculation!$E$3+7)</f>
        <v>0</v>
      </c>
    </row>
    <row r="2107" spans="1:10">
      <c r="A2107" t="s">
        <v>2106</v>
      </c>
      <c r="B2107" s="2">
        <v>42041.449000000001</v>
      </c>
      <c r="C2107" s="3" t="s">
        <v>5004</v>
      </c>
      <c r="D2107" t="s">
        <v>5015</v>
      </c>
      <c r="E2107" t="s">
        <v>5018</v>
      </c>
      <c r="F2107" t="s">
        <v>5018</v>
      </c>
      <c r="G2107">
        <v>116</v>
      </c>
      <c r="H2107" s="5">
        <v>9.4978955572376229E-4</v>
      </c>
      <c r="I2107">
        <v>4</v>
      </c>
      <c r="J2107" t="b">
        <f>AND(CCData[[#This Row],[Date]]&gt;=Calculation!$E$3,CCData[[#This Row],[Date]]&lt;Calculation!$E$3+7)</f>
        <v>0</v>
      </c>
    </row>
    <row r="2108" spans="1:10">
      <c r="A2108" t="s">
        <v>2107</v>
      </c>
      <c r="B2108" s="2">
        <v>42041.45</v>
      </c>
      <c r="C2108" s="3" t="s">
        <v>5006</v>
      </c>
      <c r="D2108" t="s">
        <v>5014</v>
      </c>
      <c r="E2108" t="s">
        <v>5018</v>
      </c>
      <c r="F2108" t="s">
        <v>5018</v>
      </c>
      <c r="G2108">
        <v>120</v>
      </c>
      <c r="H2108" s="5">
        <v>4.4114461974701213E-3</v>
      </c>
      <c r="I2108">
        <v>3</v>
      </c>
      <c r="J2108" t="b">
        <f>AND(CCData[[#This Row],[Date]]&gt;=Calculation!$E$3,CCData[[#This Row],[Date]]&lt;Calculation!$E$3+7)</f>
        <v>0</v>
      </c>
    </row>
    <row r="2109" spans="1:10">
      <c r="A2109" t="s">
        <v>2108</v>
      </c>
      <c r="B2109" s="2">
        <v>42041.45</v>
      </c>
      <c r="C2109" s="3" t="s">
        <v>5006</v>
      </c>
      <c r="D2109" t="s">
        <v>5013</v>
      </c>
      <c r="E2109" t="s">
        <v>5018</v>
      </c>
      <c r="F2109" t="s">
        <v>5018</v>
      </c>
      <c r="G2109">
        <v>55</v>
      </c>
      <c r="H2109" s="5">
        <v>5.8406281597346045E-4</v>
      </c>
      <c r="I2109">
        <v>5</v>
      </c>
      <c r="J2109" t="b">
        <f>AND(CCData[[#This Row],[Date]]&gt;=Calculation!$E$3,CCData[[#This Row],[Date]]&lt;Calculation!$E$3+7)</f>
        <v>0</v>
      </c>
    </row>
    <row r="2110" spans="1:10">
      <c r="A2110" t="s">
        <v>2109</v>
      </c>
      <c r="B2110" s="2">
        <v>42041.46</v>
      </c>
      <c r="C2110" s="3" t="s">
        <v>5003</v>
      </c>
      <c r="D2110" t="s">
        <v>5016</v>
      </c>
      <c r="E2110" t="s">
        <v>5018</v>
      </c>
      <c r="F2110" t="s">
        <v>5018</v>
      </c>
      <c r="G2110">
        <v>46</v>
      </c>
      <c r="H2110" s="5">
        <v>3.0151086120804608E-3</v>
      </c>
      <c r="I2110">
        <v>4</v>
      </c>
      <c r="J2110" t="b">
        <f>AND(CCData[[#This Row],[Date]]&gt;=Calculation!$E$3,CCData[[#This Row],[Date]]&lt;Calculation!$E$3+7)</f>
        <v>0</v>
      </c>
    </row>
    <row r="2111" spans="1:10">
      <c r="A2111" t="s">
        <v>2110</v>
      </c>
      <c r="B2111" s="2">
        <v>42041.46</v>
      </c>
      <c r="C2111" s="3" t="s">
        <v>5005</v>
      </c>
      <c r="D2111" t="s">
        <v>5012</v>
      </c>
      <c r="E2111" t="s">
        <v>5019</v>
      </c>
      <c r="F2111" t="s">
        <v>5019</v>
      </c>
      <c r="G2111" t="s">
        <v>5022</v>
      </c>
      <c r="H2111" s="5" t="s">
        <v>5022</v>
      </c>
      <c r="I2111" t="s">
        <v>5022</v>
      </c>
      <c r="J2111" t="b">
        <f>AND(CCData[[#This Row],[Date]]&gt;=Calculation!$E$3,CCData[[#This Row],[Date]]&lt;Calculation!$E$3+7)</f>
        <v>0</v>
      </c>
    </row>
    <row r="2112" spans="1:10">
      <c r="A2112" t="s">
        <v>2111</v>
      </c>
      <c r="B2112" s="2">
        <v>42041.476000000002</v>
      </c>
      <c r="C2112" s="3" t="s">
        <v>5007</v>
      </c>
      <c r="D2112" t="s">
        <v>5016</v>
      </c>
      <c r="E2112" t="s">
        <v>5018</v>
      </c>
      <c r="F2112" t="s">
        <v>5018</v>
      </c>
      <c r="G2112">
        <v>78</v>
      </c>
      <c r="H2112" s="5">
        <v>2.5693149522002939E-3</v>
      </c>
      <c r="I2112">
        <v>2</v>
      </c>
      <c r="J2112" t="b">
        <f>AND(CCData[[#This Row],[Date]]&gt;=Calculation!$E$3,CCData[[#This Row],[Date]]&lt;Calculation!$E$3+7)</f>
        <v>0</v>
      </c>
    </row>
    <row r="2113" spans="1:10">
      <c r="A2113" t="s">
        <v>2112</v>
      </c>
      <c r="B2113" s="2">
        <v>42041.476000000002</v>
      </c>
      <c r="C2113" s="3" t="s">
        <v>5006</v>
      </c>
      <c r="D2113" t="s">
        <v>5014</v>
      </c>
      <c r="E2113" t="s">
        <v>5018</v>
      </c>
      <c r="F2113" t="s">
        <v>5018</v>
      </c>
      <c r="G2113">
        <v>76</v>
      </c>
      <c r="H2113" s="5">
        <v>1.982641372758334E-3</v>
      </c>
      <c r="I2113">
        <v>3</v>
      </c>
      <c r="J2113" t="b">
        <f>AND(CCData[[#This Row],[Date]]&gt;=Calculation!$E$3,CCData[[#This Row],[Date]]&lt;Calculation!$E$3+7)</f>
        <v>0</v>
      </c>
    </row>
    <row r="2114" spans="1:10">
      <c r="A2114" t="s">
        <v>2113</v>
      </c>
      <c r="B2114" s="2">
        <v>42041.481</v>
      </c>
      <c r="C2114" s="3" t="s">
        <v>5004</v>
      </c>
      <c r="D2114" t="s">
        <v>5012</v>
      </c>
      <c r="E2114" t="s">
        <v>5018</v>
      </c>
      <c r="F2114" t="s">
        <v>5018</v>
      </c>
      <c r="G2114">
        <v>15</v>
      </c>
      <c r="H2114" s="5">
        <v>4.4333636943970148E-3</v>
      </c>
      <c r="I2114">
        <v>5</v>
      </c>
      <c r="J2114" t="b">
        <f>AND(CCData[[#This Row],[Date]]&gt;=Calculation!$E$3,CCData[[#This Row],[Date]]&lt;Calculation!$E$3+7)</f>
        <v>0</v>
      </c>
    </row>
    <row r="2115" spans="1:10">
      <c r="A2115" t="s">
        <v>2114</v>
      </c>
      <c r="B2115" s="2">
        <v>42041.481</v>
      </c>
      <c r="C2115" s="3" t="s">
        <v>5004</v>
      </c>
      <c r="D2115" t="s">
        <v>5015</v>
      </c>
      <c r="E2115" t="s">
        <v>5019</v>
      </c>
      <c r="F2115" t="s">
        <v>5019</v>
      </c>
      <c r="G2115" t="s">
        <v>5022</v>
      </c>
      <c r="H2115" s="5" t="s">
        <v>5022</v>
      </c>
      <c r="I2115" t="s">
        <v>5022</v>
      </c>
      <c r="J2115" t="b">
        <f>AND(CCData[[#This Row],[Date]]&gt;=Calculation!$E$3,CCData[[#This Row],[Date]]&lt;Calculation!$E$3+7)</f>
        <v>0</v>
      </c>
    </row>
    <row r="2116" spans="1:10">
      <c r="A2116" t="s">
        <v>2115</v>
      </c>
      <c r="B2116" s="2">
        <v>42041.485000000001</v>
      </c>
      <c r="C2116" s="3" t="s">
        <v>5010</v>
      </c>
      <c r="D2116" t="s">
        <v>5013</v>
      </c>
      <c r="E2116" t="s">
        <v>5018</v>
      </c>
      <c r="F2116" t="s">
        <v>5018</v>
      </c>
      <c r="G2116">
        <v>15</v>
      </c>
      <c r="H2116" s="5">
        <v>4.4323631500629854E-3</v>
      </c>
      <c r="I2116">
        <v>1</v>
      </c>
      <c r="J2116" t="b">
        <f>AND(CCData[[#This Row],[Date]]&gt;=Calculation!$E$3,CCData[[#This Row],[Date]]&lt;Calculation!$E$3+7)</f>
        <v>0</v>
      </c>
    </row>
    <row r="2117" spans="1:10">
      <c r="A2117" t="s">
        <v>2116</v>
      </c>
      <c r="B2117" s="2">
        <v>42041.485000000001</v>
      </c>
      <c r="C2117" s="3" t="s">
        <v>5004</v>
      </c>
      <c r="D2117" t="s">
        <v>5014</v>
      </c>
      <c r="E2117" t="s">
        <v>5019</v>
      </c>
      <c r="F2117" t="s">
        <v>5019</v>
      </c>
      <c r="G2117" t="s">
        <v>5022</v>
      </c>
      <c r="H2117" s="5" t="s">
        <v>5022</v>
      </c>
      <c r="I2117" t="s">
        <v>5022</v>
      </c>
      <c r="J2117" t="b">
        <f>AND(CCData[[#This Row],[Date]]&gt;=Calculation!$E$3,CCData[[#This Row],[Date]]&lt;Calculation!$E$3+7)</f>
        <v>0</v>
      </c>
    </row>
    <row r="2118" spans="1:10">
      <c r="A2118" t="s">
        <v>2117</v>
      </c>
      <c r="B2118" s="2">
        <v>42041.497000000003</v>
      </c>
      <c r="C2118" s="3" t="s">
        <v>5004</v>
      </c>
      <c r="D2118" t="s">
        <v>5015</v>
      </c>
      <c r="E2118" t="s">
        <v>5018</v>
      </c>
      <c r="F2118" t="s">
        <v>5018</v>
      </c>
      <c r="G2118">
        <v>82</v>
      </c>
      <c r="H2118" s="5">
        <v>1.42182016625513E-3</v>
      </c>
      <c r="I2118">
        <v>4</v>
      </c>
      <c r="J2118" t="b">
        <f>AND(CCData[[#This Row],[Date]]&gt;=Calculation!$E$3,CCData[[#This Row],[Date]]&lt;Calculation!$E$3+7)</f>
        <v>0</v>
      </c>
    </row>
    <row r="2119" spans="1:10">
      <c r="A2119" t="s">
        <v>2118</v>
      </c>
      <c r="B2119" s="2">
        <v>42041.497000000003</v>
      </c>
      <c r="C2119" s="3" t="s">
        <v>5006</v>
      </c>
      <c r="D2119" t="s">
        <v>5015</v>
      </c>
      <c r="E2119" t="s">
        <v>5018</v>
      </c>
      <c r="F2119" t="s">
        <v>5018</v>
      </c>
      <c r="G2119">
        <v>59</v>
      </c>
      <c r="H2119" s="5">
        <v>4.0183862762356399E-3</v>
      </c>
      <c r="I2119">
        <v>1</v>
      </c>
      <c r="J2119" t="b">
        <f>AND(CCData[[#This Row],[Date]]&gt;=Calculation!$E$3,CCData[[#This Row],[Date]]&lt;Calculation!$E$3+7)</f>
        <v>0</v>
      </c>
    </row>
    <row r="2120" spans="1:10">
      <c r="A2120" t="s">
        <v>2119</v>
      </c>
      <c r="B2120" s="2">
        <v>42041.502</v>
      </c>
      <c r="C2120" s="3" t="s">
        <v>5010</v>
      </c>
      <c r="D2120" t="s">
        <v>5016</v>
      </c>
      <c r="E2120" t="s">
        <v>5018</v>
      </c>
      <c r="F2120" t="s">
        <v>5018</v>
      </c>
      <c r="G2120">
        <v>41</v>
      </c>
      <c r="H2120" s="5">
        <v>5.7213696263271887E-4</v>
      </c>
      <c r="I2120">
        <v>4</v>
      </c>
      <c r="J2120" t="b">
        <f>AND(CCData[[#This Row],[Date]]&gt;=Calculation!$E$3,CCData[[#This Row],[Date]]&lt;Calculation!$E$3+7)</f>
        <v>0</v>
      </c>
    </row>
    <row r="2121" spans="1:10">
      <c r="A2121" t="s">
        <v>2120</v>
      </c>
      <c r="B2121" s="2">
        <v>42041.502</v>
      </c>
      <c r="C2121" s="3" t="s">
        <v>5009</v>
      </c>
      <c r="D2121" t="s">
        <v>5016</v>
      </c>
      <c r="E2121" t="s">
        <v>5018</v>
      </c>
      <c r="F2121" t="s">
        <v>5018</v>
      </c>
      <c r="G2121">
        <v>39</v>
      </c>
      <c r="H2121" s="5">
        <v>3.0902911571929165E-3</v>
      </c>
      <c r="I2121">
        <v>3</v>
      </c>
      <c r="J2121" t="b">
        <f>AND(CCData[[#This Row],[Date]]&gt;=Calculation!$E$3,CCData[[#This Row],[Date]]&lt;Calculation!$E$3+7)</f>
        <v>0</v>
      </c>
    </row>
    <row r="2122" spans="1:10">
      <c r="A2122" t="s">
        <v>2121</v>
      </c>
      <c r="B2122" s="2">
        <v>42041.508999999998</v>
      </c>
      <c r="C2122" s="3" t="s">
        <v>5009</v>
      </c>
      <c r="D2122" t="s">
        <v>5014</v>
      </c>
      <c r="E2122" t="s">
        <v>5019</v>
      </c>
      <c r="F2122" t="s">
        <v>5019</v>
      </c>
      <c r="G2122" t="s">
        <v>5022</v>
      </c>
      <c r="H2122" s="5" t="s">
        <v>5022</v>
      </c>
      <c r="I2122" t="s">
        <v>5022</v>
      </c>
      <c r="J2122" t="b">
        <f>AND(CCData[[#This Row],[Date]]&gt;=Calculation!$E$3,CCData[[#This Row],[Date]]&lt;Calculation!$E$3+7)</f>
        <v>0</v>
      </c>
    </row>
    <row r="2123" spans="1:10">
      <c r="A2123" t="s">
        <v>2122</v>
      </c>
      <c r="B2123" s="2">
        <v>42041.508999999998</v>
      </c>
      <c r="C2123" s="3" t="s">
        <v>5009</v>
      </c>
      <c r="D2123" t="s">
        <v>5015</v>
      </c>
      <c r="E2123" t="s">
        <v>5018</v>
      </c>
      <c r="F2123" t="s">
        <v>5018</v>
      </c>
      <c r="G2123">
        <v>108</v>
      </c>
      <c r="H2123" s="5">
        <v>2.6487260817415711E-3</v>
      </c>
      <c r="I2123">
        <v>4</v>
      </c>
      <c r="J2123" t="b">
        <f>AND(CCData[[#This Row],[Date]]&gt;=Calculation!$E$3,CCData[[#This Row],[Date]]&lt;Calculation!$E$3+7)</f>
        <v>0</v>
      </c>
    </row>
    <row r="2124" spans="1:10">
      <c r="A2124" t="s">
        <v>2123</v>
      </c>
      <c r="B2124" s="2">
        <v>42041.523000000001</v>
      </c>
      <c r="C2124" s="3" t="s">
        <v>5005</v>
      </c>
      <c r="D2124" t="s">
        <v>5014</v>
      </c>
      <c r="E2124" t="s">
        <v>5018</v>
      </c>
      <c r="F2124" t="s">
        <v>5018</v>
      </c>
      <c r="G2124">
        <v>48</v>
      </c>
      <c r="H2124" s="5">
        <v>1.8016560413471911E-3</v>
      </c>
      <c r="I2124">
        <v>4</v>
      </c>
      <c r="J2124" t="b">
        <f>AND(CCData[[#This Row],[Date]]&gt;=Calculation!$E$3,CCData[[#This Row],[Date]]&lt;Calculation!$E$3+7)</f>
        <v>0</v>
      </c>
    </row>
    <row r="2125" spans="1:10">
      <c r="A2125" t="s">
        <v>2124</v>
      </c>
      <c r="B2125" s="2">
        <v>42041.523000000001</v>
      </c>
      <c r="C2125" s="3" t="s">
        <v>5006</v>
      </c>
      <c r="D2125" t="s">
        <v>5014</v>
      </c>
      <c r="E2125" t="s">
        <v>5018</v>
      </c>
      <c r="F2125" t="s">
        <v>5018</v>
      </c>
      <c r="G2125">
        <v>106</v>
      </c>
      <c r="H2125" s="5">
        <v>1.2027924717335191E-3</v>
      </c>
      <c r="I2125">
        <v>5</v>
      </c>
      <c r="J2125" t="b">
        <f>AND(CCData[[#This Row],[Date]]&gt;=Calculation!$E$3,CCData[[#This Row],[Date]]&lt;Calculation!$E$3+7)</f>
        <v>0</v>
      </c>
    </row>
    <row r="2126" spans="1:10">
      <c r="A2126" t="s">
        <v>2125</v>
      </c>
      <c r="B2126" s="2">
        <v>42041.536999999997</v>
      </c>
      <c r="C2126" s="3" t="s">
        <v>5004</v>
      </c>
      <c r="D2126" t="s">
        <v>5013</v>
      </c>
      <c r="E2126" t="s">
        <v>5018</v>
      </c>
      <c r="F2126" t="s">
        <v>5018</v>
      </c>
      <c r="G2126">
        <v>100</v>
      </c>
      <c r="H2126" s="5">
        <v>1.6588167569699338E-3</v>
      </c>
      <c r="I2126">
        <v>1</v>
      </c>
      <c r="J2126" t="b">
        <f>AND(CCData[[#This Row],[Date]]&gt;=Calculation!$E$3,CCData[[#This Row],[Date]]&lt;Calculation!$E$3+7)</f>
        <v>0</v>
      </c>
    </row>
    <row r="2127" spans="1:10">
      <c r="A2127" t="s">
        <v>2126</v>
      </c>
      <c r="B2127" s="2">
        <v>42041.536999999997</v>
      </c>
      <c r="C2127" s="3" t="s">
        <v>5007</v>
      </c>
      <c r="D2127" t="s">
        <v>5013</v>
      </c>
      <c r="E2127" t="s">
        <v>5018</v>
      </c>
      <c r="F2127" t="s">
        <v>5018</v>
      </c>
      <c r="G2127">
        <v>109</v>
      </c>
      <c r="H2127" s="5">
        <v>2.1472812020972201E-3</v>
      </c>
      <c r="I2127">
        <v>2</v>
      </c>
      <c r="J2127" t="b">
        <f>AND(CCData[[#This Row],[Date]]&gt;=Calculation!$E$3,CCData[[#This Row],[Date]]&lt;Calculation!$E$3+7)</f>
        <v>0</v>
      </c>
    </row>
    <row r="2128" spans="1:10">
      <c r="A2128" t="s">
        <v>2127</v>
      </c>
      <c r="B2128" s="2">
        <v>42041.544000000002</v>
      </c>
      <c r="C2128" s="3" t="s">
        <v>5003</v>
      </c>
      <c r="D2128" t="s">
        <v>5016</v>
      </c>
      <c r="E2128" t="s">
        <v>5019</v>
      </c>
      <c r="F2128" t="s">
        <v>5019</v>
      </c>
      <c r="G2128" t="s">
        <v>5022</v>
      </c>
      <c r="H2128" s="5" t="s">
        <v>5022</v>
      </c>
      <c r="I2128" t="s">
        <v>5022</v>
      </c>
      <c r="J2128" t="b">
        <f>AND(CCData[[#This Row],[Date]]&gt;=Calculation!$E$3,CCData[[#This Row],[Date]]&lt;Calculation!$E$3+7)</f>
        <v>0</v>
      </c>
    </row>
    <row r="2129" spans="1:10">
      <c r="A2129" t="s">
        <v>2128</v>
      </c>
      <c r="B2129" s="2">
        <v>42041.544000000002</v>
      </c>
      <c r="C2129" s="3" t="s">
        <v>5004</v>
      </c>
      <c r="D2129" t="s">
        <v>5016</v>
      </c>
      <c r="E2129" t="s">
        <v>5018</v>
      </c>
      <c r="F2129" t="s">
        <v>5019</v>
      </c>
      <c r="G2129">
        <v>26</v>
      </c>
      <c r="H2129" s="5">
        <v>2.4341163161956344E-3</v>
      </c>
      <c r="I2129">
        <v>3</v>
      </c>
      <c r="J2129" t="b">
        <f>AND(CCData[[#This Row],[Date]]&gt;=Calculation!$E$3,CCData[[#This Row],[Date]]&lt;Calculation!$E$3+7)</f>
        <v>0</v>
      </c>
    </row>
    <row r="2130" spans="1:10">
      <c r="A2130" t="s">
        <v>2129</v>
      </c>
      <c r="B2130" s="2">
        <v>42041.569000000003</v>
      </c>
      <c r="C2130" s="3" t="s">
        <v>5010</v>
      </c>
      <c r="D2130" t="s">
        <v>5013</v>
      </c>
      <c r="E2130" t="s">
        <v>5018</v>
      </c>
      <c r="F2130" t="s">
        <v>5018</v>
      </c>
      <c r="G2130">
        <v>96</v>
      </c>
      <c r="H2130" s="5">
        <v>4.0540533382784731E-3</v>
      </c>
      <c r="I2130">
        <v>4</v>
      </c>
      <c r="J2130" t="b">
        <f>AND(CCData[[#This Row],[Date]]&gt;=Calculation!$E$3,CCData[[#This Row],[Date]]&lt;Calculation!$E$3+7)</f>
        <v>0</v>
      </c>
    </row>
    <row r="2131" spans="1:10">
      <c r="A2131" t="s">
        <v>2130</v>
      </c>
      <c r="B2131" s="2">
        <v>42041.569000000003</v>
      </c>
      <c r="C2131" s="3" t="s">
        <v>5006</v>
      </c>
      <c r="D2131" t="s">
        <v>5016</v>
      </c>
      <c r="E2131" t="s">
        <v>5018</v>
      </c>
      <c r="F2131" t="s">
        <v>5018</v>
      </c>
      <c r="G2131">
        <v>23</v>
      </c>
      <c r="H2131" s="5">
        <v>4.1110235375146093E-3</v>
      </c>
      <c r="I2131">
        <v>5</v>
      </c>
      <c r="J2131" t="b">
        <f>AND(CCData[[#This Row],[Date]]&gt;=Calculation!$E$3,CCData[[#This Row],[Date]]&lt;Calculation!$E$3+7)</f>
        <v>0</v>
      </c>
    </row>
    <row r="2132" spans="1:10">
      <c r="A2132" t="s">
        <v>2131</v>
      </c>
      <c r="B2132" s="2">
        <v>42041.572</v>
      </c>
      <c r="C2132" s="3" t="s">
        <v>5009</v>
      </c>
      <c r="D2132" t="s">
        <v>5014</v>
      </c>
      <c r="E2132" t="s">
        <v>5019</v>
      </c>
      <c r="F2132" t="s">
        <v>5019</v>
      </c>
      <c r="G2132" t="s">
        <v>5022</v>
      </c>
      <c r="H2132" s="5" t="s">
        <v>5022</v>
      </c>
      <c r="I2132" t="s">
        <v>5022</v>
      </c>
      <c r="J2132" t="b">
        <f>AND(CCData[[#This Row],[Date]]&gt;=Calculation!$E$3,CCData[[#This Row],[Date]]&lt;Calculation!$E$3+7)</f>
        <v>0</v>
      </c>
    </row>
    <row r="2133" spans="1:10">
      <c r="A2133" t="s">
        <v>2132</v>
      </c>
      <c r="B2133" s="2">
        <v>42041.572</v>
      </c>
      <c r="C2133" s="3" t="s">
        <v>5003</v>
      </c>
      <c r="D2133" t="s">
        <v>5014</v>
      </c>
      <c r="E2133" t="s">
        <v>5018</v>
      </c>
      <c r="F2133" t="s">
        <v>5018</v>
      </c>
      <c r="G2133">
        <v>123</v>
      </c>
      <c r="H2133" s="5">
        <v>1.8985168997017856E-3</v>
      </c>
      <c r="I2133">
        <v>3</v>
      </c>
      <c r="J2133" t="b">
        <f>AND(CCData[[#This Row],[Date]]&gt;=Calculation!$E$3,CCData[[#This Row],[Date]]&lt;Calculation!$E$3+7)</f>
        <v>0</v>
      </c>
    </row>
    <row r="2134" spans="1:10">
      <c r="A2134" t="s">
        <v>2133</v>
      </c>
      <c r="B2134" s="2">
        <v>42041.62</v>
      </c>
      <c r="C2134" s="3" t="s">
        <v>5010</v>
      </c>
      <c r="D2134" t="s">
        <v>5013</v>
      </c>
      <c r="E2134" t="s">
        <v>5019</v>
      </c>
      <c r="F2134" t="s">
        <v>5019</v>
      </c>
      <c r="G2134" t="s">
        <v>5022</v>
      </c>
      <c r="H2134" s="5" t="s">
        <v>5022</v>
      </c>
      <c r="I2134" t="s">
        <v>5022</v>
      </c>
      <c r="J2134" t="b">
        <f>AND(CCData[[#This Row],[Date]]&gt;=Calculation!$E$3,CCData[[#This Row],[Date]]&lt;Calculation!$E$3+7)</f>
        <v>0</v>
      </c>
    </row>
    <row r="2135" spans="1:10">
      <c r="A2135" t="s">
        <v>2134</v>
      </c>
      <c r="B2135" s="2">
        <v>42041.62</v>
      </c>
      <c r="C2135" s="3" t="s">
        <v>5010</v>
      </c>
      <c r="D2135" t="s">
        <v>5012</v>
      </c>
      <c r="E2135" t="s">
        <v>5018</v>
      </c>
      <c r="F2135" t="s">
        <v>5018</v>
      </c>
      <c r="G2135">
        <v>55</v>
      </c>
      <c r="H2135" s="5">
        <v>2.8726448289607001E-3</v>
      </c>
      <c r="I2135">
        <v>5</v>
      </c>
      <c r="J2135" t="b">
        <f>AND(CCData[[#This Row],[Date]]&gt;=Calculation!$E$3,CCData[[#This Row],[Date]]&lt;Calculation!$E$3+7)</f>
        <v>0</v>
      </c>
    </row>
    <row r="2136" spans="1:10">
      <c r="A2136" t="s">
        <v>2135</v>
      </c>
      <c r="B2136" s="2">
        <v>42041.622000000003</v>
      </c>
      <c r="C2136" s="3" t="s">
        <v>5004</v>
      </c>
      <c r="D2136" t="s">
        <v>5013</v>
      </c>
      <c r="E2136" t="s">
        <v>5018</v>
      </c>
      <c r="F2136" t="s">
        <v>5018</v>
      </c>
      <c r="G2136">
        <v>44</v>
      </c>
      <c r="H2136" s="5">
        <v>4.5700716840625117E-3</v>
      </c>
      <c r="I2136">
        <v>4</v>
      </c>
      <c r="J2136" t="b">
        <f>AND(CCData[[#This Row],[Date]]&gt;=Calculation!$E$3,CCData[[#This Row],[Date]]&lt;Calculation!$E$3+7)</f>
        <v>0</v>
      </c>
    </row>
    <row r="2137" spans="1:10">
      <c r="A2137" t="s">
        <v>2136</v>
      </c>
      <c r="B2137" s="2">
        <v>42041.622000000003</v>
      </c>
      <c r="C2137" s="3" t="s">
        <v>5003</v>
      </c>
      <c r="D2137" t="s">
        <v>5014</v>
      </c>
      <c r="E2137" t="s">
        <v>5018</v>
      </c>
      <c r="F2137" t="s">
        <v>5018</v>
      </c>
      <c r="G2137">
        <v>73</v>
      </c>
      <c r="H2137" s="5">
        <v>3.6383458120015518E-3</v>
      </c>
      <c r="I2137">
        <v>1</v>
      </c>
      <c r="J2137" t="b">
        <f>AND(CCData[[#This Row],[Date]]&gt;=Calculation!$E$3,CCData[[#This Row],[Date]]&lt;Calculation!$E$3+7)</f>
        <v>0</v>
      </c>
    </row>
    <row r="2138" spans="1:10">
      <c r="A2138" t="s">
        <v>2137</v>
      </c>
      <c r="B2138" s="2">
        <v>42041.661999999997</v>
      </c>
      <c r="C2138" s="3" t="s">
        <v>5005</v>
      </c>
      <c r="D2138" t="s">
        <v>5014</v>
      </c>
      <c r="E2138" t="s">
        <v>5018</v>
      </c>
      <c r="F2138" t="s">
        <v>5018</v>
      </c>
      <c r="G2138">
        <v>63</v>
      </c>
      <c r="H2138" s="5">
        <v>4.7547822359549343E-3</v>
      </c>
      <c r="I2138">
        <v>3</v>
      </c>
      <c r="J2138" t="b">
        <f>AND(CCData[[#This Row],[Date]]&gt;=Calculation!$E$3,CCData[[#This Row],[Date]]&lt;Calculation!$E$3+7)</f>
        <v>0</v>
      </c>
    </row>
    <row r="2139" spans="1:10">
      <c r="A2139" t="s">
        <v>2138</v>
      </c>
      <c r="B2139" s="2">
        <v>42041.661999999997</v>
      </c>
      <c r="C2139" s="3" t="s">
        <v>5003</v>
      </c>
      <c r="D2139" t="s">
        <v>5014</v>
      </c>
      <c r="E2139" t="s">
        <v>5019</v>
      </c>
      <c r="F2139" t="s">
        <v>5019</v>
      </c>
      <c r="G2139" t="s">
        <v>5022</v>
      </c>
      <c r="H2139" s="5" t="s">
        <v>5022</v>
      </c>
      <c r="I2139" t="s">
        <v>5022</v>
      </c>
      <c r="J2139" t="b">
        <f>AND(CCData[[#This Row],[Date]]&gt;=Calculation!$E$3,CCData[[#This Row],[Date]]&lt;Calculation!$E$3+7)</f>
        <v>0</v>
      </c>
    </row>
    <row r="2140" spans="1:10">
      <c r="A2140" t="s">
        <v>2139</v>
      </c>
      <c r="B2140" s="2">
        <v>42041.697999999997</v>
      </c>
      <c r="C2140" s="3" t="s">
        <v>5010</v>
      </c>
      <c r="D2140" t="s">
        <v>5015</v>
      </c>
      <c r="E2140" t="s">
        <v>5018</v>
      </c>
      <c r="F2140" t="s">
        <v>5018</v>
      </c>
      <c r="G2140">
        <v>82</v>
      </c>
      <c r="H2140" s="5">
        <v>1.675278098894313E-3</v>
      </c>
      <c r="I2140">
        <v>2</v>
      </c>
      <c r="J2140" t="b">
        <f>AND(CCData[[#This Row],[Date]]&gt;=Calculation!$E$3,CCData[[#This Row],[Date]]&lt;Calculation!$E$3+7)</f>
        <v>0</v>
      </c>
    </row>
    <row r="2141" spans="1:10">
      <c r="A2141" t="s">
        <v>2140</v>
      </c>
      <c r="B2141" s="2">
        <v>42041.697999999997</v>
      </c>
      <c r="C2141" s="3" t="s">
        <v>5006</v>
      </c>
      <c r="D2141" t="s">
        <v>5012</v>
      </c>
      <c r="E2141" t="s">
        <v>5018</v>
      </c>
      <c r="F2141" t="s">
        <v>5018</v>
      </c>
      <c r="G2141">
        <v>113</v>
      </c>
      <c r="H2141" s="5">
        <v>4.3633364893373308E-3</v>
      </c>
      <c r="I2141">
        <v>4</v>
      </c>
      <c r="J2141" t="b">
        <f>AND(CCData[[#This Row],[Date]]&gt;=Calculation!$E$3,CCData[[#This Row],[Date]]&lt;Calculation!$E$3+7)</f>
        <v>0</v>
      </c>
    </row>
    <row r="2142" spans="1:10">
      <c r="A2142" t="s">
        <v>2141</v>
      </c>
      <c r="B2142" s="2">
        <v>42041.71</v>
      </c>
      <c r="C2142" s="3" t="s">
        <v>5006</v>
      </c>
      <c r="D2142" t="s">
        <v>5013</v>
      </c>
      <c r="E2142" t="s">
        <v>5018</v>
      </c>
      <c r="F2142" t="s">
        <v>5019</v>
      </c>
      <c r="G2142">
        <v>57</v>
      </c>
      <c r="H2142" s="5">
        <v>4.3044472279667734E-3</v>
      </c>
      <c r="I2142">
        <v>4</v>
      </c>
      <c r="J2142" t="b">
        <f>AND(CCData[[#This Row],[Date]]&gt;=Calculation!$E$3,CCData[[#This Row],[Date]]&lt;Calculation!$E$3+7)</f>
        <v>0</v>
      </c>
    </row>
    <row r="2143" spans="1:10">
      <c r="A2143" t="s">
        <v>2142</v>
      </c>
      <c r="B2143" s="2">
        <v>42041.71</v>
      </c>
      <c r="C2143" s="3" t="s">
        <v>5005</v>
      </c>
      <c r="D2143" t="s">
        <v>5016</v>
      </c>
      <c r="E2143" t="s">
        <v>5018</v>
      </c>
      <c r="F2143" t="s">
        <v>5018</v>
      </c>
      <c r="G2143">
        <v>63</v>
      </c>
      <c r="H2143" s="5">
        <v>1.0081736145695326E-3</v>
      </c>
      <c r="I2143">
        <v>1</v>
      </c>
      <c r="J2143" t="b">
        <f>AND(CCData[[#This Row],[Date]]&gt;=Calculation!$E$3,CCData[[#This Row],[Date]]&lt;Calculation!$E$3+7)</f>
        <v>0</v>
      </c>
    </row>
    <row r="2144" spans="1:10">
      <c r="A2144" t="s">
        <v>2143</v>
      </c>
      <c r="B2144" s="2">
        <v>42041.73</v>
      </c>
      <c r="C2144" s="3" t="s">
        <v>5003</v>
      </c>
      <c r="D2144" t="s">
        <v>5015</v>
      </c>
      <c r="E2144" t="s">
        <v>5018</v>
      </c>
      <c r="F2144" t="s">
        <v>5018</v>
      </c>
      <c r="G2144">
        <v>120</v>
      </c>
      <c r="H2144" s="5">
        <v>3.6264518740406837E-3</v>
      </c>
      <c r="I2144">
        <v>4</v>
      </c>
      <c r="J2144" t="b">
        <f>AND(CCData[[#This Row],[Date]]&gt;=Calculation!$E$3,CCData[[#This Row],[Date]]&lt;Calculation!$E$3+7)</f>
        <v>0</v>
      </c>
    </row>
    <row r="2145" spans="1:10">
      <c r="A2145" t="s">
        <v>2144</v>
      </c>
      <c r="B2145" s="2">
        <v>42041.73</v>
      </c>
      <c r="C2145" s="3" t="s">
        <v>5007</v>
      </c>
      <c r="D2145" t="s">
        <v>5013</v>
      </c>
      <c r="E2145" t="s">
        <v>5018</v>
      </c>
      <c r="F2145" t="s">
        <v>5018</v>
      </c>
      <c r="G2145">
        <v>68</v>
      </c>
      <c r="H2145" s="5">
        <v>3.9541185982545331E-3</v>
      </c>
      <c r="I2145">
        <v>5</v>
      </c>
      <c r="J2145" t="b">
        <f>AND(CCData[[#This Row],[Date]]&gt;=Calculation!$E$3,CCData[[#This Row],[Date]]&lt;Calculation!$E$3+7)</f>
        <v>0</v>
      </c>
    </row>
    <row r="2146" spans="1:10">
      <c r="A2146" t="s">
        <v>2145</v>
      </c>
      <c r="B2146" s="2">
        <v>42041.733</v>
      </c>
      <c r="C2146" s="3" t="s">
        <v>5009</v>
      </c>
      <c r="D2146" t="s">
        <v>5012</v>
      </c>
      <c r="E2146" t="s">
        <v>5018</v>
      </c>
      <c r="F2146" t="s">
        <v>5018</v>
      </c>
      <c r="G2146">
        <v>31</v>
      </c>
      <c r="H2146" s="5">
        <v>1.5646306054729069E-3</v>
      </c>
      <c r="I2146">
        <v>3</v>
      </c>
      <c r="J2146" t="b">
        <f>AND(CCData[[#This Row],[Date]]&gt;=Calculation!$E$3,CCData[[#This Row],[Date]]&lt;Calculation!$E$3+7)</f>
        <v>0</v>
      </c>
    </row>
    <row r="2147" spans="1:10">
      <c r="A2147" t="s">
        <v>2146</v>
      </c>
      <c r="B2147" s="2">
        <v>42041.733</v>
      </c>
      <c r="C2147" s="3" t="s">
        <v>5004</v>
      </c>
      <c r="D2147" t="s">
        <v>5016</v>
      </c>
      <c r="E2147" t="s">
        <v>5018</v>
      </c>
      <c r="F2147" t="s">
        <v>5018</v>
      </c>
      <c r="G2147">
        <v>44</v>
      </c>
      <c r="H2147" s="5">
        <v>3.5324339096230156E-3</v>
      </c>
      <c r="I2147">
        <v>3</v>
      </c>
      <c r="J2147" t="b">
        <f>AND(CCData[[#This Row],[Date]]&gt;=Calculation!$E$3,CCData[[#This Row],[Date]]&lt;Calculation!$E$3+7)</f>
        <v>0</v>
      </c>
    </row>
    <row r="2148" spans="1:10">
      <c r="A2148" t="s">
        <v>2147</v>
      </c>
      <c r="B2148" s="2">
        <v>42041.733</v>
      </c>
      <c r="C2148" s="3" t="s">
        <v>5004</v>
      </c>
      <c r="D2148" t="s">
        <v>5014</v>
      </c>
      <c r="E2148" t="s">
        <v>5018</v>
      </c>
      <c r="F2148" t="s">
        <v>5018</v>
      </c>
      <c r="G2148">
        <v>84</v>
      </c>
      <c r="H2148" s="5">
        <v>2.4676603962580147E-3</v>
      </c>
      <c r="I2148">
        <v>5</v>
      </c>
      <c r="J2148" t="b">
        <f>AND(CCData[[#This Row],[Date]]&gt;=Calculation!$E$3,CCData[[#This Row],[Date]]&lt;Calculation!$E$3+7)</f>
        <v>0</v>
      </c>
    </row>
    <row r="2149" spans="1:10">
      <c r="A2149" t="s">
        <v>2148</v>
      </c>
      <c r="B2149" s="2">
        <v>42041.733</v>
      </c>
      <c r="C2149" s="3" t="s">
        <v>5006</v>
      </c>
      <c r="D2149" t="s">
        <v>5013</v>
      </c>
      <c r="E2149" t="s">
        <v>5018</v>
      </c>
      <c r="F2149" t="s">
        <v>5018</v>
      </c>
      <c r="G2149">
        <v>79</v>
      </c>
      <c r="H2149" s="5">
        <v>3.3438144875961389E-3</v>
      </c>
      <c r="I2149">
        <v>5</v>
      </c>
      <c r="J2149" t="b">
        <f>AND(CCData[[#This Row],[Date]]&gt;=Calculation!$E$3,CCData[[#This Row],[Date]]&lt;Calculation!$E$3+7)</f>
        <v>0</v>
      </c>
    </row>
    <row r="2150" spans="1:10">
      <c r="A2150" t="s">
        <v>2149</v>
      </c>
      <c r="B2150" s="2">
        <v>42042.381999999998</v>
      </c>
      <c r="C2150" s="3" t="s">
        <v>5003</v>
      </c>
      <c r="D2150" t="s">
        <v>5015</v>
      </c>
      <c r="E2150" t="s">
        <v>5018</v>
      </c>
      <c r="F2150" t="s">
        <v>5018</v>
      </c>
      <c r="G2150">
        <v>71</v>
      </c>
      <c r="H2150" s="5">
        <v>4.7673647544132719E-3</v>
      </c>
      <c r="I2150">
        <v>3</v>
      </c>
      <c r="J2150" t="b">
        <f>AND(CCData[[#This Row],[Date]]&gt;=Calculation!$E$3,CCData[[#This Row],[Date]]&lt;Calculation!$E$3+7)</f>
        <v>0</v>
      </c>
    </row>
    <row r="2151" spans="1:10">
      <c r="A2151" t="s">
        <v>2150</v>
      </c>
      <c r="B2151" s="2">
        <v>42042.381999999998</v>
      </c>
      <c r="C2151" s="3" t="s">
        <v>5007</v>
      </c>
      <c r="D2151" t="s">
        <v>5015</v>
      </c>
      <c r="E2151" t="s">
        <v>5018</v>
      </c>
      <c r="F2151" t="s">
        <v>5018</v>
      </c>
      <c r="G2151">
        <v>94</v>
      </c>
      <c r="H2151" s="5">
        <v>1.5905118757008755E-3</v>
      </c>
      <c r="I2151">
        <v>3</v>
      </c>
      <c r="J2151" t="b">
        <f>AND(CCData[[#This Row],[Date]]&gt;=Calculation!$E$3,CCData[[#This Row],[Date]]&lt;Calculation!$E$3+7)</f>
        <v>0</v>
      </c>
    </row>
    <row r="2152" spans="1:10">
      <c r="A2152" t="s">
        <v>2151</v>
      </c>
      <c r="B2152" s="2">
        <v>42042.394999999997</v>
      </c>
      <c r="C2152" s="3" t="s">
        <v>5009</v>
      </c>
      <c r="D2152" t="s">
        <v>5013</v>
      </c>
      <c r="E2152" t="s">
        <v>5019</v>
      </c>
      <c r="F2152" t="s">
        <v>5019</v>
      </c>
      <c r="G2152" t="s">
        <v>5022</v>
      </c>
      <c r="H2152" s="5" t="s">
        <v>5022</v>
      </c>
      <c r="I2152" t="s">
        <v>5022</v>
      </c>
      <c r="J2152" t="b">
        <f>AND(CCData[[#This Row],[Date]]&gt;=Calculation!$E$3,CCData[[#This Row],[Date]]&lt;Calculation!$E$3+7)</f>
        <v>0</v>
      </c>
    </row>
    <row r="2153" spans="1:10">
      <c r="A2153" t="s">
        <v>2152</v>
      </c>
      <c r="B2153" s="2">
        <v>42042.394999999997</v>
      </c>
      <c r="C2153" s="3" t="s">
        <v>5010</v>
      </c>
      <c r="D2153" t="s">
        <v>5014</v>
      </c>
      <c r="E2153" t="s">
        <v>5018</v>
      </c>
      <c r="F2153" t="s">
        <v>5018</v>
      </c>
      <c r="G2153">
        <v>11</v>
      </c>
      <c r="H2153" s="5">
        <v>4.744982350629535E-3</v>
      </c>
      <c r="I2153">
        <v>5</v>
      </c>
      <c r="J2153" t="b">
        <f>AND(CCData[[#This Row],[Date]]&gt;=Calculation!$E$3,CCData[[#This Row],[Date]]&lt;Calculation!$E$3+7)</f>
        <v>0</v>
      </c>
    </row>
    <row r="2154" spans="1:10">
      <c r="A2154" t="s">
        <v>2153</v>
      </c>
      <c r="B2154" s="2">
        <v>42042.396000000001</v>
      </c>
      <c r="C2154" s="3" t="s">
        <v>5006</v>
      </c>
      <c r="D2154" t="s">
        <v>5016</v>
      </c>
      <c r="E2154" t="s">
        <v>5018</v>
      </c>
      <c r="F2154" t="s">
        <v>5018</v>
      </c>
      <c r="G2154">
        <v>51</v>
      </c>
      <c r="H2154" s="5">
        <v>4.3419014352019608E-3</v>
      </c>
      <c r="I2154">
        <v>1</v>
      </c>
      <c r="J2154" t="b">
        <f>AND(CCData[[#This Row],[Date]]&gt;=Calculation!$E$3,CCData[[#This Row],[Date]]&lt;Calculation!$E$3+7)</f>
        <v>0</v>
      </c>
    </row>
    <row r="2155" spans="1:10">
      <c r="A2155" t="s">
        <v>2154</v>
      </c>
      <c r="B2155" s="2">
        <v>42042.396000000001</v>
      </c>
      <c r="C2155" s="3" t="s">
        <v>5009</v>
      </c>
      <c r="D2155" t="s">
        <v>5016</v>
      </c>
      <c r="E2155" t="s">
        <v>5018</v>
      </c>
      <c r="F2155" t="s">
        <v>5019</v>
      </c>
      <c r="G2155">
        <v>12</v>
      </c>
      <c r="H2155" s="5">
        <v>4.207034345488395E-3</v>
      </c>
      <c r="I2155">
        <v>3</v>
      </c>
      <c r="J2155" t="b">
        <f>AND(CCData[[#This Row],[Date]]&gt;=Calculation!$E$3,CCData[[#This Row],[Date]]&lt;Calculation!$E$3+7)</f>
        <v>0</v>
      </c>
    </row>
    <row r="2156" spans="1:10">
      <c r="A2156" t="s">
        <v>2155</v>
      </c>
      <c r="B2156" s="2">
        <v>42042.417000000001</v>
      </c>
      <c r="C2156" s="3" t="s">
        <v>5007</v>
      </c>
      <c r="D2156" t="s">
        <v>5015</v>
      </c>
      <c r="E2156" t="s">
        <v>5018</v>
      </c>
      <c r="F2156" t="s">
        <v>5018</v>
      </c>
      <c r="G2156">
        <v>16</v>
      </c>
      <c r="H2156" s="5">
        <v>3.724196377974253E-3</v>
      </c>
      <c r="I2156">
        <v>4</v>
      </c>
      <c r="J2156" t="b">
        <f>AND(CCData[[#This Row],[Date]]&gt;=Calculation!$E$3,CCData[[#This Row],[Date]]&lt;Calculation!$E$3+7)</f>
        <v>0</v>
      </c>
    </row>
    <row r="2157" spans="1:10">
      <c r="A2157" t="s">
        <v>2156</v>
      </c>
      <c r="B2157" s="2">
        <v>42042.417000000001</v>
      </c>
      <c r="C2157" s="3" t="s">
        <v>5004</v>
      </c>
      <c r="D2157" t="s">
        <v>5014</v>
      </c>
      <c r="E2157" t="s">
        <v>5019</v>
      </c>
      <c r="F2157" t="s">
        <v>5019</v>
      </c>
      <c r="G2157" t="s">
        <v>5022</v>
      </c>
      <c r="H2157" s="5" t="s">
        <v>5022</v>
      </c>
      <c r="I2157" t="s">
        <v>5022</v>
      </c>
      <c r="J2157" t="b">
        <f>AND(CCData[[#This Row],[Date]]&gt;=Calculation!$E$3,CCData[[#This Row],[Date]]&lt;Calculation!$E$3+7)</f>
        <v>0</v>
      </c>
    </row>
    <row r="2158" spans="1:10">
      <c r="A2158" t="s">
        <v>2157</v>
      </c>
      <c r="B2158" s="2">
        <v>42042.421000000002</v>
      </c>
      <c r="C2158" s="3" t="s">
        <v>5007</v>
      </c>
      <c r="D2158" t="s">
        <v>5016</v>
      </c>
      <c r="E2158" t="s">
        <v>5018</v>
      </c>
      <c r="F2158" t="s">
        <v>5018</v>
      </c>
      <c r="G2158">
        <v>54</v>
      </c>
      <c r="H2158" s="5">
        <v>3.0194813275738778E-3</v>
      </c>
      <c r="I2158">
        <v>3</v>
      </c>
      <c r="J2158" t="b">
        <f>AND(CCData[[#This Row],[Date]]&gt;=Calculation!$E$3,CCData[[#This Row],[Date]]&lt;Calculation!$E$3+7)</f>
        <v>0</v>
      </c>
    </row>
    <row r="2159" spans="1:10">
      <c r="A2159" t="s">
        <v>2158</v>
      </c>
      <c r="B2159" s="2">
        <v>42042.421000000002</v>
      </c>
      <c r="C2159" s="3" t="s">
        <v>5009</v>
      </c>
      <c r="D2159" t="s">
        <v>5015</v>
      </c>
      <c r="E2159" t="s">
        <v>5018</v>
      </c>
      <c r="F2159" t="s">
        <v>5018</v>
      </c>
      <c r="G2159">
        <v>106</v>
      </c>
      <c r="H2159" s="5">
        <v>2.8475655150647463E-3</v>
      </c>
      <c r="I2159">
        <v>3</v>
      </c>
      <c r="J2159" t="b">
        <f>AND(CCData[[#This Row],[Date]]&gt;=Calculation!$E$3,CCData[[#This Row],[Date]]&lt;Calculation!$E$3+7)</f>
        <v>0</v>
      </c>
    </row>
    <row r="2160" spans="1:10">
      <c r="A2160" t="s">
        <v>2159</v>
      </c>
      <c r="B2160" s="2">
        <v>42042.425999999999</v>
      </c>
      <c r="C2160" s="3" t="s">
        <v>5003</v>
      </c>
      <c r="D2160" t="s">
        <v>5014</v>
      </c>
      <c r="E2160" t="s">
        <v>5019</v>
      </c>
      <c r="F2160" t="s">
        <v>5019</v>
      </c>
      <c r="G2160" t="s">
        <v>5022</v>
      </c>
      <c r="H2160" s="5" t="s">
        <v>5022</v>
      </c>
      <c r="I2160" t="s">
        <v>5022</v>
      </c>
      <c r="J2160" t="b">
        <f>AND(CCData[[#This Row],[Date]]&gt;=Calculation!$E$3,CCData[[#This Row],[Date]]&lt;Calculation!$E$3+7)</f>
        <v>0</v>
      </c>
    </row>
    <row r="2161" spans="1:10">
      <c r="A2161" t="s">
        <v>2160</v>
      </c>
      <c r="B2161" s="2">
        <v>42042.425999999999</v>
      </c>
      <c r="C2161" s="3" t="s">
        <v>5009</v>
      </c>
      <c r="D2161" t="s">
        <v>5015</v>
      </c>
      <c r="E2161" t="s">
        <v>5018</v>
      </c>
      <c r="F2161" t="s">
        <v>5018</v>
      </c>
      <c r="G2161">
        <v>13</v>
      </c>
      <c r="H2161" s="5">
        <v>8.0520220856572673E-4</v>
      </c>
      <c r="I2161">
        <v>3</v>
      </c>
      <c r="J2161" t="b">
        <f>AND(CCData[[#This Row],[Date]]&gt;=Calculation!$E$3,CCData[[#This Row],[Date]]&lt;Calculation!$E$3+7)</f>
        <v>0</v>
      </c>
    </row>
    <row r="2162" spans="1:10">
      <c r="A2162" t="s">
        <v>2161</v>
      </c>
      <c r="B2162" s="2">
        <v>42042.446000000004</v>
      </c>
      <c r="C2162" s="3" t="s">
        <v>5008</v>
      </c>
      <c r="D2162" t="s">
        <v>5016</v>
      </c>
      <c r="E2162" t="s">
        <v>5018</v>
      </c>
      <c r="F2162" t="s">
        <v>5019</v>
      </c>
      <c r="G2162">
        <v>97</v>
      </c>
      <c r="H2162" s="5">
        <v>2.272993215383122E-3</v>
      </c>
      <c r="I2162">
        <v>4</v>
      </c>
      <c r="J2162" t="b">
        <f>AND(CCData[[#This Row],[Date]]&gt;=Calculation!$E$3,CCData[[#This Row],[Date]]&lt;Calculation!$E$3+7)</f>
        <v>0</v>
      </c>
    </row>
    <row r="2163" spans="1:10">
      <c r="A2163" t="s">
        <v>2162</v>
      </c>
      <c r="B2163" s="2">
        <v>42042.446000000004</v>
      </c>
      <c r="C2163" s="3" t="s">
        <v>5009</v>
      </c>
      <c r="D2163" t="s">
        <v>5012</v>
      </c>
      <c r="E2163" t="s">
        <v>5018</v>
      </c>
      <c r="F2163" t="s">
        <v>5018</v>
      </c>
      <c r="G2163">
        <v>124</v>
      </c>
      <c r="H2163" s="5">
        <v>3.403858903666989E-3</v>
      </c>
      <c r="I2163">
        <v>4</v>
      </c>
      <c r="J2163" t="b">
        <f>AND(CCData[[#This Row],[Date]]&gt;=Calculation!$E$3,CCData[[#This Row],[Date]]&lt;Calculation!$E$3+7)</f>
        <v>0</v>
      </c>
    </row>
    <row r="2164" spans="1:10">
      <c r="A2164" t="s">
        <v>2163</v>
      </c>
      <c r="B2164" s="2">
        <v>42042.455999999998</v>
      </c>
      <c r="C2164" s="3" t="s">
        <v>5010</v>
      </c>
      <c r="D2164" t="s">
        <v>5013</v>
      </c>
      <c r="E2164" t="s">
        <v>5018</v>
      </c>
      <c r="F2164" t="s">
        <v>5018</v>
      </c>
      <c r="G2164">
        <v>46</v>
      </c>
      <c r="H2164" s="5">
        <v>2.9220873761905746E-3</v>
      </c>
      <c r="I2164">
        <v>3</v>
      </c>
      <c r="J2164" t="b">
        <f>AND(CCData[[#This Row],[Date]]&gt;=Calculation!$E$3,CCData[[#This Row],[Date]]&lt;Calculation!$E$3+7)</f>
        <v>0</v>
      </c>
    </row>
    <row r="2165" spans="1:10">
      <c r="A2165" t="s">
        <v>2164</v>
      </c>
      <c r="B2165" s="2">
        <v>42042.455999999998</v>
      </c>
      <c r="C2165" s="3" t="s">
        <v>5009</v>
      </c>
      <c r="D2165" t="s">
        <v>5016</v>
      </c>
      <c r="E2165" t="s">
        <v>5018</v>
      </c>
      <c r="F2165" t="s">
        <v>5018</v>
      </c>
      <c r="G2165">
        <v>53</v>
      </c>
      <c r="H2165" s="5">
        <v>4.5942674191303554E-3</v>
      </c>
      <c r="I2165">
        <v>4</v>
      </c>
      <c r="J2165" t="b">
        <f>AND(CCData[[#This Row],[Date]]&gt;=Calculation!$E$3,CCData[[#This Row],[Date]]&lt;Calculation!$E$3+7)</f>
        <v>0</v>
      </c>
    </row>
    <row r="2166" spans="1:10">
      <c r="A2166" t="s">
        <v>2165</v>
      </c>
      <c r="B2166" s="2">
        <v>42042.474999999999</v>
      </c>
      <c r="C2166" s="3" t="s">
        <v>5004</v>
      </c>
      <c r="D2166" t="s">
        <v>5014</v>
      </c>
      <c r="E2166" t="s">
        <v>5018</v>
      </c>
      <c r="F2166" t="s">
        <v>5018</v>
      </c>
      <c r="G2166">
        <v>51</v>
      </c>
      <c r="H2166" s="5">
        <v>4.1794637614126218E-3</v>
      </c>
      <c r="I2166">
        <v>2</v>
      </c>
      <c r="J2166" t="b">
        <f>AND(CCData[[#This Row],[Date]]&gt;=Calculation!$E$3,CCData[[#This Row],[Date]]&lt;Calculation!$E$3+7)</f>
        <v>0</v>
      </c>
    </row>
    <row r="2167" spans="1:10">
      <c r="A2167" t="s">
        <v>2166</v>
      </c>
      <c r="B2167" s="2">
        <v>42042.474999999999</v>
      </c>
      <c r="C2167" s="3" t="s">
        <v>5003</v>
      </c>
      <c r="D2167" t="s">
        <v>5013</v>
      </c>
      <c r="E2167" t="s">
        <v>5018</v>
      </c>
      <c r="F2167" t="s">
        <v>5018</v>
      </c>
      <c r="G2167">
        <v>51</v>
      </c>
      <c r="H2167" s="5">
        <v>6.6726493941869907E-4</v>
      </c>
      <c r="I2167">
        <v>5</v>
      </c>
      <c r="J2167" t="b">
        <f>AND(CCData[[#This Row],[Date]]&gt;=Calculation!$E$3,CCData[[#This Row],[Date]]&lt;Calculation!$E$3+7)</f>
        <v>0</v>
      </c>
    </row>
    <row r="2168" spans="1:10">
      <c r="A2168" t="s">
        <v>2167</v>
      </c>
      <c r="B2168" s="2">
        <v>42042.474999999999</v>
      </c>
      <c r="C2168" s="3" t="s">
        <v>5004</v>
      </c>
      <c r="D2168" t="s">
        <v>5012</v>
      </c>
      <c r="E2168" t="s">
        <v>5018</v>
      </c>
      <c r="F2168" t="s">
        <v>5018</v>
      </c>
      <c r="G2168">
        <v>30</v>
      </c>
      <c r="H2168" s="5">
        <v>1.3708137780441595E-3</v>
      </c>
      <c r="I2168">
        <v>4</v>
      </c>
      <c r="J2168" t="b">
        <f>AND(CCData[[#This Row],[Date]]&gt;=Calculation!$E$3,CCData[[#This Row],[Date]]&lt;Calculation!$E$3+7)</f>
        <v>0</v>
      </c>
    </row>
    <row r="2169" spans="1:10">
      <c r="A2169" t="s">
        <v>2168</v>
      </c>
      <c r="B2169" s="2">
        <v>42042.474999999999</v>
      </c>
      <c r="C2169" s="3" t="s">
        <v>5006</v>
      </c>
      <c r="D2169" t="s">
        <v>5016</v>
      </c>
      <c r="E2169" t="s">
        <v>5018</v>
      </c>
      <c r="F2169" t="s">
        <v>5018</v>
      </c>
      <c r="G2169">
        <v>51</v>
      </c>
      <c r="H2169" s="5">
        <v>4.4403593275939082E-3</v>
      </c>
      <c r="I2169">
        <v>5</v>
      </c>
      <c r="J2169" t="b">
        <f>AND(CCData[[#This Row],[Date]]&gt;=Calculation!$E$3,CCData[[#This Row],[Date]]&lt;Calculation!$E$3+7)</f>
        <v>0</v>
      </c>
    </row>
    <row r="2170" spans="1:10">
      <c r="A2170" t="s">
        <v>2169</v>
      </c>
      <c r="B2170" s="2">
        <v>42042.476000000002</v>
      </c>
      <c r="C2170" s="3" t="s">
        <v>5004</v>
      </c>
      <c r="D2170" t="s">
        <v>5015</v>
      </c>
      <c r="E2170" t="s">
        <v>5018</v>
      </c>
      <c r="F2170" t="s">
        <v>5018</v>
      </c>
      <c r="G2170">
        <v>45</v>
      </c>
      <c r="H2170" s="5">
        <v>1.8490639870024032E-3</v>
      </c>
      <c r="I2170">
        <v>1</v>
      </c>
      <c r="J2170" t="b">
        <f>AND(CCData[[#This Row],[Date]]&gt;=Calculation!$E$3,CCData[[#This Row],[Date]]&lt;Calculation!$E$3+7)</f>
        <v>0</v>
      </c>
    </row>
    <row r="2171" spans="1:10">
      <c r="A2171" t="s">
        <v>2170</v>
      </c>
      <c r="B2171" s="2">
        <v>42042.476000000002</v>
      </c>
      <c r="C2171" s="3" t="s">
        <v>5003</v>
      </c>
      <c r="D2171" t="s">
        <v>5012</v>
      </c>
      <c r="E2171" t="s">
        <v>5018</v>
      </c>
      <c r="F2171" t="s">
        <v>5018</v>
      </c>
      <c r="G2171">
        <v>43</v>
      </c>
      <c r="H2171" s="5">
        <v>4.4789088080786311E-3</v>
      </c>
      <c r="I2171">
        <v>5</v>
      </c>
      <c r="J2171" t="b">
        <f>AND(CCData[[#This Row],[Date]]&gt;=Calculation!$E$3,CCData[[#This Row],[Date]]&lt;Calculation!$E$3+7)</f>
        <v>0</v>
      </c>
    </row>
    <row r="2172" spans="1:10">
      <c r="A2172" t="s">
        <v>2171</v>
      </c>
      <c r="B2172" s="2">
        <v>42042.534</v>
      </c>
      <c r="C2172" s="3" t="s">
        <v>5006</v>
      </c>
      <c r="D2172" t="s">
        <v>5013</v>
      </c>
      <c r="E2172" t="s">
        <v>5018</v>
      </c>
      <c r="F2172" t="s">
        <v>5018</v>
      </c>
      <c r="G2172">
        <v>51</v>
      </c>
      <c r="H2172" s="5">
        <v>8.6036130725805117E-4</v>
      </c>
      <c r="I2172">
        <v>4</v>
      </c>
      <c r="J2172" t="b">
        <f>AND(CCData[[#This Row],[Date]]&gt;=Calculation!$E$3,CCData[[#This Row],[Date]]&lt;Calculation!$E$3+7)</f>
        <v>0</v>
      </c>
    </row>
    <row r="2173" spans="1:10">
      <c r="A2173" t="s">
        <v>2172</v>
      </c>
      <c r="B2173" s="2">
        <v>42042.534</v>
      </c>
      <c r="C2173" s="3" t="s">
        <v>5004</v>
      </c>
      <c r="D2173" t="s">
        <v>5012</v>
      </c>
      <c r="E2173" t="s">
        <v>5018</v>
      </c>
      <c r="F2173" t="s">
        <v>5018</v>
      </c>
      <c r="G2173">
        <v>99</v>
      </c>
      <c r="H2173" s="5">
        <v>2.8524526782505249E-3</v>
      </c>
      <c r="I2173">
        <v>4</v>
      </c>
      <c r="J2173" t="b">
        <f>AND(CCData[[#This Row],[Date]]&gt;=Calculation!$E$3,CCData[[#This Row],[Date]]&lt;Calculation!$E$3+7)</f>
        <v>0</v>
      </c>
    </row>
    <row r="2174" spans="1:10">
      <c r="A2174" t="s">
        <v>2173</v>
      </c>
      <c r="B2174" s="2">
        <v>42042.542000000001</v>
      </c>
      <c r="C2174" s="3" t="s">
        <v>5006</v>
      </c>
      <c r="D2174" t="s">
        <v>5015</v>
      </c>
      <c r="E2174" t="s">
        <v>5018</v>
      </c>
      <c r="F2174" t="s">
        <v>5018</v>
      </c>
      <c r="G2174">
        <v>94</v>
      </c>
      <c r="H2174" s="5">
        <v>1.2702568485634211E-3</v>
      </c>
      <c r="I2174">
        <v>5</v>
      </c>
      <c r="J2174" t="b">
        <f>AND(CCData[[#This Row],[Date]]&gt;=Calculation!$E$3,CCData[[#This Row],[Date]]&lt;Calculation!$E$3+7)</f>
        <v>0</v>
      </c>
    </row>
    <row r="2175" spans="1:10">
      <c r="A2175" t="s">
        <v>2174</v>
      </c>
      <c r="B2175" s="2">
        <v>42042.542000000001</v>
      </c>
      <c r="C2175" s="3" t="s">
        <v>5005</v>
      </c>
      <c r="D2175" t="s">
        <v>5013</v>
      </c>
      <c r="E2175" t="s">
        <v>5018</v>
      </c>
      <c r="F2175" t="s">
        <v>5018</v>
      </c>
      <c r="G2175">
        <v>11</v>
      </c>
      <c r="H2175" s="5">
        <v>9.1761119375764701E-4</v>
      </c>
      <c r="I2175">
        <v>2</v>
      </c>
      <c r="J2175" t="b">
        <f>AND(CCData[[#This Row],[Date]]&gt;=Calculation!$E$3,CCData[[#This Row],[Date]]&lt;Calculation!$E$3+7)</f>
        <v>0</v>
      </c>
    </row>
    <row r="2176" spans="1:10">
      <c r="A2176" t="s">
        <v>2175</v>
      </c>
      <c r="B2176" s="2">
        <v>42042.544999999998</v>
      </c>
      <c r="C2176" s="3" t="s">
        <v>5003</v>
      </c>
      <c r="D2176" t="s">
        <v>5013</v>
      </c>
      <c r="E2176" t="s">
        <v>5018</v>
      </c>
      <c r="F2176" t="s">
        <v>5018</v>
      </c>
      <c r="G2176">
        <v>120</v>
      </c>
      <c r="H2176" s="5">
        <v>4.6425157263072203E-4</v>
      </c>
      <c r="I2176">
        <v>3</v>
      </c>
      <c r="J2176" t="b">
        <f>AND(CCData[[#This Row],[Date]]&gt;=Calculation!$E$3,CCData[[#This Row],[Date]]&lt;Calculation!$E$3+7)</f>
        <v>0</v>
      </c>
    </row>
    <row r="2177" spans="1:10">
      <c r="A2177" t="s">
        <v>2176</v>
      </c>
      <c r="B2177" s="2">
        <v>42042.544999999998</v>
      </c>
      <c r="C2177" s="3" t="s">
        <v>5005</v>
      </c>
      <c r="D2177" t="s">
        <v>5015</v>
      </c>
      <c r="E2177" t="s">
        <v>5018</v>
      </c>
      <c r="F2177" t="s">
        <v>5018</v>
      </c>
      <c r="G2177">
        <v>70</v>
      </c>
      <c r="H2177" s="5">
        <v>4.5433466660291921E-3</v>
      </c>
      <c r="I2177">
        <v>3</v>
      </c>
      <c r="J2177" t="b">
        <f>AND(CCData[[#This Row],[Date]]&gt;=Calculation!$E$3,CCData[[#This Row],[Date]]&lt;Calculation!$E$3+7)</f>
        <v>0</v>
      </c>
    </row>
    <row r="2178" spans="1:10">
      <c r="A2178" t="s">
        <v>2177</v>
      </c>
      <c r="B2178" s="2">
        <v>42042.574999999997</v>
      </c>
      <c r="C2178" s="3" t="s">
        <v>5004</v>
      </c>
      <c r="D2178" t="s">
        <v>5014</v>
      </c>
      <c r="E2178" t="s">
        <v>5018</v>
      </c>
      <c r="F2178" t="s">
        <v>5018</v>
      </c>
      <c r="G2178">
        <v>111</v>
      </c>
      <c r="H2178" s="5">
        <v>4.6806125979305451E-3</v>
      </c>
      <c r="I2178">
        <v>5</v>
      </c>
      <c r="J2178" t="b">
        <f>AND(CCData[[#This Row],[Date]]&gt;=Calculation!$E$3,CCData[[#This Row],[Date]]&lt;Calculation!$E$3+7)</f>
        <v>0</v>
      </c>
    </row>
    <row r="2179" spans="1:10">
      <c r="A2179" t="s">
        <v>2178</v>
      </c>
      <c r="B2179" s="2">
        <v>42042.574999999997</v>
      </c>
      <c r="C2179" s="3" t="s">
        <v>5009</v>
      </c>
      <c r="D2179" t="s">
        <v>5013</v>
      </c>
      <c r="E2179" t="s">
        <v>5018</v>
      </c>
      <c r="F2179" t="s">
        <v>5018</v>
      </c>
      <c r="G2179">
        <v>85</v>
      </c>
      <c r="H2179" s="5">
        <v>3.2803234344707605E-3</v>
      </c>
      <c r="I2179">
        <v>1</v>
      </c>
      <c r="J2179" t="b">
        <f>AND(CCData[[#This Row],[Date]]&gt;=Calculation!$E$3,CCData[[#This Row],[Date]]&lt;Calculation!$E$3+7)</f>
        <v>0</v>
      </c>
    </row>
    <row r="2180" spans="1:10">
      <c r="A2180" t="s">
        <v>2179</v>
      </c>
      <c r="B2180" s="2">
        <v>42042.578000000001</v>
      </c>
      <c r="C2180" s="3" t="s">
        <v>5003</v>
      </c>
      <c r="D2180" t="s">
        <v>5013</v>
      </c>
      <c r="E2180" t="s">
        <v>5018</v>
      </c>
      <c r="F2180" t="s">
        <v>5019</v>
      </c>
      <c r="G2180">
        <v>58</v>
      </c>
      <c r="H2180" s="5">
        <v>1.0576094141133542E-3</v>
      </c>
      <c r="I2180">
        <v>2</v>
      </c>
      <c r="J2180" t="b">
        <f>AND(CCData[[#This Row],[Date]]&gt;=Calculation!$E$3,CCData[[#This Row],[Date]]&lt;Calculation!$E$3+7)</f>
        <v>0</v>
      </c>
    </row>
    <row r="2181" spans="1:10">
      <c r="A2181" t="s">
        <v>2180</v>
      </c>
      <c r="B2181" s="2">
        <v>42042.578000000001</v>
      </c>
      <c r="C2181" s="3" t="s">
        <v>5010</v>
      </c>
      <c r="D2181" t="s">
        <v>5015</v>
      </c>
      <c r="E2181" t="s">
        <v>5019</v>
      </c>
      <c r="F2181" t="s">
        <v>5019</v>
      </c>
      <c r="G2181" t="s">
        <v>5022</v>
      </c>
      <c r="H2181" s="5" t="s">
        <v>5022</v>
      </c>
      <c r="I2181" t="s">
        <v>5022</v>
      </c>
      <c r="J2181" t="b">
        <f>AND(CCData[[#This Row],[Date]]&gt;=Calculation!$E$3,CCData[[#This Row],[Date]]&lt;Calculation!$E$3+7)</f>
        <v>0</v>
      </c>
    </row>
    <row r="2182" spans="1:10">
      <c r="A2182" t="s">
        <v>2181</v>
      </c>
      <c r="B2182" s="2">
        <v>42042.589</v>
      </c>
      <c r="C2182" s="3" t="s">
        <v>5006</v>
      </c>
      <c r="D2182" t="s">
        <v>5014</v>
      </c>
      <c r="E2182" t="s">
        <v>5018</v>
      </c>
      <c r="F2182" t="s">
        <v>5018</v>
      </c>
      <c r="G2182">
        <v>14</v>
      </c>
      <c r="H2182" s="5">
        <v>2.2807698030999522E-3</v>
      </c>
      <c r="I2182">
        <v>4</v>
      </c>
      <c r="J2182" t="b">
        <f>AND(CCData[[#This Row],[Date]]&gt;=Calculation!$E$3,CCData[[#This Row],[Date]]&lt;Calculation!$E$3+7)</f>
        <v>0</v>
      </c>
    </row>
    <row r="2183" spans="1:10">
      <c r="A2183" t="s">
        <v>2182</v>
      </c>
      <c r="B2183" s="2">
        <v>42042.589</v>
      </c>
      <c r="C2183" s="3" t="s">
        <v>5009</v>
      </c>
      <c r="D2183" t="s">
        <v>5014</v>
      </c>
      <c r="E2183" t="s">
        <v>5018</v>
      </c>
      <c r="F2183" t="s">
        <v>5018</v>
      </c>
      <c r="G2183">
        <v>40</v>
      </c>
      <c r="H2183" s="5">
        <v>3.095207780608341E-3</v>
      </c>
      <c r="I2183">
        <v>4</v>
      </c>
      <c r="J2183" t="b">
        <f>AND(CCData[[#This Row],[Date]]&gt;=Calculation!$E$3,CCData[[#This Row],[Date]]&lt;Calculation!$E$3+7)</f>
        <v>0</v>
      </c>
    </row>
    <row r="2184" spans="1:10">
      <c r="A2184" t="s">
        <v>2183</v>
      </c>
      <c r="B2184" s="2">
        <v>42042.59</v>
      </c>
      <c r="C2184" s="3" t="s">
        <v>5007</v>
      </c>
      <c r="D2184" t="s">
        <v>5012</v>
      </c>
      <c r="E2184" t="s">
        <v>5018</v>
      </c>
      <c r="F2184" t="s">
        <v>5018</v>
      </c>
      <c r="G2184">
        <v>51</v>
      </c>
      <c r="H2184" s="5">
        <v>3.6311004160654086E-3</v>
      </c>
      <c r="I2184">
        <v>3</v>
      </c>
      <c r="J2184" t="b">
        <f>AND(CCData[[#This Row],[Date]]&gt;=Calculation!$E$3,CCData[[#This Row],[Date]]&lt;Calculation!$E$3+7)</f>
        <v>0</v>
      </c>
    </row>
    <row r="2185" spans="1:10">
      <c r="A2185" t="s">
        <v>2184</v>
      </c>
      <c r="B2185" s="2">
        <v>42042.59</v>
      </c>
      <c r="C2185" s="3" t="s">
        <v>5006</v>
      </c>
      <c r="D2185" t="s">
        <v>5016</v>
      </c>
      <c r="E2185" t="s">
        <v>5018</v>
      </c>
      <c r="F2185" t="s">
        <v>5019</v>
      </c>
      <c r="G2185">
        <v>16</v>
      </c>
      <c r="H2185" s="5">
        <v>4.0206984515718603E-3</v>
      </c>
      <c r="I2185">
        <v>3</v>
      </c>
      <c r="J2185" t="b">
        <f>AND(CCData[[#This Row],[Date]]&gt;=Calculation!$E$3,CCData[[#This Row],[Date]]&lt;Calculation!$E$3+7)</f>
        <v>0</v>
      </c>
    </row>
    <row r="2186" spans="1:10">
      <c r="A2186" t="s">
        <v>2185</v>
      </c>
      <c r="B2186" s="2">
        <v>42042.597999999998</v>
      </c>
      <c r="C2186" s="3" t="s">
        <v>5006</v>
      </c>
      <c r="D2186" t="s">
        <v>5012</v>
      </c>
      <c r="E2186" t="s">
        <v>5018</v>
      </c>
      <c r="F2186" t="s">
        <v>5018</v>
      </c>
      <c r="G2186">
        <v>27</v>
      </c>
      <c r="H2186" s="5">
        <v>2.6982790432647902E-3</v>
      </c>
      <c r="I2186">
        <v>3</v>
      </c>
      <c r="J2186" t="b">
        <f>AND(CCData[[#This Row],[Date]]&gt;=Calculation!$E$3,CCData[[#This Row],[Date]]&lt;Calculation!$E$3+7)</f>
        <v>0</v>
      </c>
    </row>
    <row r="2187" spans="1:10">
      <c r="A2187" t="s">
        <v>2186</v>
      </c>
      <c r="B2187" s="2">
        <v>42042.597999999998</v>
      </c>
      <c r="C2187" s="3" t="s">
        <v>5009</v>
      </c>
      <c r="D2187" t="s">
        <v>5012</v>
      </c>
      <c r="E2187" t="s">
        <v>5018</v>
      </c>
      <c r="F2187" t="s">
        <v>5018</v>
      </c>
      <c r="G2187">
        <v>14</v>
      </c>
      <c r="H2187" s="5">
        <v>4.4938491496185591E-3</v>
      </c>
      <c r="I2187">
        <v>1</v>
      </c>
      <c r="J2187" t="b">
        <f>AND(CCData[[#This Row],[Date]]&gt;=Calculation!$E$3,CCData[[#This Row],[Date]]&lt;Calculation!$E$3+7)</f>
        <v>0</v>
      </c>
    </row>
    <row r="2188" spans="1:10">
      <c r="A2188" t="s">
        <v>2187</v>
      </c>
      <c r="B2188" s="2">
        <v>42042.639000000003</v>
      </c>
      <c r="C2188" s="3" t="s">
        <v>5009</v>
      </c>
      <c r="D2188" t="s">
        <v>5014</v>
      </c>
      <c r="E2188" t="s">
        <v>5018</v>
      </c>
      <c r="F2188" t="s">
        <v>5018</v>
      </c>
      <c r="G2188">
        <v>105</v>
      </c>
      <c r="H2188" s="5">
        <v>2.9793808260874929E-3</v>
      </c>
      <c r="I2188">
        <v>4</v>
      </c>
      <c r="J2188" t="b">
        <f>AND(CCData[[#This Row],[Date]]&gt;=Calculation!$E$3,CCData[[#This Row],[Date]]&lt;Calculation!$E$3+7)</f>
        <v>0</v>
      </c>
    </row>
    <row r="2189" spans="1:10">
      <c r="A2189" t="s">
        <v>2188</v>
      </c>
      <c r="B2189" s="2">
        <v>42042.639000000003</v>
      </c>
      <c r="C2189" s="3" t="s">
        <v>5003</v>
      </c>
      <c r="D2189" t="s">
        <v>5016</v>
      </c>
      <c r="E2189" t="s">
        <v>5018</v>
      </c>
      <c r="F2189" t="s">
        <v>5018</v>
      </c>
      <c r="G2189">
        <v>77</v>
      </c>
      <c r="H2189" s="5">
        <v>7.5195700626944962E-4</v>
      </c>
      <c r="I2189">
        <v>4</v>
      </c>
      <c r="J2189" t="b">
        <f>AND(CCData[[#This Row],[Date]]&gt;=Calculation!$E$3,CCData[[#This Row],[Date]]&lt;Calculation!$E$3+7)</f>
        <v>0</v>
      </c>
    </row>
    <row r="2190" spans="1:10">
      <c r="A2190" t="s">
        <v>2189</v>
      </c>
      <c r="B2190" s="2">
        <v>42042.673000000003</v>
      </c>
      <c r="C2190" s="3" t="s">
        <v>5006</v>
      </c>
      <c r="D2190" t="s">
        <v>5014</v>
      </c>
      <c r="E2190" t="s">
        <v>5018</v>
      </c>
      <c r="F2190" t="s">
        <v>5019</v>
      </c>
      <c r="G2190">
        <v>71</v>
      </c>
      <c r="H2190" s="5">
        <v>2.4068519154807604E-3</v>
      </c>
      <c r="I2190">
        <v>3</v>
      </c>
      <c r="J2190" t="b">
        <f>AND(CCData[[#This Row],[Date]]&gt;=Calculation!$E$3,CCData[[#This Row],[Date]]&lt;Calculation!$E$3+7)</f>
        <v>0</v>
      </c>
    </row>
    <row r="2191" spans="1:10">
      <c r="A2191" t="s">
        <v>2190</v>
      </c>
      <c r="B2191" s="2">
        <v>42042.673000000003</v>
      </c>
      <c r="C2191" s="3" t="s">
        <v>5010</v>
      </c>
      <c r="D2191" t="s">
        <v>5014</v>
      </c>
      <c r="E2191" t="s">
        <v>5018</v>
      </c>
      <c r="F2191" t="s">
        <v>5018</v>
      </c>
      <c r="G2191">
        <v>105</v>
      </c>
      <c r="H2191" s="5">
        <v>2.9671660557686382E-3</v>
      </c>
      <c r="I2191">
        <v>4</v>
      </c>
      <c r="J2191" t="b">
        <f>AND(CCData[[#This Row],[Date]]&gt;=Calculation!$E$3,CCData[[#This Row],[Date]]&lt;Calculation!$E$3+7)</f>
        <v>0</v>
      </c>
    </row>
    <row r="2192" spans="1:10">
      <c r="A2192" t="s">
        <v>2191</v>
      </c>
      <c r="B2192" s="2">
        <v>42042.68</v>
      </c>
      <c r="C2192" s="3" t="s">
        <v>5005</v>
      </c>
      <c r="D2192" t="s">
        <v>5015</v>
      </c>
      <c r="E2192" t="s">
        <v>5018</v>
      </c>
      <c r="F2192" t="s">
        <v>5018</v>
      </c>
      <c r="G2192">
        <v>107</v>
      </c>
      <c r="H2192" s="5">
        <v>3.9614690111277389E-3</v>
      </c>
      <c r="I2192">
        <v>4</v>
      </c>
      <c r="J2192" t="b">
        <f>AND(CCData[[#This Row],[Date]]&gt;=Calculation!$E$3,CCData[[#This Row],[Date]]&lt;Calculation!$E$3+7)</f>
        <v>0</v>
      </c>
    </row>
    <row r="2193" spans="1:10">
      <c r="A2193" t="s">
        <v>2192</v>
      </c>
      <c r="B2193" s="2">
        <v>42042.68</v>
      </c>
      <c r="C2193" s="3" t="s">
        <v>5009</v>
      </c>
      <c r="D2193" t="s">
        <v>5013</v>
      </c>
      <c r="E2193" t="s">
        <v>5019</v>
      </c>
      <c r="F2193" t="s">
        <v>5019</v>
      </c>
      <c r="G2193" t="s">
        <v>5022</v>
      </c>
      <c r="H2193" s="5" t="s">
        <v>5022</v>
      </c>
      <c r="I2193" t="s">
        <v>5022</v>
      </c>
      <c r="J2193" t="b">
        <f>AND(CCData[[#This Row],[Date]]&gt;=Calculation!$E$3,CCData[[#This Row],[Date]]&lt;Calculation!$E$3+7)</f>
        <v>0</v>
      </c>
    </row>
    <row r="2194" spans="1:10">
      <c r="A2194" t="s">
        <v>2193</v>
      </c>
      <c r="B2194" s="2">
        <v>42042.688000000002</v>
      </c>
      <c r="C2194" s="3" t="s">
        <v>5004</v>
      </c>
      <c r="D2194" t="s">
        <v>5015</v>
      </c>
      <c r="E2194" t="s">
        <v>5018</v>
      </c>
      <c r="F2194" t="s">
        <v>5018</v>
      </c>
      <c r="G2194">
        <v>53</v>
      </c>
      <c r="H2194" s="5">
        <v>2.7087403350402246E-3</v>
      </c>
      <c r="I2194">
        <v>2</v>
      </c>
      <c r="J2194" t="b">
        <f>AND(CCData[[#This Row],[Date]]&gt;=Calculation!$E$3,CCData[[#This Row],[Date]]&lt;Calculation!$E$3+7)</f>
        <v>0</v>
      </c>
    </row>
    <row r="2195" spans="1:10">
      <c r="A2195" t="s">
        <v>2194</v>
      </c>
      <c r="B2195" s="2">
        <v>42042.688000000002</v>
      </c>
      <c r="C2195" s="3" t="s">
        <v>5008</v>
      </c>
      <c r="D2195" t="s">
        <v>5012</v>
      </c>
      <c r="E2195" t="s">
        <v>5018</v>
      </c>
      <c r="F2195" t="s">
        <v>5018</v>
      </c>
      <c r="G2195">
        <v>109</v>
      </c>
      <c r="H2195" s="5">
        <v>2.5419081811935752E-3</v>
      </c>
      <c r="I2195">
        <v>4</v>
      </c>
      <c r="J2195" t="b">
        <f>AND(CCData[[#This Row],[Date]]&gt;=Calculation!$E$3,CCData[[#This Row],[Date]]&lt;Calculation!$E$3+7)</f>
        <v>0</v>
      </c>
    </row>
    <row r="2196" spans="1:10">
      <c r="A2196" t="s">
        <v>2195</v>
      </c>
      <c r="B2196" s="2">
        <v>42042.688000000002</v>
      </c>
      <c r="C2196" s="3" t="s">
        <v>5004</v>
      </c>
      <c r="D2196" t="s">
        <v>5013</v>
      </c>
      <c r="E2196" t="s">
        <v>5018</v>
      </c>
      <c r="F2196" t="s">
        <v>5018</v>
      </c>
      <c r="G2196">
        <v>18</v>
      </c>
      <c r="H2196" s="5">
        <v>2.9706085673140824E-3</v>
      </c>
      <c r="I2196">
        <v>4</v>
      </c>
      <c r="J2196" t="b">
        <f>AND(CCData[[#This Row],[Date]]&gt;=Calculation!$E$3,CCData[[#This Row],[Date]]&lt;Calculation!$E$3+7)</f>
        <v>0</v>
      </c>
    </row>
    <row r="2197" spans="1:10">
      <c r="A2197" t="s">
        <v>2196</v>
      </c>
      <c r="B2197" s="2">
        <v>42042.688000000002</v>
      </c>
      <c r="C2197" s="3" t="s">
        <v>5010</v>
      </c>
      <c r="D2197" t="s">
        <v>5015</v>
      </c>
      <c r="E2197" t="s">
        <v>5018</v>
      </c>
      <c r="F2197" t="s">
        <v>5018</v>
      </c>
      <c r="G2197">
        <v>34</v>
      </c>
      <c r="H2197" s="5">
        <v>2.4004837406842662E-3</v>
      </c>
      <c r="I2197">
        <v>3</v>
      </c>
      <c r="J2197" t="b">
        <f>AND(CCData[[#This Row],[Date]]&gt;=Calculation!$E$3,CCData[[#This Row],[Date]]&lt;Calculation!$E$3+7)</f>
        <v>0</v>
      </c>
    </row>
    <row r="2198" spans="1:10">
      <c r="A2198" t="s">
        <v>2197</v>
      </c>
      <c r="B2198" s="2">
        <v>42042.690999999999</v>
      </c>
      <c r="C2198" s="3" t="s">
        <v>5007</v>
      </c>
      <c r="D2198" t="s">
        <v>5014</v>
      </c>
      <c r="E2198" t="s">
        <v>5019</v>
      </c>
      <c r="F2198" t="s">
        <v>5019</v>
      </c>
      <c r="G2198" t="s">
        <v>5022</v>
      </c>
      <c r="H2198" s="5" t="s">
        <v>5022</v>
      </c>
      <c r="I2198" t="s">
        <v>5022</v>
      </c>
      <c r="J2198" t="b">
        <f>AND(CCData[[#This Row],[Date]]&gt;=Calculation!$E$3,CCData[[#This Row],[Date]]&lt;Calculation!$E$3+7)</f>
        <v>0</v>
      </c>
    </row>
    <row r="2199" spans="1:10">
      <c r="A2199" t="s">
        <v>2198</v>
      </c>
      <c r="B2199" s="2">
        <v>42042.690999999999</v>
      </c>
      <c r="C2199" s="3" t="s">
        <v>5009</v>
      </c>
      <c r="D2199" t="s">
        <v>5012</v>
      </c>
      <c r="E2199" t="s">
        <v>5018</v>
      </c>
      <c r="F2199" t="s">
        <v>5018</v>
      </c>
      <c r="G2199">
        <v>102</v>
      </c>
      <c r="H2199" s="5">
        <v>3.9708513162523516E-3</v>
      </c>
      <c r="I2199">
        <v>2</v>
      </c>
      <c r="J2199" t="b">
        <f>AND(CCData[[#This Row],[Date]]&gt;=Calculation!$E$3,CCData[[#This Row],[Date]]&lt;Calculation!$E$3+7)</f>
        <v>0</v>
      </c>
    </row>
    <row r="2200" spans="1:10">
      <c r="A2200" t="s">
        <v>2199</v>
      </c>
      <c r="B2200" s="2">
        <v>42042.694000000003</v>
      </c>
      <c r="C2200" s="3" t="s">
        <v>5009</v>
      </c>
      <c r="D2200" t="s">
        <v>5014</v>
      </c>
      <c r="E2200" t="s">
        <v>5019</v>
      </c>
      <c r="F2200" t="s">
        <v>5019</v>
      </c>
      <c r="G2200" t="s">
        <v>5022</v>
      </c>
      <c r="H2200" s="5" t="s">
        <v>5022</v>
      </c>
      <c r="I2200" t="s">
        <v>5022</v>
      </c>
      <c r="J2200" t="b">
        <f>AND(CCData[[#This Row],[Date]]&gt;=Calculation!$E$3,CCData[[#This Row],[Date]]&lt;Calculation!$E$3+7)</f>
        <v>0</v>
      </c>
    </row>
    <row r="2201" spans="1:10">
      <c r="A2201" t="s">
        <v>2200</v>
      </c>
      <c r="B2201" s="2">
        <v>42042.694000000003</v>
      </c>
      <c r="C2201" s="3" t="s">
        <v>5004</v>
      </c>
      <c r="D2201" t="s">
        <v>5014</v>
      </c>
      <c r="E2201" t="s">
        <v>5019</v>
      </c>
      <c r="F2201" t="s">
        <v>5019</v>
      </c>
      <c r="G2201" t="s">
        <v>5022</v>
      </c>
      <c r="H2201" s="5" t="s">
        <v>5022</v>
      </c>
      <c r="I2201" t="s">
        <v>5022</v>
      </c>
      <c r="J2201" t="b">
        <f>AND(CCData[[#This Row],[Date]]&gt;=Calculation!$E$3,CCData[[#This Row],[Date]]&lt;Calculation!$E$3+7)</f>
        <v>0</v>
      </c>
    </row>
    <row r="2202" spans="1:10">
      <c r="A2202" t="s">
        <v>2201</v>
      </c>
      <c r="B2202" s="2">
        <v>42042.697</v>
      </c>
      <c r="C2202" s="3" t="s">
        <v>5005</v>
      </c>
      <c r="D2202" t="s">
        <v>5014</v>
      </c>
      <c r="E2202" t="s">
        <v>5018</v>
      </c>
      <c r="F2202" t="s">
        <v>5018</v>
      </c>
      <c r="G2202">
        <v>111</v>
      </c>
      <c r="H2202" s="5">
        <v>9.3155218853847811E-4</v>
      </c>
      <c r="I2202">
        <v>5</v>
      </c>
      <c r="J2202" t="b">
        <f>AND(CCData[[#This Row],[Date]]&gt;=Calculation!$E$3,CCData[[#This Row],[Date]]&lt;Calculation!$E$3+7)</f>
        <v>0</v>
      </c>
    </row>
    <row r="2203" spans="1:10">
      <c r="A2203" t="s">
        <v>2202</v>
      </c>
      <c r="B2203" s="2">
        <v>42042.697</v>
      </c>
      <c r="C2203" s="3" t="s">
        <v>5006</v>
      </c>
      <c r="D2203" t="s">
        <v>5015</v>
      </c>
      <c r="E2203" t="s">
        <v>5018</v>
      </c>
      <c r="F2203" t="s">
        <v>5018</v>
      </c>
      <c r="G2203">
        <v>81</v>
      </c>
      <c r="H2203" s="5">
        <v>2.9419634829881223E-3</v>
      </c>
      <c r="I2203">
        <v>4</v>
      </c>
      <c r="J2203" t="b">
        <f>AND(CCData[[#This Row],[Date]]&gt;=Calculation!$E$3,CCData[[#This Row],[Date]]&lt;Calculation!$E$3+7)</f>
        <v>0</v>
      </c>
    </row>
    <row r="2204" spans="1:10">
      <c r="A2204" t="s">
        <v>2203</v>
      </c>
      <c r="B2204" s="2">
        <v>42042.726000000002</v>
      </c>
      <c r="C2204" s="3" t="s">
        <v>5003</v>
      </c>
      <c r="D2204" t="s">
        <v>5015</v>
      </c>
      <c r="E2204" t="s">
        <v>5018</v>
      </c>
      <c r="F2204" t="s">
        <v>5018</v>
      </c>
      <c r="G2204">
        <v>97</v>
      </c>
      <c r="H2204" s="5">
        <v>3.6257462578936539E-3</v>
      </c>
      <c r="I2204">
        <v>3</v>
      </c>
      <c r="J2204" t="b">
        <f>AND(CCData[[#This Row],[Date]]&gt;=Calculation!$E$3,CCData[[#This Row],[Date]]&lt;Calculation!$E$3+7)</f>
        <v>0</v>
      </c>
    </row>
    <row r="2205" spans="1:10">
      <c r="A2205" t="s">
        <v>2204</v>
      </c>
      <c r="B2205" s="2">
        <v>42042.726000000002</v>
      </c>
      <c r="C2205" s="3" t="s">
        <v>5006</v>
      </c>
      <c r="D2205" t="s">
        <v>5012</v>
      </c>
      <c r="E2205" t="s">
        <v>5019</v>
      </c>
      <c r="F2205" t="s">
        <v>5019</v>
      </c>
      <c r="G2205" t="s">
        <v>5022</v>
      </c>
      <c r="H2205" s="5" t="s">
        <v>5022</v>
      </c>
      <c r="I2205" t="s">
        <v>5022</v>
      </c>
      <c r="J2205" t="b">
        <f>AND(CCData[[#This Row],[Date]]&gt;=Calculation!$E$3,CCData[[#This Row],[Date]]&lt;Calculation!$E$3+7)</f>
        <v>0</v>
      </c>
    </row>
    <row r="2206" spans="1:10">
      <c r="A2206" t="s">
        <v>2205</v>
      </c>
      <c r="B2206" s="2">
        <v>42043.375</v>
      </c>
      <c r="C2206" s="3" t="s">
        <v>5007</v>
      </c>
      <c r="D2206" t="s">
        <v>5015</v>
      </c>
      <c r="E2206" t="s">
        <v>5019</v>
      </c>
      <c r="F2206" t="s">
        <v>5019</v>
      </c>
      <c r="G2206" t="s">
        <v>5022</v>
      </c>
      <c r="H2206" s="5" t="s">
        <v>5022</v>
      </c>
      <c r="I2206" t="s">
        <v>5022</v>
      </c>
      <c r="J2206" t="b">
        <f>AND(CCData[[#This Row],[Date]]&gt;=Calculation!$E$3,CCData[[#This Row],[Date]]&lt;Calculation!$E$3+7)</f>
        <v>0</v>
      </c>
    </row>
    <row r="2207" spans="1:10">
      <c r="A2207" t="s">
        <v>2206</v>
      </c>
      <c r="B2207" s="2">
        <v>42043.375</v>
      </c>
      <c r="C2207" s="3" t="s">
        <v>5004</v>
      </c>
      <c r="D2207" t="s">
        <v>5012</v>
      </c>
      <c r="E2207" t="s">
        <v>5018</v>
      </c>
      <c r="F2207" t="s">
        <v>5018</v>
      </c>
      <c r="G2207">
        <v>17</v>
      </c>
      <c r="H2207" s="5">
        <v>4.042870037489074E-3</v>
      </c>
      <c r="I2207">
        <v>4</v>
      </c>
      <c r="J2207" t="b">
        <f>AND(CCData[[#This Row],[Date]]&gt;=Calculation!$E$3,CCData[[#This Row],[Date]]&lt;Calculation!$E$3+7)</f>
        <v>0</v>
      </c>
    </row>
    <row r="2208" spans="1:10">
      <c r="A2208" t="s">
        <v>2207</v>
      </c>
      <c r="B2208" s="2">
        <v>42043.385999999999</v>
      </c>
      <c r="C2208" s="3" t="s">
        <v>5004</v>
      </c>
      <c r="D2208" t="s">
        <v>5015</v>
      </c>
      <c r="E2208" t="s">
        <v>5018</v>
      </c>
      <c r="F2208" t="s">
        <v>5018</v>
      </c>
      <c r="G2208">
        <v>116</v>
      </c>
      <c r="H2208" s="5">
        <v>2.8348415643362048E-3</v>
      </c>
      <c r="I2208">
        <v>4</v>
      </c>
      <c r="J2208" t="b">
        <f>AND(CCData[[#This Row],[Date]]&gt;=Calculation!$E$3,CCData[[#This Row],[Date]]&lt;Calculation!$E$3+7)</f>
        <v>0</v>
      </c>
    </row>
    <row r="2209" spans="1:10">
      <c r="A2209" t="s">
        <v>2208</v>
      </c>
      <c r="B2209" s="2">
        <v>42043.385999999999</v>
      </c>
      <c r="C2209" s="3" t="s">
        <v>5008</v>
      </c>
      <c r="D2209" t="s">
        <v>5014</v>
      </c>
      <c r="E2209" t="s">
        <v>5018</v>
      </c>
      <c r="F2209" t="s">
        <v>5018</v>
      </c>
      <c r="G2209">
        <v>112</v>
      </c>
      <c r="H2209" s="5">
        <v>3.273190298213614E-3</v>
      </c>
      <c r="I2209">
        <v>3</v>
      </c>
      <c r="J2209" t="b">
        <f>AND(CCData[[#This Row],[Date]]&gt;=Calculation!$E$3,CCData[[#This Row],[Date]]&lt;Calculation!$E$3+7)</f>
        <v>0</v>
      </c>
    </row>
    <row r="2210" spans="1:10">
      <c r="A2210" t="s">
        <v>2209</v>
      </c>
      <c r="B2210" s="2">
        <v>42043.391000000003</v>
      </c>
      <c r="C2210" s="3" t="s">
        <v>5003</v>
      </c>
      <c r="D2210" t="s">
        <v>5015</v>
      </c>
      <c r="E2210" t="s">
        <v>5018</v>
      </c>
      <c r="F2210" t="s">
        <v>5018</v>
      </c>
      <c r="G2210">
        <v>40</v>
      </c>
      <c r="H2210" s="5">
        <v>4.6247542064368251E-3</v>
      </c>
      <c r="I2210">
        <v>1</v>
      </c>
      <c r="J2210" t="b">
        <f>AND(CCData[[#This Row],[Date]]&gt;=Calculation!$E$3,CCData[[#This Row],[Date]]&lt;Calculation!$E$3+7)</f>
        <v>0</v>
      </c>
    </row>
    <row r="2211" spans="1:10">
      <c r="A2211" t="s">
        <v>2210</v>
      </c>
      <c r="B2211" s="2">
        <v>42043.391000000003</v>
      </c>
      <c r="C2211" s="3" t="s">
        <v>5004</v>
      </c>
      <c r="D2211" t="s">
        <v>5015</v>
      </c>
      <c r="E2211" t="s">
        <v>5018</v>
      </c>
      <c r="F2211" t="s">
        <v>5018</v>
      </c>
      <c r="G2211">
        <v>120</v>
      </c>
      <c r="H2211" s="5">
        <v>1.8687048799032743E-3</v>
      </c>
      <c r="I2211">
        <v>5</v>
      </c>
      <c r="J2211" t="b">
        <f>AND(CCData[[#This Row],[Date]]&gt;=Calculation!$E$3,CCData[[#This Row],[Date]]&lt;Calculation!$E$3+7)</f>
        <v>0</v>
      </c>
    </row>
    <row r="2212" spans="1:10">
      <c r="A2212" t="s">
        <v>2211</v>
      </c>
      <c r="B2212" s="2">
        <v>42043.421999999999</v>
      </c>
      <c r="C2212" s="3" t="s">
        <v>5008</v>
      </c>
      <c r="D2212" t="s">
        <v>5014</v>
      </c>
      <c r="E2212" t="s">
        <v>5018</v>
      </c>
      <c r="F2212" t="s">
        <v>5018</v>
      </c>
      <c r="G2212">
        <v>24</v>
      </c>
      <c r="H2212" s="5">
        <v>7.1686554405401518E-4</v>
      </c>
      <c r="I2212">
        <v>4</v>
      </c>
      <c r="J2212" t="b">
        <f>AND(CCData[[#This Row],[Date]]&gt;=Calculation!$E$3,CCData[[#This Row],[Date]]&lt;Calculation!$E$3+7)</f>
        <v>0</v>
      </c>
    </row>
    <row r="2213" spans="1:10">
      <c r="A2213" t="s">
        <v>2212</v>
      </c>
      <c r="B2213" s="2">
        <v>42043.421999999999</v>
      </c>
      <c r="C2213" s="3" t="s">
        <v>5003</v>
      </c>
      <c r="D2213" t="s">
        <v>5012</v>
      </c>
      <c r="E2213" t="s">
        <v>5019</v>
      </c>
      <c r="F2213" t="s">
        <v>5019</v>
      </c>
      <c r="G2213" t="s">
        <v>5022</v>
      </c>
      <c r="H2213" s="5" t="s">
        <v>5022</v>
      </c>
      <c r="I2213" t="s">
        <v>5022</v>
      </c>
      <c r="J2213" t="b">
        <f>AND(CCData[[#This Row],[Date]]&gt;=Calculation!$E$3,CCData[[#This Row],[Date]]&lt;Calculation!$E$3+7)</f>
        <v>0</v>
      </c>
    </row>
    <row r="2214" spans="1:10">
      <c r="A2214" t="s">
        <v>2213</v>
      </c>
      <c r="B2214" s="2">
        <v>42043.438999999998</v>
      </c>
      <c r="C2214" s="3" t="s">
        <v>5005</v>
      </c>
      <c r="D2214" t="s">
        <v>5013</v>
      </c>
      <c r="E2214" t="s">
        <v>5018</v>
      </c>
      <c r="F2214" t="s">
        <v>5018</v>
      </c>
      <c r="G2214">
        <v>122</v>
      </c>
      <c r="H2214" s="5">
        <v>1.9587881277489294E-3</v>
      </c>
      <c r="I2214">
        <v>3</v>
      </c>
      <c r="J2214" t="b">
        <f>AND(CCData[[#This Row],[Date]]&gt;=Calculation!$E$3,CCData[[#This Row],[Date]]&lt;Calculation!$E$3+7)</f>
        <v>0</v>
      </c>
    </row>
    <row r="2215" spans="1:10">
      <c r="A2215" t="s">
        <v>2214</v>
      </c>
      <c r="B2215" s="2">
        <v>42043.438999999998</v>
      </c>
      <c r="C2215" s="3" t="s">
        <v>5005</v>
      </c>
      <c r="D2215" t="s">
        <v>5016</v>
      </c>
      <c r="E2215" t="s">
        <v>5018</v>
      </c>
      <c r="F2215" t="s">
        <v>5018</v>
      </c>
      <c r="G2215">
        <v>21</v>
      </c>
      <c r="H2215" s="5">
        <v>4.25235993425004E-3</v>
      </c>
      <c r="I2215">
        <v>3</v>
      </c>
      <c r="J2215" t="b">
        <f>AND(CCData[[#This Row],[Date]]&gt;=Calculation!$E$3,CCData[[#This Row],[Date]]&lt;Calculation!$E$3+7)</f>
        <v>0</v>
      </c>
    </row>
    <row r="2216" spans="1:10">
      <c r="A2216" t="s">
        <v>2215</v>
      </c>
      <c r="B2216" s="2">
        <v>42043.508000000002</v>
      </c>
      <c r="C2216" s="3" t="s">
        <v>5010</v>
      </c>
      <c r="D2216" t="s">
        <v>5012</v>
      </c>
      <c r="E2216" t="s">
        <v>5018</v>
      </c>
      <c r="F2216" t="s">
        <v>5018</v>
      </c>
      <c r="G2216">
        <v>16</v>
      </c>
      <c r="H2216" s="5">
        <v>3.61345952491595E-3</v>
      </c>
      <c r="I2216">
        <v>5</v>
      </c>
      <c r="J2216" t="b">
        <f>AND(CCData[[#This Row],[Date]]&gt;=Calculation!$E$3,CCData[[#This Row],[Date]]&lt;Calculation!$E$3+7)</f>
        <v>0</v>
      </c>
    </row>
    <row r="2217" spans="1:10">
      <c r="A2217" t="s">
        <v>2216</v>
      </c>
      <c r="B2217" s="2">
        <v>42043.508000000002</v>
      </c>
      <c r="C2217" s="3" t="s">
        <v>5005</v>
      </c>
      <c r="D2217" t="s">
        <v>5016</v>
      </c>
      <c r="E2217" t="s">
        <v>5019</v>
      </c>
      <c r="F2217" t="s">
        <v>5019</v>
      </c>
      <c r="G2217" t="s">
        <v>5022</v>
      </c>
      <c r="H2217" s="5" t="s">
        <v>5022</v>
      </c>
      <c r="I2217" t="s">
        <v>5022</v>
      </c>
      <c r="J2217" t="b">
        <f>AND(CCData[[#This Row],[Date]]&gt;=Calculation!$E$3,CCData[[#This Row],[Date]]&lt;Calculation!$E$3+7)</f>
        <v>0</v>
      </c>
    </row>
    <row r="2218" spans="1:10">
      <c r="A2218" t="s">
        <v>2217</v>
      </c>
      <c r="B2218" s="2">
        <v>42043.548000000003</v>
      </c>
      <c r="C2218" s="3" t="s">
        <v>5006</v>
      </c>
      <c r="D2218" t="s">
        <v>5016</v>
      </c>
      <c r="E2218" t="s">
        <v>5018</v>
      </c>
      <c r="F2218" t="s">
        <v>5018</v>
      </c>
      <c r="G2218">
        <v>65</v>
      </c>
      <c r="H2218" s="5">
        <v>4.3219086927839736E-3</v>
      </c>
      <c r="I2218">
        <v>4</v>
      </c>
      <c r="J2218" t="b">
        <f>AND(CCData[[#This Row],[Date]]&gt;=Calculation!$E$3,CCData[[#This Row],[Date]]&lt;Calculation!$E$3+7)</f>
        <v>0</v>
      </c>
    </row>
    <row r="2219" spans="1:10">
      <c r="A2219" t="s">
        <v>2218</v>
      </c>
      <c r="B2219" s="2">
        <v>42043.548000000003</v>
      </c>
      <c r="C2219" s="3" t="s">
        <v>5009</v>
      </c>
      <c r="D2219" t="s">
        <v>5012</v>
      </c>
      <c r="E2219" t="s">
        <v>5019</v>
      </c>
      <c r="F2219" t="s">
        <v>5019</v>
      </c>
      <c r="G2219" t="s">
        <v>5022</v>
      </c>
      <c r="H2219" s="5" t="s">
        <v>5022</v>
      </c>
      <c r="I2219" t="s">
        <v>5022</v>
      </c>
      <c r="J2219" t="b">
        <f>AND(CCData[[#This Row],[Date]]&gt;=Calculation!$E$3,CCData[[#This Row],[Date]]&lt;Calculation!$E$3+7)</f>
        <v>0</v>
      </c>
    </row>
    <row r="2220" spans="1:10">
      <c r="A2220" t="s">
        <v>2219</v>
      </c>
      <c r="B2220" s="2">
        <v>42043.557999999997</v>
      </c>
      <c r="C2220" s="3" t="s">
        <v>5009</v>
      </c>
      <c r="D2220" t="s">
        <v>5016</v>
      </c>
      <c r="E2220" t="s">
        <v>5018</v>
      </c>
      <c r="F2220" t="s">
        <v>5019</v>
      </c>
      <c r="G2220">
        <v>111</v>
      </c>
      <c r="H2220" s="5">
        <v>3.6875688998989548E-3</v>
      </c>
      <c r="I2220">
        <v>1</v>
      </c>
      <c r="J2220" t="b">
        <f>AND(CCData[[#This Row],[Date]]&gt;=Calculation!$E$3,CCData[[#This Row],[Date]]&lt;Calculation!$E$3+7)</f>
        <v>0</v>
      </c>
    </row>
    <row r="2221" spans="1:10">
      <c r="A2221" t="s">
        <v>2220</v>
      </c>
      <c r="B2221" s="2">
        <v>42043.557999999997</v>
      </c>
      <c r="C2221" s="3" t="s">
        <v>5005</v>
      </c>
      <c r="D2221" t="s">
        <v>5012</v>
      </c>
      <c r="E2221" t="s">
        <v>5018</v>
      </c>
      <c r="F2221" t="s">
        <v>5018</v>
      </c>
      <c r="G2221">
        <v>81</v>
      </c>
      <c r="H2221" s="5">
        <v>6.4017972739316962E-4</v>
      </c>
      <c r="I2221">
        <v>2</v>
      </c>
      <c r="J2221" t="b">
        <f>AND(CCData[[#This Row],[Date]]&gt;=Calculation!$E$3,CCData[[#This Row],[Date]]&lt;Calculation!$E$3+7)</f>
        <v>0</v>
      </c>
    </row>
    <row r="2222" spans="1:10">
      <c r="A2222" t="s">
        <v>2221</v>
      </c>
      <c r="B2222" s="2">
        <v>42043.593999999997</v>
      </c>
      <c r="C2222" s="3" t="s">
        <v>5003</v>
      </c>
      <c r="D2222" t="s">
        <v>5013</v>
      </c>
      <c r="E2222" t="s">
        <v>5019</v>
      </c>
      <c r="F2222" t="s">
        <v>5019</v>
      </c>
      <c r="G2222" t="s">
        <v>5022</v>
      </c>
      <c r="H2222" s="5" t="s">
        <v>5022</v>
      </c>
      <c r="I2222" t="s">
        <v>5022</v>
      </c>
      <c r="J2222" t="b">
        <f>AND(CCData[[#This Row],[Date]]&gt;=Calculation!$E$3,CCData[[#This Row],[Date]]&lt;Calculation!$E$3+7)</f>
        <v>0</v>
      </c>
    </row>
    <row r="2223" spans="1:10">
      <c r="A2223" t="s">
        <v>2222</v>
      </c>
      <c r="B2223" s="2">
        <v>42043.593999999997</v>
      </c>
      <c r="C2223" s="3" t="s">
        <v>5009</v>
      </c>
      <c r="D2223" t="s">
        <v>5013</v>
      </c>
      <c r="E2223" t="s">
        <v>5018</v>
      </c>
      <c r="F2223" t="s">
        <v>5018</v>
      </c>
      <c r="G2223">
        <v>85</v>
      </c>
      <c r="H2223" s="5">
        <v>3.1903223831485331E-3</v>
      </c>
      <c r="I2223">
        <v>3</v>
      </c>
      <c r="J2223" t="b">
        <f>AND(CCData[[#This Row],[Date]]&gt;=Calculation!$E$3,CCData[[#This Row],[Date]]&lt;Calculation!$E$3+7)</f>
        <v>0</v>
      </c>
    </row>
    <row r="2224" spans="1:10">
      <c r="A2224" t="s">
        <v>2223</v>
      </c>
      <c r="B2224" s="2">
        <v>42043.6</v>
      </c>
      <c r="C2224" s="3" t="s">
        <v>5009</v>
      </c>
      <c r="D2224" t="s">
        <v>5013</v>
      </c>
      <c r="E2224" t="s">
        <v>5018</v>
      </c>
      <c r="F2224" t="s">
        <v>5018</v>
      </c>
      <c r="G2224">
        <v>109</v>
      </c>
      <c r="H2224" s="5">
        <v>4.1077473635293162E-3</v>
      </c>
      <c r="I2224">
        <v>4</v>
      </c>
      <c r="J2224" t="b">
        <f>AND(CCData[[#This Row],[Date]]&gt;=Calculation!$E$3,CCData[[#This Row],[Date]]&lt;Calculation!$E$3+7)</f>
        <v>0</v>
      </c>
    </row>
    <row r="2225" spans="1:10">
      <c r="A2225" t="s">
        <v>2224</v>
      </c>
      <c r="B2225" s="2">
        <v>42043.6</v>
      </c>
      <c r="C2225" s="3" t="s">
        <v>5004</v>
      </c>
      <c r="D2225" t="s">
        <v>5016</v>
      </c>
      <c r="E2225" t="s">
        <v>5018</v>
      </c>
      <c r="F2225" t="s">
        <v>5019</v>
      </c>
      <c r="G2225">
        <v>71</v>
      </c>
      <c r="H2225" s="5">
        <v>1.1470622875684674E-3</v>
      </c>
      <c r="I2225">
        <v>4</v>
      </c>
      <c r="J2225" t="b">
        <f>AND(CCData[[#This Row],[Date]]&gt;=Calculation!$E$3,CCData[[#This Row],[Date]]&lt;Calculation!$E$3+7)</f>
        <v>0</v>
      </c>
    </row>
    <row r="2226" spans="1:10">
      <c r="A2226" t="s">
        <v>2225</v>
      </c>
      <c r="B2226" s="2">
        <v>42043.601999999999</v>
      </c>
      <c r="C2226" s="3" t="s">
        <v>5003</v>
      </c>
      <c r="D2226" t="s">
        <v>5015</v>
      </c>
      <c r="E2226" t="s">
        <v>5018</v>
      </c>
      <c r="F2226" t="s">
        <v>5018</v>
      </c>
      <c r="G2226">
        <v>50</v>
      </c>
      <c r="H2226" s="5">
        <v>1.490553671343294E-3</v>
      </c>
      <c r="I2226">
        <v>3</v>
      </c>
      <c r="J2226" t="b">
        <f>AND(CCData[[#This Row],[Date]]&gt;=Calculation!$E$3,CCData[[#This Row],[Date]]&lt;Calculation!$E$3+7)</f>
        <v>0</v>
      </c>
    </row>
    <row r="2227" spans="1:10">
      <c r="A2227" t="s">
        <v>2226</v>
      </c>
      <c r="B2227" s="2">
        <v>42043.601999999999</v>
      </c>
      <c r="C2227" s="3" t="s">
        <v>5006</v>
      </c>
      <c r="D2227" t="s">
        <v>5014</v>
      </c>
      <c r="E2227" t="s">
        <v>5018</v>
      </c>
      <c r="F2227" t="s">
        <v>5018</v>
      </c>
      <c r="G2227">
        <v>66</v>
      </c>
      <c r="H2227" s="5">
        <v>7.3433031420073948E-4</v>
      </c>
      <c r="I2227">
        <v>3</v>
      </c>
      <c r="J2227" t="b">
        <f>AND(CCData[[#This Row],[Date]]&gt;=Calculation!$E$3,CCData[[#This Row],[Date]]&lt;Calculation!$E$3+7)</f>
        <v>0</v>
      </c>
    </row>
    <row r="2228" spans="1:10">
      <c r="A2228" t="s">
        <v>2227</v>
      </c>
      <c r="B2228" s="2">
        <v>42043.607000000004</v>
      </c>
      <c r="C2228" s="3" t="s">
        <v>5004</v>
      </c>
      <c r="D2228" t="s">
        <v>5016</v>
      </c>
      <c r="E2228" t="s">
        <v>5018</v>
      </c>
      <c r="F2228" t="s">
        <v>5018</v>
      </c>
      <c r="G2228">
        <v>36</v>
      </c>
      <c r="H2228" s="5">
        <v>1.8086626085428051E-3</v>
      </c>
      <c r="I2228">
        <v>5</v>
      </c>
      <c r="J2228" t="b">
        <f>AND(CCData[[#This Row],[Date]]&gt;=Calculation!$E$3,CCData[[#This Row],[Date]]&lt;Calculation!$E$3+7)</f>
        <v>0</v>
      </c>
    </row>
    <row r="2229" spans="1:10">
      <c r="A2229" t="s">
        <v>2228</v>
      </c>
      <c r="B2229" s="2">
        <v>42043.607000000004</v>
      </c>
      <c r="C2229" s="3" t="s">
        <v>5008</v>
      </c>
      <c r="D2229" t="s">
        <v>5016</v>
      </c>
      <c r="E2229" t="s">
        <v>5018</v>
      </c>
      <c r="F2229" t="s">
        <v>5018</v>
      </c>
      <c r="G2229">
        <v>57</v>
      </c>
      <c r="H2229" s="5">
        <v>2.7319678488588062E-3</v>
      </c>
      <c r="I2229">
        <v>2</v>
      </c>
      <c r="J2229" t="b">
        <f>AND(CCData[[#This Row],[Date]]&gt;=Calculation!$E$3,CCData[[#This Row],[Date]]&lt;Calculation!$E$3+7)</f>
        <v>0</v>
      </c>
    </row>
    <row r="2230" spans="1:10">
      <c r="A2230" t="s">
        <v>2229</v>
      </c>
      <c r="B2230" s="2">
        <v>42043.61</v>
      </c>
      <c r="C2230" s="3" t="s">
        <v>5006</v>
      </c>
      <c r="D2230" t="s">
        <v>5013</v>
      </c>
      <c r="E2230" t="s">
        <v>5018</v>
      </c>
      <c r="F2230" t="s">
        <v>5018</v>
      </c>
      <c r="G2230">
        <v>124</v>
      </c>
      <c r="H2230" s="5">
        <v>2.9052177125317952E-3</v>
      </c>
      <c r="I2230">
        <v>5</v>
      </c>
      <c r="J2230" t="b">
        <f>AND(CCData[[#This Row],[Date]]&gt;=Calculation!$E$3,CCData[[#This Row],[Date]]&lt;Calculation!$E$3+7)</f>
        <v>0</v>
      </c>
    </row>
    <row r="2231" spans="1:10">
      <c r="A2231" t="s">
        <v>2230</v>
      </c>
      <c r="B2231" s="2">
        <v>42043.61</v>
      </c>
      <c r="C2231" s="3" t="s">
        <v>5009</v>
      </c>
      <c r="D2231" t="s">
        <v>5012</v>
      </c>
      <c r="E2231" t="s">
        <v>5018</v>
      </c>
      <c r="F2231" t="s">
        <v>5018</v>
      </c>
      <c r="G2231">
        <v>57</v>
      </c>
      <c r="H2231" s="5">
        <v>1.7402683085848073E-3</v>
      </c>
      <c r="I2231">
        <v>1</v>
      </c>
      <c r="J2231" t="b">
        <f>AND(CCData[[#This Row],[Date]]&gt;=Calculation!$E$3,CCData[[#This Row],[Date]]&lt;Calculation!$E$3+7)</f>
        <v>0</v>
      </c>
    </row>
    <row r="2232" spans="1:10">
      <c r="A2232" t="s">
        <v>2231</v>
      </c>
      <c r="B2232" s="2">
        <v>42043.622000000003</v>
      </c>
      <c r="C2232" s="3" t="s">
        <v>5004</v>
      </c>
      <c r="D2232" t="s">
        <v>5014</v>
      </c>
      <c r="E2232" t="s">
        <v>5019</v>
      </c>
      <c r="F2232" t="s">
        <v>5019</v>
      </c>
      <c r="G2232" t="s">
        <v>5022</v>
      </c>
      <c r="H2232" s="5" t="s">
        <v>5022</v>
      </c>
      <c r="I2232" t="s">
        <v>5022</v>
      </c>
      <c r="J2232" t="b">
        <f>AND(CCData[[#This Row],[Date]]&gt;=Calculation!$E$3,CCData[[#This Row],[Date]]&lt;Calculation!$E$3+7)</f>
        <v>0</v>
      </c>
    </row>
    <row r="2233" spans="1:10">
      <c r="A2233" t="s">
        <v>2232</v>
      </c>
      <c r="B2233" s="2">
        <v>42043.622000000003</v>
      </c>
      <c r="C2233" s="3" t="s">
        <v>5007</v>
      </c>
      <c r="D2233" t="s">
        <v>5014</v>
      </c>
      <c r="E2233" t="s">
        <v>5018</v>
      </c>
      <c r="F2233" t="s">
        <v>5018</v>
      </c>
      <c r="G2233">
        <v>51</v>
      </c>
      <c r="H2233" s="5">
        <v>3.573886746601061E-3</v>
      </c>
      <c r="I2233">
        <v>5</v>
      </c>
      <c r="J2233" t="b">
        <f>AND(CCData[[#This Row],[Date]]&gt;=Calculation!$E$3,CCData[[#This Row],[Date]]&lt;Calculation!$E$3+7)</f>
        <v>0</v>
      </c>
    </row>
    <row r="2234" spans="1:10">
      <c r="A2234" t="s">
        <v>2233</v>
      </c>
      <c r="B2234" s="2">
        <v>42043.675999999999</v>
      </c>
      <c r="C2234" s="3" t="s">
        <v>5003</v>
      </c>
      <c r="D2234" t="s">
        <v>5014</v>
      </c>
      <c r="E2234" t="s">
        <v>5018</v>
      </c>
      <c r="F2234" t="s">
        <v>5018</v>
      </c>
      <c r="G2234">
        <v>119</v>
      </c>
      <c r="H2234" s="5">
        <v>4.6991415933974861E-3</v>
      </c>
      <c r="I2234">
        <v>3</v>
      </c>
      <c r="J2234" t="b">
        <f>AND(CCData[[#This Row],[Date]]&gt;=Calculation!$E$3,CCData[[#This Row],[Date]]&lt;Calculation!$E$3+7)</f>
        <v>0</v>
      </c>
    </row>
    <row r="2235" spans="1:10">
      <c r="A2235" t="s">
        <v>2234</v>
      </c>
      <c r="B2235" s="2">
        <v>42043.675999999999</v>
      </c>
      <c r="C2235" s="3" t="s">
        <v>5003</v>
      </c>
      <c r="D2235" t="s">
        <v>5016</v>
      </c>
      <c r="E2235" t="s">
        <v>5018</v>
      </c>
      <c r="F2235" t="s">
        <v>5018</v>
      </c>
      <c r="G2235">
        <v>62</v>
      </c>
      <c r="H2235" s="5">
        <v>3.3187853407584322E-3</v>
      </c>
      <c r="I2235">
        <v>3</v>
      </c>
      <c r="J2235" t="b">
        <f>AND(CCData[[#This Row],[Date]]&gt;=Calculation!$E$3,CCData[[#This Row],[Date]]&lt;Calculation!$E$3+7)</f>
        <v>0</v>
      </c>
    </row>
    <row r="2236" spans="1:10">
      <c r="A2236" t="s">
        <v>2235</v>
      </c>
      <c r="B2236" s="2">
        <v>42043.678999999996</v>
      </c>
      <c r="C2236" s="3" t="s">
        <v>5008</v>
      </c>
      <c r="D2236" t="s">
        <v>5012</v>
      </c>
      <c r="E2236" t="s">
        <v>5018</v>
      </c>
      <c r="F2236" t="s">
        <v>5018</v>
      </c>
      <c r="G2236">
        <v>70</v>
      </c>
      <c r="H2236" s="5">
        <v>2.2321804422406194E-3</v>
      </c>
      <c r="I2236">
        <v>5</v>
      </c>
      <c r="J2236" t="b">
        <f>AND(CCData[[#This Row],[Date]]&gt;=Calculation!$E$3,CCData[[#This Row],[Date]]&lt;Calculation!$E$3+7)</f>
        <v>0</v>
      </c>
    </row>
    <row r="2237" spans="1:10">
      <c r="A2237" t="s">
        <v>2236</v>
      </c>
      <c r="B2237" s="2">
        <v>42043.678999999996</v>
      </c>
      <c r="C2237" s="3" t="s">
        <v>5007</v>
      </c>
      <c r="D2237" t="s">
        <v>5012</v>
      </c>
      <c r="E2237" t="s">
        <v>5018</v>
      </c>
      <c r="F2237" t="s">
        <v>5018</v>
      </c>
      <c r="G2237">
        <v>30</v>
      </c>
      <c r="H2237" s="5">
        <v>2.9139684029271303E-3</v>
      </c>
      <c r="I2237">
        <v>4</v>
      </c>
      <c r="J2237" t="b">
        <f>AND(CCData[[#This Row],[Date]]&gt;=Calculation!$E$3,CCData[[#This Row],[Date]]&lt;Calculation!$E$3+7)</f>
        <v>0</v>
      </c>
    </row>
    <row r="2238" spans="1:10">
      <c r="A2238" t="s">
        <v>2237</v>
      </c>
      <c r="B2238" s="2">
        <v>42043.688000000002</v>
      </c>
      <c r="C2238" s="3" t="s">
        <v>5003</v>
      </c>
      <c r="D2238" t="s">
        <v>5015</v>
      </c>
      <c r="E2238" t="s">
        <v>5018</v>
      </c>
      <c r="F2238" t="s">
        <v>5018</v>
      </c>
      <c r="G2238">
        <v>17</v>
      </c>
      <c r="H2238" s="5">
        <v>2.8749744904880583E-3</v>
      </c>
      <c r="I2238">
        <v>3</v>
      </c>
      <c r="J2238" t="b">
        <f>AND(CCData[[#This Row],[Date]]&gt;=Calculation!$E$3,CCData[[#This Row],[Date]]&lt;Calculation!$E$3+7)</f>
        <v>0</v>
      </c>
    </row>
    <row r="2239" spans="1:10">
      <c r="A2239" t="s">
        <v>2238</v>
      </c>
      <c r="B2239" s="2">
        <v>42043.688000000002</v>
      </c>
      <c r="C2239" s="3" t="s">
        <v>5008</v>
      </c>
      <c r="D2239" t="s">
        <v>5016</v>
      </c>
      <c r="E2239" t="s">
        <v>5018</v>
      </c>
      <c r="F2239" t="s">
        <v>5018</v>
      </c>
      <c r="G2239">
        <v>43</v>
      </c>
      <c r="H2239" s="5">
        <v>2.2967002749831144E-3</v>
      </c>
      <c r="I2239">
        <v>3</v>
      </c>
      <c r="J2239" t="b">
        <f>AND(CCData[[#This Row],[Date]]&gt;=Calculation!$E$3,CCData[[#This Row],[Date]]&lt;Calculation!$E$3+7)</f>
        <v>0</v>
      </c>
    </row>
    <row r="2240" spans="1:10">
      <c r="A2240" t="s">
        <v>2239</v>
      </c>
      <c r="B2240" s="2">
        <v>42043.697999999997</v>
      </c>
      <c r="C2240" s="3" t="s">
        <v>5010</v>
      </c>
      <c r="D2240" t="s">
        <v>5013</v>
      </c>
      <c r="E2240" t="s">
        <v>5018</v>
      </c>
      <c r="F2240" t="s">
        <v>5018</v>
      </c>
      <c r="G2240">
        <v>81</v>
      </c>
      <c r="H2240" s="5">
        <v>1.3471751130411623E-3</v>
      </c>
      <c r="I2240">
        <v>5</v>
      </c>
      <c r="J2240" t="b">
        <f>AND(CCData[[#This Row],[Date]]&gt;=Calculation!$E$3,CCData[[#This Row],[Date]]&lt;Calculation!$E$3+7)</f>
        <v>0</v>
      </c>
    </row>
    <row r="2241" spans="1:10">
      <c r="A2241" t="s">
        <v>2240</v>
      </c>
      <c r="B2241" s="2">
        <v>42043.697999999997</v>
      </c>
      <c r="C2241" s="3" t="s">
        <v>5009</v>
      </c>
      <c r="D2241" t="s">
        <v>5015</v>
      </c>
      <c r="E2241" t="s">
        <v>5018</v>
      </c>
      <c r="F2241" t="s">
        <v>5018</v>
      </c>
      <c r="G2241">
        <v>58</v>
      </c>
      <c r="H2241" s="5">
        <v>3.9016800126689742E-3</v>
      </c>
      <c r="I2241">
        <v>3</v>
      </c>
      <c r="J2241" t="b">
        <f>AND(CCData[[#This Row],[Date]]&gt;=Calculation!$E$3,CCData[[#This Row],[Date]]&lt;Calculation!$E$3+7)</f>
        <v>0</v>
      </c>
    </row>
    <row r="2242" spans="1:10">
      <c r="A2242" t="s">
        <v>2241</v>
      </c>
      <c r="B2242" s="2">
        <v>42043.699000000001</v>
      </c>
      <c r="C2242" s="3" t="s">
        <v>5009</v>
      </c>
      <c r="D2242" t="s">
        <v>5012</v>
      </c>
      <c r="E2242" t="s">
        <v>5018</v>
      </c>
      <c r="F2242" t="s">
        <v>5018</v>
      </c>
      <c r="G2242">
        <v>59</v>
      </c>
      <c r="H2242" s="5">
        <v>2.6304640690697672E-3</v>
      </c>
      <c r="I2242">
        <v>4</v>
      </c>
      <c r="J2242" t="b">
        <f>AND(CCData[[#This Row],[Date]]&gt;=Calculation!$E$3,CCData[[#This Row],[Date]]&lt;Calculation!$E$3+7)</f>
        <v>0</v>
      </c>
    </row>
    <row r="2243" spans="1:10">
      <c r="A2243" t="s">
        <v>2242</v>
      </c>
      <c r="B2243" s="2">
        <v>42043.699000000001</v>
      </c>
      <c r="C2243" s="3" t="s">
        <v>5009</v>
      </c>
      <c r="D2243" t="s">
        <v>5016</v>
      </c>
      <c r="E2243" t="s">
        <v>5019</v>
      </c>
      <c r="F2243" t="s">
        <v>5019</v>
      </c>
      <c r="G2243" t="s">
        <v>5022</v>
      </c>
      <c r="H2243" s="5" t="s">
        <v>5022</v>
      </c>
      <c r="I2243" t="s">
        <v>5022</v>
      </c>
      <c r="J2243" t="b">
        <f>AND(CCData[[#This Row],[Date]]&gt;=Calculation!$E$3,CCData[[#This Row],[Date]]&lt;Calculation!$E$3+7)</f>
        <v>0</v>
      </c>
    </row>
    <row r="2244" spans="1:10">
      <c r="A2244" t="s">
        <v>2243</v>
      </c>
      <c r="B2244" s="2">
        <v>42043.714</v>
      </c>
      <c r="C2244" s="3" t="s">
        <v>5009</v>
      </c>
      <c r="D2244" t="s">
        <v>5013</v>
      </c>
      <c r="E2244" t="s">
        <v>5018</v>
      </c>
      <c r="F2244" t="s">
        <v>5018</v>
      </c>
      <c r="G2244">
        <v>110</v>
      </c>
      <c r="H2244" s="5">
        <v>3.6731310441975003E-3</v>
      </c>
      <c r="I2244">
        <v>5</v>
      </c>
      <c r="J2244" t="b">
        <f>AND(CCData[[#This Row],[Date]]&gt;=Calculation!$E$3,CCData[[#This Row],[Date]]&lt;Calculation!$E$3+7)</f>
        <v>0</v>
      </c>
    </row>
    <row r="2245" spans="1:10">
      <c r="A2245" t="s">
        <v>2244</v>
      </c>
      <c r="B2245" s="2">
        <v>42043.714</v>
      </c>
      <c r="C2245" s="3" t="s">
        <v>5003</v>
      </c>
      <c r="D2245" t="s">
        <v>5016</v>
      </c>
      <c r="E2245" t="s">
        <v>5018</v>
      </c>
      <c r="F2245" t="s">
        <v>5018</v>
      </c>
      <c r="G2245">
        <v>91</v>
      </c>
      <c r="H2245" s="5">
        <v>1.0275568751132093E-3</v>
      </c>
      <c r="I2245">
        <v>3</v>
      </c>
      <c r="J2245" t="b">
        <f>AND(CCData[[#This Row],[Date]]&gt;=Calculation!$E$3,CCData[[#This Row],[Date]]&lt;Calculation!$E$3+7)</f>
        <v>0</v>
      </c>
    </row>
    <row r="2246" spans="1:10">
      <c r="A2246" t="s">
        <v>2245</v>
      </c>
      <c r="B2246" s="2">
        <v>42043.748</v>
      </c>
      <c r="C2246" s="3" t="s">
        <v>5006</v>
      </c>
      <c r="D2246" t="s">
        <v>5015</v>
      </c>
      <c r="E2246" t="s">
        <v>5018</v>
      </c>
      <c r="F2246" t="s">
        <v>5018</v>
      </c>
      <c r="G2246">
        <v>12</v>
      </c>
      <c r="H2246" s="5">
        <v>5.6030835756513259E-4</v>
      </c>
      <c r="I2246">
        <v>3</v>
      </c>
      <c r="J2246" t="b">
        <f>AND(CCData[[#This Row],[Date]]&gt;=Calculation!$E$3,CCData[[#This Row],[Date]]&lt;Calculation!$E$3+7)</f>
        <v>0</v>
      </c>
    </row>
    <row r="2247" spans="1:10">
      <c r="A2247" t="s">
        <v>2246</v>
      </c>
      <c r="B2247" s="2">
        <v>42043.748</v>
      </c>
      <c r="C2247" s="3" t="s">
        <v>5010</v>
      </c>
      <c r="D2247" t="s">
        <v>5014</v>
      </c>
      <c r="E2247" t="s">
        <v>5018</v>
      </c>
      <c r="F2247" t="s">
        <v>5018</v>
      </c>
      <c r="G2247">
        <v>38</v>
      </c>
      <c r="H2247" s="5">
        <v>4.7224814722243843E-3</v>
      </c>
      <c r="I2247">
        <v>5</v>
      </c>
      <c r="J2247" t="b">
        <f>AND(CCData[[#This Row],[Date]]&gt;=Calculation!$E$3,CCData[[#This Row],[Date]]&lt;Calculation!$E$3+7)</f>
        <v>0</v>
      </c>
    </row>
    <row r="2248" spans="1:10">
      <c r="A2248" t="s">
        <v>2247</v>
      </c>
      <c r="B2248" s="2">
        <v>42044.383999999998</v>
      </c>
      <c r="C2248" s="3" t="s">
        <v>5004</v>
      </c>
      <c r="D2248" t="s">
        <v>5014</v>
      </c>
      <c r="E2248" t="s">
        <v>5018</v>
      </c>
      <c r="F2248" t="s">
        <v>5018</v>
      </c>
      <c r="G2248">
        <v>83</v>
      </c>
      <c r="H2248" s="5">
        <v>8.8530477180766753E-4</v>
      </c>
      <c r="I2248">
        <v>5</v>
      </c>
      <c r="J2248" t="b">
        <f>AND(CCData[[#This Row],[Date]]&gt;=Calculation!$E$3,CCData[[#This Row],[Date]]&lt;Calculation!$E$3+7)</f>
        <v>0</v>
      </c>
    </row>
    <row r="2249" spans="1:10">
      <c r="A2249" t="s">
        <v>2248</v>
      </c>
      <c r="B2249" s="2">
        <v>42044.383999999998</v>
      </c>
      <c r="C2249" s="3" t="s">
        <v>5008</v>
      </c>
      <c r="D2249" t="s">
        <v>5013</v>
      </c>
      <c r="E2249" t="s">
        <v>5018</v>
      </c>
      <c r="F2249" t="s">
        <v>5018</v>
      </c>
      <c r="G2249">
        <v>31</v>
      </c>
      <c r="H2249" s="5">
        <v>2.3998512820871468E-3</v>
      </c>
      <c r="I2249">
        <v>4</v>
      </c>
      <c r="J2249" t="b">
        <f>AND(CCData[[#This Row],[Date]]&gt;=Calculation!$E$3,CCData[[#This Row],[Date]]&lt;Calculation!$E$3+7)</f>
        <v>0</v>
      </c>
    </row>
    <row r="2250" spans="1:10">
      <c r="A2250" t="s">
        <v>2249</v>
      </c>
      <c r="B2250" s="2">
        <v>42044.394999999997</v>
      </c>
      <c r="C2250" s="3" t="s">
        <v>5005</v>
      </c>
      <c r="D2250" t="s">
        <v>5016</v>
      </c>
      <c r="E2250" t="s">
        <v>5018</v>
      </c>
      <c r="F2250" t="s">
        <v>5018</v>
      </c>
      <c r="G2250">
        <v>105</v>
      </c>
      <c r="H2250" s="5">
        <v>3.7288540198365968E-4</v>
      </c>
      <c r="I2250">
        <v>5</v>
      </c>
      <c r="J2250" t="b">
        <f>AND(CCData[[#This Row],[Date]]&gt;=Calculation!$E$3,CCData[[#This Row],[Date]]&lt;Calculation!$E$3+7)</f>
        <v>0</v>
      </c>
    </row>
    <row r="2251" spans="1:10">
      <c r="A2251" t="s">
        <v>2250</v>
      </c>
      <c r="B2251" s="2">
        <v>42044.394999999997</v>
      </c>
      <c r="C2251" s="3" t="s">
        <v>5003</v>
      </c>
      <c r="D2251" t="s">
        <v>5016</v>
      </c>
      <c r="E2251" t="s">
        <v>5018</v>
      </c>
      <c r="F2251" t="s">
        <v>5018</v>
      </c>
      <c r="G2251">
        <v>98</v>
      </c>
      <c r="H2251" s="5">
        <v>9.3744607691456324E-4</v>
      </c>
      <c r="I2251">
        <v>5</v>
      </c>
      <c r="J2251" t="b">
        <f>AND(CCData[[#This Row],[Date]]&gt;=Calculation!$E$3,CCData[[#This Row],[Date]]&lt;Calculation!$E$3+7)</f>
        <v>0</v>
      </c>
    </row>
    <row r="2252" spans="1:10">
      <c r="A2252" t="s">
        <v>2251</v>
      </c>
      <c r="B2252" s="2">
        <v>42044.423999999999</v>
      </c>
      <c r="C2252" s="3" t="s">
        <v>5008</v>
      </c>
      <c r="D2252" t="s">
        <v>5013</v>
      </c>
      <c r="E2252" t="s">
        <v>5018</v>
      </c>
      <c r="F2252" t="s">
        <v>5018</v>
      </c>
      <c r="G2252">
        <v>56</v>
      </c>
      <c r="H2252" s="5">
        <v>2.7865091328307641E-3</v>
      </c>
      <c r="I2252">
        <v>2</v>
      </c>
      <c r="J2252" t="b">
        <f>AND(CCData[[#This Row],[Date]]&gt;=Calculation!$E$3,CCData[[#This Row],[Date]]&lt;Calculation!$E$3+7)</f>
        <v>0</v>
      </c>
    </row>
    <row r="2253" spans="1:10">
      <c r="A2253" t="s">
        <v>2252</v>
      </c>
      <c r="B2253" s="2">
        <v>42044.423999999999</v>
      </c>
      <c r="C2253" s="3" t="s">
        <v>5004</v>
      </c>
      <c r="D2253" t="s">
        <v>5013</v>
      </c>
      <c r="E2253" t="s">
        <v>5018</v>
      </c>
      <c r="F2253" t="s">
        <v>5018</v>
      </c>
      <c r="G2253">
        <v>83</v>
      </c>
      <c r="H2253" s="5">
        <v>3.6189107075083535E-3</v>
      </c>
      <c r="I2253">
        <v>5</v>
      </c>
      <c r="J2253" t="b">
        <f>AND(CCData[[#This Row],[Date]]&gt;=Calculation!$E$3,CCData[[#This Row],[Date]]&lt;Calculation!$E$3+7)</f>
        <v>0</v>
      </c>
    </row>
    <row r="2254" spans="1:10">
      <c r="A2254" t="s">
        <v>2253</v>
      </c>
      <c r="B2254" s="2">
        <v>42044.436000000002</v>
      </c>
      <c r="C2254" s="3" t="s">
        <v>5006</v>
      </c>
      <c r="D2254" t="s">
        <v>5014</v>
      </c>
      <c r="E2254" t="s">
        <v>5018</v>
      </c>
      <c r="F2254" t="s">
        <v>5018</v>
      </c>
      <c r="G2254">
        <v>42</v>
      </c>
      <c r="H2254" s="5">
        <v>1.8994305775361057E-3</v>
      </c>
      <c r="I2254">
        <v>2</v>
      </c>
      <c r="J2254" t="b">
        <f>AND(CCData[[#This Row],[Date]]&gt;=Calculation!$E$3,CCData[[#This Row],[Date]]&lt;Calculation!$E$3+7)</f>
        <v>0</v>
      </c>
    </row>
    <row r="2255" spans="1:10">
      <c r="A2255" t="s">
        <v>2254</v>
      </c>
      <c r="B2255" s="2">
        <v>42044.436000000002</v>
      </c>
      <c r="C2255" s="3" t="s">
        <v>5010</v>
      </c>
      <c r="D2255" t="s">
        <v>5015</v>
      </c>
      <c r="E2255" t="s">
        <v>5018</v>
      </c>
      <c r="F2255" t="s">
        <v>5018</v>
      </c>
      <c r="G2255">
        <v>59</v>
      </c>
      <c r="H2255" s="5">
        <v>3.5434136475538504E-3</v>
      </c>
      <c r="I2255">
        <v>3</v>
      </c>
      <c r="J2255" t="b">
        <f>AND(CCData[[#This Row],[Date]]&gt;=Calculation!$E$3,CCData[[#This Row],[Date]]&lt;Calculation!$E$3+7)</f>
        <v>0</v>
      </c>
    </row>
    <row r="2256" spans="1:10">
      <c r="A2256" t="s">
        <v>2255</v>
      </c>
      <c r="B2256" s="2">
        <v>42044.449000000001</v>
      </c>
      <c r="C2256" s="3" t="s">
        <v>5010</v>
      </c>
      <c r="D2256" t="s">
        <v>5015</v>
      </c>
      <c r="E2256" t="s">
        <v>5018</v>
      </c>
      <c r="F2256" t="s">
        <v>5018</v>
      </c>
      <c r="G2256">
        <v>62</v>
      </c>
      <c r="H2256" s="5">
        <v>4.7722722945690646E-3</v>
      </c>
      <c r="I2256">
        <v>4</v>
      </c>
      <c r="J2256" t="b">
        <f>AND(CCData[[#This Row],[Date]]&gt;=Calculation!$E$3,CCData[[#This Row],[Date]]&lt;Calculation!$E$3+7)</f>
        <v>0</v>
      </c>
    </row>
    <row r="2257" spans="1:10">
      <c r="A2257" t="s">
        <v>2256</v>
      </c>
      <c r="B2257" s="2">
        <v>42044.449000000001</v>
      </c>
      <c r="C2257" s="3" t="s">
        <v>5007</v>
      </c>
      <c r="D2257" t="s">
        <v>5015</v>
      </c>
      <c r="E2257" t="s">
        <v>5018</v>
      </c>
      <c r="F2257" t="s">
        <v>5018</v>
      </c>
      <c r="G2257">
        <v>63</v>
      </c>
      <c r="H2257" s="5">
        <v>2.9649171303994912E-3</v>
      </c>
      <c r="I2257">
        <v>1</v>
      </c>
      <c r="J2257" t="b">
        <f>AND(CCData[[#This Row],[Date]]&gt;=Calculation!$E$3,CCData[[#This Row],[Date]]&lt;Calculation!$E$3+7)</f>
        <v>0</v>
      </c>
    </row>
    <row r="2258" spans="1:10">
      <c r="A2258" t="s">
        <v>2257</v>
      </c>
      <c r="B2258" s="2">
        <v>42044.481</v>
      </c>
      <c r="C2258" s="3" t="s">
        <v>5008</v>
      </c>
      <c r="D2258" t="s">
        <v>5013</v>
      </c>
      <c r="E2258" t="s">
        <v>5018</v>
      </c>
      <c r="F2258" t="s">
        <v>5018</v>
      </c>
      <c r="G2258">
        <v>108</v>
      </c>
      <c r="H2258" s="5">
        <v>1.883124973824439E-3</v>
      </c>
      <c r="I2258">
        <v>3</v>
      </c>
      <c r="J2258" t="b">
        <f>AND(CCData[[#This Row],[Date]]&gt;=Calculation!$E$3,CCData[[#This Row],[Date]]&lt;Calculation!$E$3+7)</f>
        <v>0</v>
      </c>
    </row>
    <row r="2259" spans="1:10">
      <c r="A2259" t="s">
        <v>2258</v>
      </c>
      <c r="B2259" s="2">
        <v>42044.481</v>
      </c>
      <c r="C2259" s="3" t="s">
        <v>5010</v>
      </c>
      <c r="D2259" t="s">
        <v>5014</v>
      </c>
      <c r="E2259" t="s">
        <v>5018</v>
      </c>
      <c r="F2259" t="s">
        <v>5019</v>
      </c>
      <c r="G2259">
        <v>100</v>
      </c>
      <c r="H2259" s="5">
        <v>4.6901451789613047E-3</v>
      </c>
      <c r="I2259">
        <v>5</v>
      </c>
      <c r="J2259" t="b">
        <f>AND(CCData[[#This Row],[Date]]&gt;=Calculation!$E$3,CCData[[#This Row],[Date]]&lt;Calculation!$E$3+7)</f>
        <v>0</v>
      </c>
    </row>
    <row r="2260" spans="1:10">
      <c r="A2260" t="s">
        <v>2259</v>
      </c>
      <c r="B2260" s="2">
        <v>42044.514000000003</v>
      </c>
      <c r="C2260" s="3" t="s">
        <v>5009</v>
      </c>
      <c r="D2260" t="s">
        <v>5012</v>
      </c>
      <c r="E2260" t="s">
        <v>5018</v>
      </c>
      <c r="F2260" t="s">
        <v>5018</v>
      </c>
      <c r="G2260">
        <v>69</v>
      </c>
      <c r="H2260" s="5">
        <v>4.0565156222000312E-3</v>
      </c>
      <c r="I2260">
        <v>3</v>
      </c>
      <c r="J2260" t="b">
        <f>AND(CCData[[#This Row],[Date]]&gt;=Calculation!$E$3,CCData[[#This Row],[Date]]&lt;Calculation!$E$3+7)</f>
        <v>0</v>
      </c>
    </row>
    <row r="2261" spans="1:10">
      <c r="A2261" t="s">
        <v>2260</v>
      </c>
      <c r="B2261" s="2">
        <v>42044.514000000003</v>
      </c>
      <c r="C2261" s="3" t="s">
        <v>5008</v>
      </c>
      <c r="D2261" t="s">
        <v>5015</v>
      </c>
      <c r="E2261" t="s">
        <v>5018</v>
      </c>
      <c r="F2261" t="s">
        <v>5018</v>
      </c>
      <c r="G2261">
        <v>66</v>
      </c>
      <c r="H2261" s="5">
        <v>3.391901002238738E-3</v>
      </c>
      <c r="I2261">
        <v>2</v>
      </c>
      <c r="J2261" t="b">
        <f>AND(CCData[[#This Row],[Date]]&gt;=Calculation!$E$3,CCData[[#This Row],[Date]]&lt;Calculation!$E$3+7)</f>
        <v>0</v>
      </c>
    </row>
    <row r="2262" spans="1:10">
      <c r="A2262" t="s">
        <v>2261</v>
      </c>
      <c r="B2262" s="2">
        <v>42044.52</v>
      </c>
      <c r="C2262" s="3" t="s">
        <v>5010</v>
      </c>
      <c r="D2262" t="s">
        <v>5014</v>
      </c>
      <c r="E2262" t="s">
        <v>5019</v>
      </c>
      <c r="F2262" t="s">
        <v>5019</v>
      </c>
      <c r="G2262" t="s">
        <v>5022</v>
      </c>
      <c r="H2262" s="5" t="s">
        <v>5022</v>
      </c>
      <c r="I2262" t="s">
        <v>5022</v>
      </c>
      <c r="J2262" t="b">
        <f>AND(CCData[[#This Row],[Date]]&gt;=Calculation!$E$3,CCData[[#This Row],[Date]]&lt;Calculation!$E$3+7)</f>
        <v>0</v>
      </c>
    </row>
    <row r="2263" spans="1:10">
      <c r="A2263" t="s">
        <v>2262</v>
      </c>
      <c r="B2263" s="2">
        <v>42044.52</v>
      </c>
      <c r="C2263" s="3" t="s">
        <v>5005</v>
      </c>
      <c r="D2263" t="s">
        <v>5016</v>
      </c>
      <c r="E2263" t="s">
        <v>5019</v>
      </c>
      <c r="F2263" t="s">
        <v>5019</v>
      </c>
      <c r="G2263" t="s">
        <v>5022</v>
      </c>
      <c r="H2263" s="5" t="s">
        <v>5022</v>
      </c>
      <c r="I2263" t="s">
        <v>5022</v>
      </c>
      <c r="J2263" t="b">
        <f>AND(CCData[[#This Row],[Date]]&gt;=Calculation!$E$3,CCData[[#This Row],[Date]]&lt;Calculation!$E$3+7)</f>
        <v>0</v>
      </c>
    </row>
    <row r="2264" spans="1:10">
      <c r="A2264" t="s">
        <v>2263</v>
      </c>
      <c r="B2264" s="2">
        <v>42044.525999999998</v>
      </c>
      <c r="C2264" s="3" t="s">
        <v>5010</v>
      </c>
      <c r="D2264" t="s">
        <v>5014</v>
      </c>
      <c r="E2264" t="s">
        <v>5018</v>
      </c>
      <c r="F2264" t="s">
        <v>5018</v>
      </c>
      <c r="G2264">
        <v>122</v>
      </c>
      <c r="H2264" s="5">
        <v>5.5517789603823917E-4</v>
      </c>
      <c r="I2264">
        <v>4</v>
      </c>
      <c r="J2264" t="b">
        <f>AND(CCData[[#This Row],[Date]]&gt;=Calculation!$E$3,CCData[[#This Row],[Date]]&lt;Calculation!$E$3+7)</f>
        <v>0</v>
      </c>
    </row>
    <row r="2265" spans="1:10">
      <c r="A2265" t="s">
        <v>2264</v>
      </c>
      <c r="B2265" s="2">
        <v>42044.525999999998</v>
      </c>
      <c r="C2265" s="3" t="s">
        <v>5010</v>
      </c>
      <c r="D2265" t="s">
        <v>5015</v>
      </c>
      <c r="E2265" t="s">
        <v>5018</v>
      </c>
      <c r="F2265" t="s">
        <v>5018</v>
      </c>
      <c r="G2265">
        <v>44</v>
      </c>
      <c r="H2265" s="5">
        <v>3.772324689687499E-3</v>
      </c>
      <c r="I2265">
        <v>4</v>
      </c>
      <c r="J2265" t="b">
        <f>AND(CCData[[#This Row],[Date]]&gt;=Calculation!$E$3,CCData[[#This Row],[Date]]&lt;Calculation!$E$3+7)</f>
        <v>0</v>
      </c>
    </row>
    <row r="2266" spans="1:10">
      <c r="A2266" t="s">
        <v>2265</v>
      </c>
      <c r="B2266" s="2">
        <v>42044.533000000003</v>
      </c>
      <c r="C2266" s="3" t="s">
        <v>5004</v>
      </c>
      <c r="D2266" t="s">
        <v>5012</v>
      </c>
      <c r="E2266" t="s">
        <v>5019</v>
      </c>
      <c r="F2266" t="s">
        <v>5019</v>
      </c>
      <c r="G2266" t="s">
        <v>5022</v>
      </c>
      <c r="H2266" s="5" t="s">
        <v>5022</v>
      </c>
      <c r="I2266" t="s">
        <v>5022</v>
      </c>
      <c r="J2266" t="b">
        <f>AND(CCData[[#This Row],[Date]]&gt;=Calculation!$E$3,CCData[[#This Row],[Date]]&lt;Calculation!$E$3+7)</f>
        <v>0</v>
      </c>
    </row>
    <row r="2267" spans="1:10">
      <c r="A2267" t="s">
        <v>2266</v>
      </c>
      <c r="B2267" s="2">
        <v>42044.533000000003</v>
      </c>
      <c r="C2267" s="3" t="s">
        <v>5006</v>
      </c>
      <c r="D2267" t="s">
        <v>5013</v>
      </c>
      <c r="E2267" t="s">
        <v>5019</v>
      </c>
      <c r="F2267" t="s">
        <v>5019</v>
      </c>
      <c r="G2267" t="s">
        <v>5022</v>
      </c>
      <c r="H2267" s="5" t="s">
        <v>5022</v>
      </c>
      <c r="I2267" t="s">
        <v>5022</v>
      </c>
      <c r="J2267" t="b">
        <f>AND(CCData[[#This Row],[Date]]&gt;=Calculation!$E$3,CCData[[#This Row],[Date]]&lt;Calculation!$E$3+7)</f>
        <v>0</v>
      </c>
    </row>
    <row r="2268" spans="1:10">
      <c r="A2268" t="s">
        <v>2267</v>
      </c>
      <c r="B2268" s="2">
        <v>42044.533000000003</v>
      </c>
      <c r="C2268" s="3" t="s">
        <v>5008</v>
      </c>
      <c r="D2268" t="s">
        <v>5012</v>
      </c>
      <c r="E2268" t="s">
        <v>5018</v>
      </c>
      <c r="F2268" t="s">
        <v>5018</v>
      </c>
      <c r="G2268">
        <v>48</v>
      </c>
      <c r="H2268" s="5">
        <v>3.837925118129977E-3</v>
      </c>
      <c r="I2268">
        <v>3</v>
      </c>
      <c r="J2268" t="b">
        <f>AND(CCData[[#This Row],[Date]]&gt;=Calculation!$E$3,CCData[[#This Row],[Date]]&lt;Calculation!$E$3+7)</f>
        <v>0</v>
      </c>
    </row>
    <row r="2269" spans="1:10">
      <c r="A2269" t="s">
        <v>2268</v>
      </c>
      <c r="B2269" s="2">
        <v>42044.533000000003</v>
      </c>
      <c r="C2269" s="3" t="s">
        <v>5010</v>
      </c>
      <c r="D2269" t="s">
        <v>5012</v>
      </c>
      <c r="E2269" t="s">
        <v>5018</v>
      </c>
      <c r="F2269" t="s">
        <v>5018</v>
      </c>
      <c r="G2269">
        <v>82</v>
      </c>
      <c r="H2269" s="5">
        <v>2.6530304796130379E-3</v>
      </c>
      <c r="I2269">
        <v>1</v>
      </c>
      <c r="J2269" t="b">
        <f>AND(CCData[[#This Row],[Date]]&gt;=Calculation!$E$3,CCData[[#This Row],[Date]]&lt;Calculation!$E$3+7)</f>
        <v>0</v>
      </c>
    </row>
    <row r="2270" spans="1:10">
      <c r="A2270" t="s">
        <v>2269</v>
      </c>
      <c r="B2270" s="2">
        <v>42044.535000000003</v>
      </c>
      <c r="C2270" s="3" t="s">
        <v>5006</v>
      </c>
      <c r="D2270" t="s">
        <v>5016</v>
      </c>
      <c r="E2270" t="s">
        <v>5018</v>
      </c>
      <c r="F2270" t="s">
        <v>5019</v>
      </c>
      <c r="G2270">
        <v>17</v>
      </c>
      <c r="H2270" s="5">
        <v>3.5387227752271982E-3</v>
      </c>
      <c r="I2270">
        <v>2</v>
      </c>
      <c r="J2270" t="b">
        <f>AND(CCData[[#This Row],[Date]]&gt;=Calculation!$E$3,CCData[[#This Row],[Date]]&lt;Calculation!$E$3+7)</f>
        <v>0</v>
      </c>
    </row>
    <row r="2271" spans="1:10">
      <c r="A2271" t="s">
        <v>2270</v>
      </c>
      <c r="B2271" s="2">
        <v>42044.535000000003</v>
      </c>
      <c r="C2271" s="3" t="s">
        <v>5006</v>
      </c>
      <c r="D2271" t="s">
        <v>5014</v>
      </c>
      <c r="E2271" t="s">
        <v>5018</v>
      </c>
      <c r="F2271" t="s">
        <v>5018</v>
      </c>
      <c r="G2271">
        <v>52</v>
      </c>
      <c r="H2271" s="5">
        <v>1.3541229332530416E-3</v>
      </c>
      <c r="I2271">
        <v>5</v>
      </c>
      <c r="J2271" t="b">
        <f>AND(CCData[[#This Row],[Date]]&gt;=Calculation!$E$3,CCData[[#This Row],[Date]]&lt;Calculation!$E$3+7)</f>
        <v>0</v>
      </c>
    </row>
    <row r="2272" spans="1:10">
      <c r="A2272" t="s">
        <v>2271</v>
      </c>
      <c r="B2272" s="2">
        <v>42044.542000000001</v>
      </c>
      <c r="C2272" s="3" t="s">
        <v>5003</v>
      </c>
      <c r="D2272" t="s">
        <v>5015</v>
      </c>
      <c r="E2272" t="s">
        <v>5018</v>
      </c>
      <c r="F2272" t="s">
        <v>5018</v>
      </c>
      <c r="G2272">
        <v>61</v>
      </c>
      <c r="H2272" s="5">
        <v>4.1133701092686045E-3</v>
      </c>
      <c r="I2272">
        <v>5</v>
      </c>
      <c r="J2272" t="b">
        <f>AND(CCData[[#This Row],[Date]]&gt;=Calculation!$E$3,CCData[[#This Row],[Date]]&lt;Calculation!$E$3+7)</f>
        <v>0</v>
      </c>
    </row>
    <row r="2273" spans="1:10">
      <c r="A2273" t="s">
        <v>2272</v>
      </c>
      <c r="B2273" s="2">
        <v>42044.542000000001</v>
      </c>
      <c r="C2273" s="3" t="s">
        <v>5010</v>
      </c>
      <c r="D2273" t="s">
        <v>5015</v>
      </c>
      <c r="E2273" t="s">
        <v>5018</v>
      </c>
      <c r="F2273" t="s">
        <v>5018</v>
      </c>
      <c r="G2273">
        <v>103</v>
      </c>
      <c r="H2273" s="5">
        <v>2.3862514774897442E-3</v>
      </c>
      <c r="I2273">
        <v>4</v>
      </c>
      <c r="J2273" t="b">
        <f>AND(CCData[[#This Row],[Date]]&gt;=Calculation!$E$3,CCData[[#This Row],[Date]]&lt;Calculation!$E$3+7)</f>
        <v>0</v>
      </c>
    </row>
    <row r="2274" spans="1:10">
      <c r="A2274" t="s">
        <v>2273</v>
      </c>
      <c r="B2274" s="2">
        <v>42044.546000000002</v>
      </c>
      <c r="C2274" s="3" t="s">
        <v>5003</v>
      </c>
      <c r="D2274" t="s">
        <v>5015</v>
      </c>
      <c r="E2274" t="s">
        <v>5018</v>
      </c>
      <c r="F2274" t="s">
        <v>5018</v>
      </c>
      <c r="G2274">
        <v>30</v>
      </c>
      <c r="H2274" s="5">
        <v>8.1599231447138684E-4</v>
      </c>
      <c r="I2274">
        <v>4</v>
      </c>
      <c r="J2274" t="b">
        <f>AND(CCData[[#This Row],[Date]]&gt;=Calculation!$E$3,CCData[[#This Row],[Date]]&lt;Calculation!$E$3+7)</f>
        <v>0</v>
      </c>
    </row>
    <row r="2275" spans="1:10">
      <c r="A2275" t="s">
        <v>2274</v>
      </c>
      <c r="B2275" s="2">
        <v>42044.546000000002</v>
      </c>
      <c r="C2275" s="3" t="s">
        <v>5006</v>
      </c>
      <c r="D2275" t="s">
        <v>5013</v>
      </c>
      <c r="E2275" t="s">
        <v>5019</v>
      </c>
      <c r="F2275" t="s">
        <v>5019</v>
      </c>
      <c r="G2275" t="s">
        <v>5022</v>
      </c>
      <c r="H2275" s="5" t="s">
        <v>5022</v>
      </c>
      <c r="I2275" t="s">
        <v>5022</v>
      </c>
      <c r="J2275" t="b">
        <f>AND(CCData[[#This Row],[Date]]&gt;=Calculation!$E$3,CCData[[#This Row],[Date]]&lt;Calculation!$E$3+7)</f>
        <v>0</v>
      </c>
    </row>
    <row r="2276" spans="1:10">
      <c r="A2276" t="s">
        <v>2275</v>
      </c>
      <c r="B2276" s="2">
        <v>42044.557000000001</v>
      </c>
      <c r="C2276" s="3" t="s">
        <v>5007</v>
      </c>
      <c r="D2276" t="s">
        <v>5016</v>
      </c>
      <c r="E2276" t="s">
        <v>5018</v>
      </c>
      <c r="F2276" t="s">
        <v>5018</v>
      </c>
      <c r="G2276">
        <v>21</v>
      </c>
      <c r="H2276" s="5">
        <v>2.2213854955603169E-3</v>
      </c>
      <c r="I2276">
        <v>5</v>
      </c>
      <c r="J2276" t="b">
        <f>AND(CCData[[#This Row],[Date]]&gt;=Calculation!$E$3,CCData[[#This Row],[Date]]&lt;Calculation!$E$3+7)</f>
        <v>0</v>
      </c>
    </row>
    <row r="2277" spans="1:10">
      <c r="A2277" t="s">
        <v>2276</v>
      </c>
      <c r="B2277" s="2">
        <v>42044.557000000001</v>
      </c>
      <c r="C2277" s="3" t="s">
        <v>5007</v>
      </c>
      <c r="D2277" t="s">
        <v>5016</v>
      </c>
      <c r="E2277" t="s">
        <v>5018</v>
      </c>
      <c r="F2277" t="s">
        <v>5018</v>
      </c>
      <c r="G2277">
        <v>117</v>
      </c>
      <c r="H2277" s="5">
        <v>2.9819322659024065E-3</v>
      </c>
      <c r="I2277">
        <v>5</v>
      </c>
      <c r="J2277" t="b">
        <f>AND(CCData[[#This Row],[Date]]&gt;=Calculation!$E$3,CCData[[#This Row],[Date]]&lt;Calculation!$E$3+7)</f>
        <v>0</v>
      </c>
    </row>
    <row r="2278" spans="1:10">
      <c r="A2278" t="s">
        <v>2277</v>
      </c>
      <c r="B2278" s="2">
        <v>42044.561999999998</v>
      </c>
      <c r="C2278" s="3" t="s">
        <v>5007</v>
      </c>
      <c r="D2278" t="s">
        <v>5015</v>
      </c>
      <c r="E2278" t="s">
        <v>5019</v>
      </c>
      <c r="F2278" t="s">
        <v>5019</v>
      </c>
      <c r="G2278" t="s">
        <v>5022</v>
      </c>
      <c r="H2278" s="5" t="s">
        <v>5022</v>
      </c>
      <c r="I2278" t="s">
        <v>5022</v>
      </c>
      <c r="J2278" t="b">
        <f>AND(CCData[[#This Row],[Date]]&gt;=Calculation!$E$3,CCData[[#This Row],[Date]]&lt;Calculation!$E$3+7)</f>
        <v>0</v>
      </c>
    </row>
    <row r="2279" spans="1:10">
      <c r="A2279" t="s">
        <v>2278</v>
      </c>
      <c r="B2279" s="2">
        <v>42044.561999999998</v>
      </c>
      <c r="C2279" s="3" t="s">
        <v>5008</v>
      </c>
      <c r="D2279" t="s">
        <v>5015</v>
      </c>
      <c r="E2279" t="s">
        <v>5018</v>
      </c>
      <c r="F2279" t="s">
        <v>5018</v>
      </c>
      <c r="G2279">
        <v>110</v>
      </c>
      <c r="H2279" s="5">
        <v>4.5430366828385828E-3</v>
      </c>
      <c r="I2279">
        <v>3</v>
      </c>
      <c r="J2279" t="b">
        <f>AND(CCData[[#This Row],[Date]]&gt;=Calculation!$E$3,CCData[[#This Row],[Date]]&lt;Calculation!$E$3+7)</f>
        <v>0</v>
      </c>
    </row>
    <row r="2280" spans="1:10">
      <c r="A2280" t="s">
        <v>2279</v>
      </c>
      <c r="B2280" s="2">
        <v>42044.603999999999</v>
      </c>
      <c r="C2280" s="3" t="s">
        <v>5004</v>
      </c>
      <c r="D2280" t="s">
        <v>5014</v>
      </c>
      <c r="E2280" t="s">
        <v>5018</v>
      </c>
      <c r="F2280" t="s">
        <v>5019</v>
      </c>
      <c r="G2280">
        <v>47</v>
      </c>
      <c r="H2280" s="5">
        <v>4.6521985343643824E-3</v>
      </c>
      <c r="I2280">
        <v>3</v>
      </c>
      <c r="J2280" t="b">
        <f>AND(CCData[[#This Row],[Date]]&gt;=Calculation!$E$3,CCData[[#This Row],[Date]]&lt;Calculation!$E$3+7)</f>
        <v>0</v>
      </c>
    </row>
    <row r="2281" spans="1:10">
      <c r="A2281" t="s">
        <v>2280</v>
      </c>
      <c r="B2281" s="2">
        <v>42044.603999999999</v>
      </c>
      <c r="C2281" s="3" t="s">
        <v>5003</v>
      </c>
      <c r="D2281" t="s">
        <v>5016</v>
      </c>
      <c r="E2281" t="s">
        <v>5018</v>
      </c>
      <c r="F2281" t="s">
        <v>5018</v>
      </c>
      <c r="G2281">
        <v>48</v>
      </c>
      <c r="H2281" s="5">
        <v>1.429391304527133E-3</v>
      </c>
      <c r="I2281">
        <v>4</v>
      </c>
      <c r="J2281" t="b">
        <f>AND(CCData[[#This Row],[Date]]&gt;=Calculation!$E$3,CCData[[#This Row],[Date]]&lt;Calculation!$E$3+7)</f>
        <v>0</v>
      </c>
    </row>
    <row r="2282" spans="1:10">
      <c r="A2282" t="s">
        <v>2281</v>
      </c>
      <c r="B2282" s="2">
        <v>42044.603999999999</v>
      </c>
      <c r="C2282" s="3" t="s">
        <v>5009</v>
      </c>
      <c r="D2282" t="s">
        <v>5013</v>
      </c>
      <c r="E2282" t="s">
        <v>5018</v>
      </c>
      <c r="F2282" t="s">
        <v>5018</v>
      </c>
      <c r="G2282">
        <v>63</v>
      </c>
      <c r="H2282" s="5">
        <v>2.4411665421183873E-3</v>
      </c>
      <c r="I2282">
        <v>5</v>
      </c>
      <c r="J2282" t="b">
        <f>AND(CCData[[#This Row],[Date]]&gt;=Calculation!$E$3,CCData[[#This Row],[Date]]&lt;Calculation!$E$3+7)</f>
        <v>0</v>
      </c>
    </row>
    <row r="2283" spans="1:10">
      <c r="A2283" t="s">
        <v>2282</v>
      </c>
      <c r="B2283" s="2">
        <v>42044.603999999999</v>
      </c>
      <c r="C2283" s="3" t="s">
        <v>5008</v>
      </c>
      <c r="D2283" t="s">
        <v>5014</v>
      </c>
      <c r="E2283" t="s">
        <v>5019</v>
      </c>
      <c r="F2283" t="s">
        <v>5019</v>
      </c>
      <c r="G2283" t="s">
        <v>5022</v>
      </c>
      <c r="H2283" s="5" t="s">
        <v>5022</v>
      </c>
      <c r="I2283" t="s">
        <v>5022</v>
      </c>
      <c r="J2283" t="b">
        <f>AND(CCData[[#This Row],[Date]]&gt;=Calculation!$E$3,CCData[[#This Row],[Date]]&lt;Calculation!$E$3+7)</f>
        <v>0</v>
      </c>
    </row>
    <row r="2284" spans="1:10">
      <c r="A2284" t="s">
        <v>2283</v>
      </c>
      <c r="B2284" s="2">
        <v>42044.639000000003</v>
      </c>
      <c r="C2284" s="3" t="s">
        <v>5003</v>
      </c>
      <c r="D2284" t="s">
        <v>5013</v>
      </c>
      <c r="E2284" t="s">
        <v>5019</v>
      </c>
      <c r="F2284" t="s">
        <v>5019</v>
      </c>
      <c r="G2284" t="s">
        <v>5022</v>
      </c>
      <c r="H2284" s="5" t="s">
        <v>5022</v>
      </c>
      <c r="I2284" t="s">
        <v>5022</v>
      </c>
      <c r="J2284" t="b">
        <f>AND(CCData[[#This Row],[Date]]&gt;=Calculation!$E$3,CCData[[#This Row],[Date]]&lt;Calculation!$E$3+7)</f>
        <v>0</v>
      </c>
    </row>
    <row r="2285" spans="1:10">
      <c r="A2285" t="s">
        <v>2284</v>
      </c>
      <c r="B2285" s="2">
        <v>42044.639000000003</v>
      </c>
      <c r="C2285" s="3" t="s">
        <v>5007</v>
      </c>
      <c r="D2285" t="s">
        <v>5015</v>
      </c>
      <c r="E2285" t="s">
        <v>5018</v>
      </c>
      <c r="F2285" t="s">
        <v>5018</v>
      </c>
      <c r="G2285">
        <v>78</v>
      </c>
      <c r="H2285" s="5">
        <v>1.192352516450963E-3</v>
      </c>
      <c r="I2285">
        <v>3</v>
      </c>
      <c r="J2285" t="b">
        <f>AND(CCData[[#This Row],[Date]]&gt;=Calculation!$E$3,CCData[[#This Row],[Date]]&lt;Calculation!$E$3+7)</f>
        <v>0</v>
      </c>
    </row>
    <row r="2286" spans="1:10">
      <c r="A2286" t="s">
        <v>2285</v>
      </c>
      <c r="B2286" s="2">
        <v>42044.663</v>
      </c>
      <c r="C2286" s="3" t="s">
        <v>5010</v>
      </c>
      <c r="D2286" t="s">
        <v>5015</v>
      </c>
      <c r="E2286" t="s">
        <v>5018</v>
      </c>
      <c r="F2286" t="s">
        <v>5018</v>
      </c>
      <c r="G2286">
        <v>80</v>
      </c>
      <c r="H2286" s="5">
        <v>4.6048460250892329E-3</v>
      </c>
      <c r="I2286">
        <v>5</v>
      </c>
      <c r="J2286" t="b">
        <f>AND(CCData[[#This Row],[Date]]&gt;=Calculation!$E$3,CCData[[#This Row],[Date]]&lt;Calculation!$E$3+7)</f>
        <v>0</v>
      </c>
    </row>
    <row r="2287" spans="1:10">
      <c r="A2287" t="s">
        <v>2286</v>
      </c>
      <c r="B2287" s="2">
        <v>42044.663</v>
      </c>
      <c r="C2287" s="3" t="s">
        <v>5009</v>
      </c>
      <c r="D2287" t="s">
        <v>5013</v>
      </c>
      <c r="E2287" t="s">
        <v>5019</v>
      </c>
      <c r="F2287" t="s">
        <v>5019</v>
      </c>
      <c r="G2287" t="s">
        <v>5022</v>
      </c>
      <c r="H2287" s="5" t="s">
        <v>5022</v>
      </c>
      <c r="I2287" t="s">
        <v>5022</v>
      </c>
      <c r="J2287" t="b">
        <f>AND(CCData[[#This Row],[Date]]&gt;=Calculation!$E$3,CCData[[#This Row],[Date]]&lt;Calculation!$E$3+7)</f>
        <v>0</v>
      </c>
    </row>
    <row r="2288" spans="1:10">
      <c r="A2288" t="s">
        <v>2287</v>
      </c>
      <c r="B2288" s="2">
        <v>42044.68</v>
      </c>
      <c r="C2288" s="3" t="s">
        <v>5009</v>
      </c>
      <c r="D2288" t="s">
        <v>5015</v>
      </c>
      <c r="E2288" t="s">
        <v>5018</v>
      </c>
      <c r="F2288" t="s">
        <v>5018</v>
      </c>
      <c r="G2288">
        <v>93</v>
      </c>
      <c r="H2288" s="5">
        <v>1.0110191988712723E-3</v>
      </c>
      <c r="I2288">
        <v>5</v>
      </c>
      <c r="J2288" t="b">
        <f>AND(CCData[[#This Row],[Date]]&gt;=Calculation!$E$3,CCData[[#This Row],[Date]]&lt;Calculation!$E$3+7)</f>
        <v>0</v>
      </c>
    </row>
    <row r="2289" spans="1:10">
      <c r="A2289" t="s">
        <v>2288</v>
      </c>
      <c r="B2289" s="2">
        <v>42044.68</v>
      </c>
      <c r="C2289" s="3" t="s">
        <v>5006</v>
      </c>
      <c r="D2289" t="s">
        <v>5015</v>
      </c>
      <c r="E2289" t="s">
        <v>5018</v>
      </c>
      <c r="F2289" t="s">
        <v>5018</v>
      </c>
      <c r="G2289">
        <v>88</v>
      </c>
      <c r="H2289" s="5">
        <v>1.1074218553768981E-3</v>
      </c>
      <c r="I2289">
        <v>5</v>
      </c>
      <c r="J2289" t="b">
        <f>AND(CCData[[#This Row],[Date]]&gt;=Calculation!$E$3,CCData[[#This Row],[Date]]&lt;Calculation!$E$3+7)</f>
        <v>0</v>
      </c>
    </row>
    <row r="2290" spans="1:10">
      <c r="A2290" t="s">
        <v>2289</v>
      </c>
      <c r="B2290" s="2">
        <v>42044.680999999997</v>
      </c>
      <c r="C2290" s="3" t="s">
        <v>5008</v>
      </c>
      <c r="D2290" t="s">
        <v>5016</v>
      </c>
      <c r="E2290" t="s">
        <v>5018</v>
      </c>
      <c r="F2290" t="s">
        <v>5018</v>
      </c>
      <c r="G2290">
        <v>14</v>
      </c>
      <c r="H2290" s="5">
        <v>2.4285406577306133E-3</v>
      </c>
      <c r="I2290">
        <v>5</v>
      </c>
      <c r="J2290" t="b">
        <f>AND(CCData[[#This Row],[Date]]&gt;=Calculation!$E$3,CCData[[#This Row],[Date]]&lt;Calculation!$E$3+7)</f>
        <v>0</v>
      </c>
    </row>
    <row r="2291" spans="1:10">
      <c r="A2291" t="s">
        <v>2290</v>
      </c>
      <c r="B2291" s="2">
        <v>42044.680999999997</v>
      </c>
      <c r="C2291" s="3" t="s">
        <v>5004</v>
      </c>
      <c r="D2291" t="s">
        <v>5015</v>
      </c>
      <c r="E2291" t="s">
        <v>5018</v>
      </c>
      <c r="F2291" t="s">
        <v>5018</v>
      </c>
      <c r="G2291">
        <v>59</v>
      </c>
      <c r="H2291" s="5">
        <v>3.1995219019311108E-3</v>
      </c>
      <c r="I2291">
        <v>3</v>
      </c>
      <c r="J2291" t="b">
        <f>AND(CCData[[#This Row],[Date]]&gt;=Calculation!$E$3,CCData[[#This Row],[Date]]&lt;Calculation!$E$3+7)</f>
        <v>0</v>
      </c>
    </row>
    <row r="2292" spans="1:10">
      <c r="A2292" t="s">
        <v>2291</v>
      </c>
      <c r="B2292" s="2">
        <v>42044.682000000001</v>
      </c>
      <c r="C2292" s="3" t="s">
        <v>5005</v>
      </c>
      <c r="D2292" t="s">
        <v>5013</v>
      </c>
      <c r="E2292" t="s">
        <v>5018</v>
      </c>
      <c r="F2292" t="s">
        <v>5018</v>
      </c>
      <c r="G2292">
        <v>101</v>
      </c>
      <c r="H2292" s="5">
        <v>8.9736859488522718E-4</v>
      </c>
      <c r="I2292">
        <v>2</v>
      </c>
      <c r="J2292" t="b">
        <f>AND(CCData[[#This Row],[Date]]&gt;=Calculation!$E$3,CCData[[#This Row],[Date]]&lt;Calculation!$E$3+7)</f>
        <v>0</v>
      </c>
    </row>
    <row r="2293" spans="1:10">
      <c r="A2293" t="s">
        <v>2292</v>
      </c>
      <c r="B2293" s="2">
        <v>42044.682000000001</v>
      </c>
      <c r="C2293" s="3" t="s">
        <v>5006</v>
      </c>
      <c r="D2293" t="s">
        <v>5016</v>
      </c>
      <c r="E2293" t="s">
        <v>5018</v>
      </c>
      <c r="F2293" t="s">
        <v>5018</v>
      </c>
      <c r="G2293">
        <v>38</v>
      </c>
      <c r="H2293" s="5">
        <v>4.9803017380607403E-4</v>
      </c>
      <c r="I2293">
        <v>2</v>
      </c>
      <c r="J2293" t="b">
        <f>AND(CCData[[#This Row],[Date]]&gt;=Calculation!$E$3,CCData[[#This Row],[Date]]&lt;Calculation!$E$3+7)</f>
        <v>0</v>
      </c>
    </row>
    <row r="2294" spans="1:10">
      <c r="A2294" t="s">
        <v>2293</v>
      </c>
      <c r="B2294" s="2">
        <v>42044.688999999998</v>
      </c>
      <c r="C2294" s="3" t="s">
        <v>5007</v>
      </c>
      <c r="D2294" t="s">
        <v>5013</v>
      </c>
      <c r="E2294" t="s">
        <v>5018</v>
      </c>
      <c r="F2294" t="s">
        <v>5018</v>
      </c>
      <c r="G2294">
        <v>104</v>
      </c>
      <c r="H2294" s="5">
        <v>1.7812676234117786E-3</v>
      </c>
      <c r="I2294">
        <v>1</v>
      </c>
      <c r="J2294" t="b">
        <f>AND(CCData[[#This Row],[Date]]&gt;=Calculation!$E$3,CCData[[#This Row],[Date]]&lt;Calculation!$E$3+7)</f>
        <v>0</v>
      </c>
    </row>
    <row r="2295" spans="1:10">
      <c r="A2295" t="s">
        <v>2294</v>
      </c>
      <c r="B2295" s="2">
        <v>42044.688999999998</v>
      </c>
      <c r="C2295" s="3" t="s">
        <v>5005</v>
      </c>
      <c r="D2295" t="s">
        <v>5015</v>
      </c>
      <c r="E2295" t="s">
        <v>5018</v>
      </c>
      <c r="F2295" t="s">
        <v>5018</v>
      </c>
      <c r="G2295">
        <v>29</v>
      </c>
      <c r="H2295" s="5">
        <v>7.4256815437557567E-4</v>
      </c>
      <c r="I2295">
        <v>4</v>
      </c>
      <c r="J2295" t="b">
        <f>AND(CCData[[#This Row],[Date]]&gt;=Calculation!$E$3,CCData[[#This Row],[Date]]&lt;Calculation!$E$3+7)</f>
        <v>0</v>
      </c>
    </row>
    <row r="2296" spans="1:10">
      <c r="A2296" t="s">
        <v>2295</v>
      </c>
      <c r="B2296" s="2">
        <v>42044.703000000001</v>
      </c>
      <c r="C2296" s="3" t="s">
        <v>5003</v>
      </c>
      <c r="D2296" t="s">
        <v>5016</v>
      </c>
      <c r="E2296" t="s">
        <v>5018</v>
      </c>
      <c r="F2296" t="s">
        <v>5018</v>
      </c>
      <c r="G2296">
        <v>67</v>
      </c>
      <c r="H2296" s="5">
        <v>1.2810226433895024E-3</v>
      </c>
      <c r="I2296">
        <v>2</v>
      </c>
      <c r="J2296" t="b">
        <f>AND(CCData[[#This Row],[Date]]&gt;=Calculation!$E$3,CCData[[#This Row],[Date]]&lt;Calculation!$E$3+7)</f>
        <v>0</v>
      </c>
    </row>
    <row r="2297" spans="1:10">
      <c r="A2297" t="s">
        <v>2296</v>
      </c>
      <c r="B2297" s="2">
        <v>42044.703000000001</v>
      </c>
      <c r="C2297" s="3" t="s">
        <v>5010</v>
      </c>
      <c r="D2297" t="s">
        <v>5015</v>
      </c>
      <c r="E2297" t="s">
        <v>5018</v>
      </c>
      <c r="F2297" t="s">
        <v>5018</v>
      </c>
      <c r="G2297">
        <v>75</v>
      </c>
      <c r="H2297" s="5">
        <v>3.4153965464121857E-3</v>
      </c>
      <c r="I2297">
        <v>5</v>
      </c>
      <c r="J2297" t="b">
        <f>AND(CCData[[#This Row],[Date]]&gt;=Calculation!$E$3,CCData[[#This Row],[Date]]&lt;Calculation!$E$3+7)</f>
        <v>0</v>
      </c>
    </row>
    <row r="2298" spans="1:10">
      <c r="A2298" t="s">
        <v>2297</v>
      </c>
      <c r="B2298" s="2">
        <v>42044.711000000003</v>
      </c>
      <c r="C2298" s="3" t="s">
        <v>5006</v>
      </c>
      <c r="D2298" t="s">
        <v>5014</v>
      </c>
      <c r="E2298" t="s">
        <v>5018</v>
      </c>
      <c r="F2298" t="s">
        <v>5018</v>
      </c>
      <c r="G2298">
        <v>110</v>
      </c>
      <c r="H2298" s="5">
        <v>7.316802690333304E-4</v>
      </c>
      <c r="I2298">
        <v>1</v>
      </c>
      <c r="J2298" t="b">
        <f>AND(CCData[[#This Row],[Date]]&gt;=Calculation!$E$3,CCData[[#This Row],[Date]]&lt;Calculation!$E$3+7)</f>
        <v>0</v>
      </c>
    </row>
    <row r="2299" spans="1:10">
      <c r="A2299" t="s">
        <v>2298</v>
      </c>
      <c r="B2299" s="2">
        <v>42044.711000000003</v>
      </c>
      <c r="C2299" s="3" t="s">
        <v>5007</v>
      </c>
      <c r="D2299" t="s">
        <v>5016</v>
      </c>
      <c r="E2299" t="s">
        <v>5018</v>
      </c>
      <c r="F2299" t="s">
        <v>5019</v>
      </c>
      <c r="G2299">
        <v>36</v>
      </c>
      <c r="H2299" s="5">
        <v>4.759405711085127E-3</v>
      </c>
      <c r="I2299">
        <v>2</v>
      </c>
      <c r="J2299" t="b">
        <f>AND(CCData[[#This Row],[Date]]&gt;=Calculation!$E$3,CCData[[#This Row],[Date]]&lt;Calculation!$E$3+7)</f>
        <v>0</v>
      </c>
    </row>
    <row r="2300" spans="1:10">
      <c r="A2300" t="s">
        <v>2299</v>
      </c>
      <c r="B2300" s="2">
        <v>42044.728999999999</v>
      </c>
      <c r="C2300" s="3" t="s">
        <v>5003</v>
      </c>
      <c r="D2300" t="s">
        <v>5012</v>
      </c>
      <c r="E2300" t="s">
        <v>5018</v>
      </c>
      <c r="F2300" t="s">
        <v>5018</v>
      </c>
      <c r="G2300">
        <v>96</v>
      </c>
      <c r="H2300" s="5">
        <v>4.4475511753879326E-3</v>
      </c>
      <c r="I2300">
        <v>2</v>
      </c>
      <c r="J2300" t="b">
        <f>AND(CCData[[#This Row],[Date]]&gt;=Calculation!$E$3,CCData[[#This Row],[Date]]&lt;Calculation!$E$3+7)</f>
        <v>0</v>
      </c>
    </row>
    <row r="2301" spans="1:10">
      <c r="A2301" t="s">
        <v>2300</v>
      </c>
      <c r="B2301" s="2">
        <v>42044.728999999999</v>
      </c>
      <c r="C2301" s="3" t="s">
        <v>5008</v>
      </c>
      <c r="D2301" t="s">
        <v>5013</v>
      </c>
      <c r="E2301" t="s">
        <v>5018</v>
      </c>
      <c r="F2301" t="s">
        <v>5019</v>
      </c>
      <c r="G2301">
        <v>91</v>
      </c>
      <c r="H2301" s="5">
        <v>2.5777248166121286E-3</v>
      </c>
      <c r="I2301">
        <v>4</v>
      </c>
      <c r="J2301" t="b">
        <f>AND(CCData[[#This Row],[Date]]&gt;=Calculation!$E$3,CCData[[#This Row],[Date]]&lt;Calculation!$E$3+7)</f>
        <v>0</v>
      </c>
    </row>
    <row r="2302" spans="1:10">
      <c r="A2302" t="s">
        <v>2301</v>
      </c>
      <c r="B2302" s="2">
        <v>42044.748</v>
      </c>
      <c r="C2302" s="3" t="s">
        <v>5010</v>
      </c>
      <c r="D2302" t="s">
        <v>5015</v>
      </c>
      <c r="E2302" t="s">
        <v>5019</v>
      </c>
      <c r="F2302" t="s">
        <v>5019</v>
      </c>
      <c r="G2302" t="s">
        <v>5022</v>
      </c>
      <c r="H2302" s="5" t="s">
        <v>5022</v>
      </c>
      <c r="I2302" t="s">
        <v>5022</v>
      </c>
      <c r="J2302" t="b">
        <f>AND(CCData[[#This Row],[Date]]&gt;=Calculation!$E$3,CCData[[#This Row],[Date]]&lt;Calculation!$E$3+7)</f>
        <v>0</v>
      </c>
    </row>
    <row r="2303" spans="1:10">
      <c r="A2303" t="s">
        <v>2302</v>
      </c>
      <c r="B2303" s="2">
        <v>42044.748</v>
      </c>
      <c r="C2303" s="3" t="s">
        <v>5004</v>
      </c>
      <c r="D2303" t="s">
        <v>5016</v>
      </c>
      <c r="E2303" t="s">
        <v>5018</v>
      </c>
      <c r="F2303" t="s">
        <v>5018</v>
      </c>
      <c r="G2303">
        <v>53</v>
      </c>
      <c r="H2303" s="5">
        <v>7.8823489146266526E-4</v>
      </c>
      <c r="I2303">
        <v>4</v>
      </c>
      <c r="J2303" t="b">
        <f>AND(CCData[[#This Row],[Date]]&gt;=Calculation!$E$3,CCData[[#This Row],[Date]]&lt;Calculation!$E$3+7)</f>
        <v>0</v>
      </c>
    </row>
    <row r="2304" spans="1:10">
      <c r="A2304" t="s">
        <v>2303</v>
      </c>
      <c r="B2304" s="2">
        <v>42045.375999999997</v>
      </c>
      <c r="C2304" s="3" t="s">
        <v>5008</v>
      </c>
      <c r="D2304" t="s">
        <v>5016</v>
      </c>
      <c r="E2304" t="s">
        <v>5018</v>
      </c>
      <c r="F2304" t="s">
        <v>5018</v>
      </c>
      <c r="G2304">
        <v>112</v>
      </c>
      <c r="H2304" s="5">
        <v>3.8602347305823582E-3</v>
      </c>
      <c r="I2304">
        <v>3</v>
      </c>
      <c r="J2304" t="b">
        <f>AND(CCData[[#This Row],[Date]]&gt;=Calculation!$E$3,CCData[[#This Row],[Date]]&lt;Calculation!$E$3+7)</f>
        <v>0</v>
      </c>
    </row>
    <row r="2305" spans="1:10">
      <c r="A2305" t="s">
        <v>2304</v>
      </c>
      <c r="B2305" s="2">
        <v>42045.375999999997</v>
      </c>
      <c r="C2305" s="3" t="s">
        <v>5005</v>
      </c>
      <c r="D2305" t="s">
        <v>5015</v>
      </c>
      <c r="E2305" t="s">
        <v>5019</v>
      </c>
      <c r="F2305" t="s">
        <v>5019</v>
      </c>
      <c r="G2305" t="s">
        <v>5022</v>
      </c>
      <c r="H2305" s="5" t="s">
        <v>5022</v>
      </c>
      <c r="I2305" t="s">
        <v>5022</v>
      </c>
      <c r="J2305" t="b">
        <f>AND(CCData[[#This Row],[Date]]&gt;=Calculation!$E$3,CCData[[#This Row],[Date]]&lt;Calculation!$E$3+7)</f>
        <v>0</v>
      </c>
    </row>
    <row r="2306" spans="1:10">
      <c r="A2306" t="s">
        <v>2305</v>
      </c>
      <c r="B2306" s="2">
        <v>42045.383999999998</v>
      </c>
      <c r="C2306" s="3" t="s">
        <v>5009</v>
      </c>
      <c r="D2306" t="s">
        <v>5013</v>
      </c>
      <c r="E2306" t="s">
        <v>5018</v>
      </c>
      <c r="F2306" t="s">
        <v>5018</v>
      </c>
      <c r="G2306">
        <v>87</v>
      </c>
      <c r="H2306" s="5">
        <v>9.6088867320371458E-4</v>
      </c>
      <c r="I2306">
        <v>3</v>
      </c>
      <c r="J2306" t="b">
        <f>AND(CCData[[#This Row],[Date]]&gt;=Calculation!$E$3,CCData[[#This Row],[Date]]&lt;Calculation!$E$3+7)</f>
        <v>0</v>
      </c>
    </row>
    <row r="2307" spans="1:10">
      <c r="A2307" t="s">
        <v>2306</v>
      </c>
      <c r="B2307" s="2">
        <v>42045.383999999998</v>
      </c>
      <c r="C2307" s="3" t="s">
        <v>5003</v>
      </c>
      <c r="D2307" t="s">
        <v>5015</v>
      </c>
      <c r="E2307" t="s">
        <v>5018</v>
      </c>
      <c r="F2307" t="s">
        <v>5018</v>
      </c>
      <c r="G2307">
        <v>78</v>
      </c>
      <c r="H2307" s="5">
        <v>1.2129109224756046E-3</v>
      </c>
      <c r="I2307">
        <v>5</v>
      </c>
      <c r="J2307" t="b">
        <f>AND(CCData[[#This Row],[Date]]&gt;=Calculation!$E$3,CCData[[#This Row],[Date]]&lt;Calculation!$E$3+7)</f>
        <v>0</v>
      </c>
    </row>
    <row r="2308" spans="1:10">
      <c r="A2308" t="s">
        <v>2307</v>
      </c>
      <c r="B2308" s="2">
        <v>42045.387999999999</v>
      </c>
      <c r="C2308" s="3" t="s">
        <v>5007</v>
      </c>
      <c r="D2308" t="s">
        <v>5014</v>
      </c>
      <c r="E2308" t="s">
        <v>5018</v>
      </c>
      <c r="F2308" t="s">
        <v>5019</v>
      </c>
      <c r="G2308">
        <v>16</v>
      </c>
      <c r="H2308" s="5">
        <v>1.3049161411160415E-3</v>
      </c>
      <c r="I2308">
        <v>4</v>
      </c>
      <c r="J2308" t="b">
        <f>AND(CCData[[#This Row],[Date]]&gt;=Calculation!$E$3,CCData[[#This Row],[Date]]&lt;Calculation!$E$3+7)</f>
        <v>0</v>
      </c>
    </row>
    <row r="2309" spans="1:10">
      <c r="A2309" t="s">
        <v>2308</v>
      </c>
      <c r="B2309" s="2">
        <v>42045.387999999999</v>
      </c>
      <c r="C2309" s="3" t="s">
        <v>5007</v>
      </c>
      <c r="D2309" t="s">
        <v>5016</v>
      </c>
      <c r="E2309" t="s">
        <v>5018</v>
      </c>
      <c r="F2309" t="s">
        <v>5018</v>
      </c>
      <c r="G2309">
        <v>56</v>
      </c>
      <c r="H2309" s="5">
        <v>4.6038401607178259E-3</v>
      </c>
      <c r="I2309">
        <v>4</v>
      </c>
      <c r="J2309" t="b">
        <f>AND(CCData[[#This Row],[Date]]&gt;=Calculation!$E$3,CCData[[#This Row],[Date]]&lt;Calculation!$E$3+7)</f>
        <v>0</v>
      </c>
    </row>
    <row r="2310" spans="1:10">
      <c r="A2310" t="s">
        <v>2309</v>
      </c>
      <c r="B2310" s="2">
        <v>42045.442999999999</v>
      </c>
      <c r="C2310" s="3" t="s">
        <v>5003</v>
      </c>
      <c r="D2310" t="s">
        <v>5013</v>
      </c>
      <c r="E2310" t="s">
        <v>5018</v>
      </c>
      <c r="F2310" t="s">
        <v>5018</v>
      </c>
      <c r="G2310">
        <v>87</v>
      </c>
      <c r="H2310" s="5">
        <v>4.7314677119152252E-3</v>
      </c>
      <c r="I2310">
        <v>3</v>
      </c>
      <c r="J2310" t="b">
        <f>AND(CCData[[#This Row],[Date]]&gt;=Calculation!$E$3,CCData[[#This Row],[Date]]&lt;Calculation!$E$3+7)</f>
        <v>0</v>
      </c>
    </row>
    <row r="2311" spans="1:10">
      <c r="A2311" t="s">
        <v>2310</v>
      </c>
      <c r="B2311" s="2">
        <v>42045.442999999999</v>
      </c>
      <c r="C2311" s="3" t="s">
        <v>5004</v>
      </c>
      <c r="D2311" t="s">
        <v>5012</v>
      </c>
      <c r="E2311" t="s">
        <v>5019</v>
      </c>
      <c r="F2311" t="s">
        <v>5019</v>
      </c>
      <c r="G2311" t="s">
        <v>5022</v>
      </c>
      <c r="H2311" s="5" t="s">
        <v>5022</v>
      </c>
      <c r="I2311" t="s">
        <v>5022</v>
      </c>
      <c r="J2311" t="b">
        <f>AND(CCData[[#This Row],[Date]]&gt;=Calculation!$E$3,CCData[[#This Row],[Date]]&lt;Calculation!$E$3+7)</f>
        <v>0</v>
      </c>
    </row>
    <row r="2312" spans="1:10">
      <c r="A2312" t="s">
        <v>2311</v>
      </c>
      <c r="B2312" s="2">
        <v>42045.461000000003</v>
      </c>
      <c r="C2312" s="3" t="s">
        <v>5007</v>
      </c>
      <c r="D2312" t="s">
        <v>5015</v>
      </c>
      <c r="E2312" t="s">
        <v>5018</v>
      </c>
      <c r="F2312" t="s">
        <v>5019</v>
      </c>
      <c r="G2312">
        <v>46</v>
      </c>
      <c r="H2312" s="5">
        <v>4.1002502829873824E-3</v>
      </c>
      <c r="I2312">
        <v>4</v>
      </c>
      <c r="J2312" t="b">
        <f>AND(CCData[[#This Row],[Date]]&gt;=Calculation!$E$3,CCData[[#This Row],[Date]]&lt;Calculation!$E$3+7)</f>
        <v>0</v>
      </c>
    </row>
    <row r="2313" spans="1:10">
      <c r="A2313" t="s">
        <v>2312</v>
      </c>
      <c r="B2313" s="2">
        <v>42045.461000000003</v>
      </c>
      <c r="C2313" s="3" t="s">
        <v>5004</v>
      </c>
      <c r="D2313" t="s">
        <v>5014</v>
      </c>
      <c r="E2313" t="s">
        <v>5018</v>
      </c>
      <c r="F2313" t="s">
        <v>5018</v>
      </c>
      <c r="G2313">
        <v>116</v>
      </c>
      <c r="H2313" s="5">
        <v>4.3119582144349475E-3</v>
      </c>
      <c r="I2313">
        <v>3</v>
      </c>
      <c r="J2313" t="b">
        <f>AND(CCData[[#This Row],[Date]]&gt;=Calculation!$E$3,CCData[[#This Row],[Date]]&lt;Calculation!$E$3+7)</f>
        <v>0</v>
      </c>
    </row>
    <row r="2314" spans="1:10">
      <c r="A2314" t="s">
        <v>2313</v>
      </c>
      <c r="B2314" s="2">
        <v>42045.464999999997</v>
      </c>
      <c r="C2314" s="3" t="s">
        <v>5005</v>
      </c>
      <c r="D2314" t="s">
        <v>5013</v>
      </c>
      <c r="E2314" t="s">
        <v>5018</v>
      </c>
      <c r="F2314" t="s">
        <v>5018</v>
      </c>
      <c r="G2314">
        <v>26</v>
      </c>
      <c r="H2314" s="5">
        <v>1.1423365840240267E-3</v>
      </c>
      <c r="I2314">
        <v>4</v>
      </c>
      <c r="J2314" t="b">
        <f>AND(CCData[[#This Row],[Date]]&gt;=Calculation!$E$3,CCData[[#This Row],[Date]]&lt;Calculation!$E$3+7)</f>
        <v>0</v>
      </c>
    </row>
    <row r="2315" spans="1:10">
      <c r="A2315" t="s">
        <v>2314</v>
      </c>
      <c r="B2315" s="2">
        <v>42045.464999999997</v>
      </c>
      <c r="C2315" s="3" t="s">
        <v>5008</v>
      </c>
      <c r="D2315" t="s">
        <v>5013</v>
      </c>
      <c r="E2315" t="s">
        <v>5018</v>
      </c>
      <c r="F2315" t="s">
        <v>5018</v>
      </c>
      <c r="G2315">
        <v>94</v>
      </c>
      <c r="H2315" s="5">
        <v>2.7009348781191346E-3</v>
      </c>
      <c r="I2315">
        <v>2</v>
      </c>
      <c r="J2315" t="b">
        <f>AND(CCData[[#This Row],[Date]]&gt;=Calculation!$E$3,CCData[[#This Row],[Date]]&lt;Calculation!$E$3+7)</f>
        <v>0</v>
      </c>
    </row>
    <row r="2316" spans="1:10">
      <c r="A2316" t="s">
        <v>2315</v>
      </c>
      <c r="B2316" s="2">
        <v>42045.472000000002</v>
      </c>
      <c r="C2316" s="3" t="s">
        <v>5008</v>
      </c>
      <c r="D2316" t="s">
        <v>5016</v>
      </c>
      <c r="E2316" t="s">
        <v>5018</v>
      </c>
      <c r="F2316" t="s">
        <v>5019</v>
      </c>
      <c r="G2316">
        <v>87</v>
      </c>
      <c r="H2316" s="5">
        <v>9.3194561181350914E-4</v>
      </c>
      <c r="I2316">
        <v>3</v>
      </c>
      <c r="J2316" t="b">
        <f>AND(CCData[[#This Row],[Date]]&gt;=Calculation!$E$3,CCData[[#This Row],[Date]]&lt;Calculation!$E$3+7)</f>
        <v>0</v>
      </c>
    </row>
    <row r="2317" spans="1:10">
      <c r="A2317" t="s">
        <v>2316</v>
      </c>
      <c r="B2317" s="2">
        <v>42045.472000000002</v>
      </c>
      <c r="C2317" s="3" t="s">
        <v>5006</v>
      </c>
      <c r="D2317" t="s">
        <v>5013</v>
      </c>
      <c r="E2317" t="s">
        <v>5018</v>
      </c>
      <c r="F2317" t="s">
        <v>5018</v>
      </c>
      <c r="G2317">
        <v>14</v>
      </c>
      <c r="H2317" s="5">
        <v>9.1240396858558847E-4</v>
      </c>
      <c r="I2317">
        <v>3</v>
      </c>
      <c r="J2317" t="b">
        <f>AND(CCData[[#This Row],[Date]]&gt;=Calculation!$E$3,CCData[[#This Row],[Date]]&lt;Calculation!$E$3+7)</f>
        <v>0</v>
      </c>
    </row>
    <row r="2318" spans="1:10">
      <c r="A2318" t="s">
        <v>2317</v>
      </c>
      <c r="B2318" s="2">
        <v>42045.478999999999</v>
      </c>
      <c r="C2318" s="3" t="s">
        <v>5007</v>
      </c>
      <c r="D2318" t="s">
        <v>5012</v>
      </c>
      <c r="E2318" t="s">
        <v>5018</v>
      </c>
      <c r="F2318" t="s">
        <v>5018</v>
      </c>
      <c r="G2318">
        <v>49</v>
      </c>
      <c r="H2318" s="5">
        <v>2.6709949229569781E-3</v>
      </c>
      <c r="I2318">
        <v>3</v>
      </c>
      <c r="J2318" t="b">
        <f>AND(CCData[[#This Row],[Date]]&gt;=Calculation!$E$3,CCData[[#This Row],[Date]]&lt;Calculation!$E$3+7)</f>
        <v>0</v>
      </c>
    </row>
    <row r="2319" spans="1:10">
      <c r="A2319" t="s">
        <v>2318</v>
      </c>
      <c r="B2319" s="2">
        <v>42045.478999999999</v>
      </c>
      <c r="C2319" s="3" t="s">
        <v>5005</v>
      </c>
      <c r="D2319" t="s">
        <v>5012</v>
      </c>
      <c r="E2319" t="s">
        <v>5018</v>
      </c>
      <c r="F2319" t="s">
        <v>5018</v>
      </c>
      <c r="G2319">
        <v>91</v>
      </c>
      <c r="H2319" s="5">
        <v>1.5301240890763269E-3</v>
      </c>
      <c r="I2319">
        <v>2</v>
      </c>
      <c r="J2319" t="b">
        <f>AND(CCData[[#This Row],[Date]]&gt;=Calculation!$E$3,CCData[[#This Row],[Date]]&lt;Calculation!$E$3+7)</f>
        <v>0</v>
      </c>
    </row>
    <row r="2320" spans="1:10">
      <c r="A2320" t="s">
        <v>2319</v>
      </c>
      <c r="B2320" s="2">
        <v>42045.48</v>
      </c>
      <c r="C2320" s="3" t="s">
        <v>5004</v>
      </c>
      <c r="D2320" t="s">
        <v>5012</v>
      </c>
      <c r="E2320" t="s">
        <v>5018</v>
      </c>
      <c r="F2320" t="s">
        <v>5018</v>
      </c>
      <c r="G2320">
        <v>63</v>
      </c>
      <c r="H2320" s="5">
        <v>1.8298486087968864E-3</v>
      </c>
      <c r="I2320">
        <v>3</v>
      </c>
      <c r="J2320" t="b">
        <f>AND(CCData[[#This Row],[Date]]&gt;=Calculation!$E$3,CCData[[#This Row],[Date]]&lt;Calculation!$E$3+7)</f>
        <v>0</v>
      </c>
    </row>
    <row r="2321" spans="1:10">
      <c r="A2321" t="s">
        <v>2320</v>
      </c>
      <c r="B2321" s="2">
        <v>42045.48</v>
      </c>
      <c r="C2321" s="3" t="s">
        <v>5003</v>
      </c>
      <c r="D2321" t="s">
        <v>5015</v>
      </c>
      <c r="E2321" t="s">
        <v>5018</v>
      </c>
      <c r="F2321" t="s">
        <v>5018</v>
      </c>
      <c r="G2321">
        <v>92</v>
      </c>
      <c r="H2321" s="5">
        <v>1.9393050720532122E-3</v>
      </c>
      <c r="I2321">
        <v>4</v>
      </c>
      <c r="J2321" t="b">
        <f>AND(CCData[[#This Row],[Date]]&gt;=Calculation!$E$3,CCData[[#This Row],[Date]]&lt;Calculation!$E$3+7)</f>
        <v>0</v>
      </c>
    </row>
    <row r="2322" spans="1:10">
      <c r="A2322" t="s">
        <v>2321</v>
      </c>
      <c r="B2322" s="2">
        <v>42045.493999999999</v>
      </c>
      <c r="C2322" s="3" t="s">
        <v>5004</v>
      </c>
      <c r="D2322" t="s">
        <v>5014</v>
      </c>
      <c r="E2322" t="s">
        <v>5019</v>
      </c>
      <c r="F2322" t="s">
        <v>5019</v>
      </c>
      <c r="G2322" t="s">
        <v>5022</v>
      </c>
      <c r="H2322" s="5" t="s">
        <v>5022</v>
      </c>
      <c r="I2322" t="s">
        <v>5022</v>
      </c>
      <c r="J2322" t="b">
        <f>AND(CCData[[#This Row],[Date]]&gt;=Calculation!$E$3,CCData[[#This Row],[Date]]&lt;Calculation!$E$3+7)</f>
        <v>0</v>
      </c>
    </row>
    <row r="2323" spans="1:10">
      <c r="A2323" t="s">
        <v>2322</v>
      </c>
      <c r="B2323" s="2">
        <v>42045.493999999999</v>
      </c>
      <c r="C2323" s="3" t="s">
        <v>5005</v>
      </c>
      <c r="D2323" t="s">
        <v>5014</v>
      </c>
      <c r="E2323" t="s">
        <v>5019</v>
      </c>
      <c r="F2323" t="s">
        <v>5019</v>
      </c>
      <c r="G2323" t="s">
        <v>5022</v>
      </c>
      <c r="H2323" s="5" t="s">
        <v>5022</v>
      </c>
      <c r="I2323" t="s">
        <v>5022</v>
      </c>
      <c r="J2323" t="b">
        <f>AND(CCData[[#This Row],[Date]]&gt;=Calculation!$E$3,CCData[[#This Row],[Date]]&lt;Calculation!$E$3+7)</f>
        <v>0</v>
      </c>
    </row>
    <row r="2324" spans="1:10">
      <c r="A2324" t="s">
        <v>2323</v>
      </c>
      <c r="B2324" s="2">
        <v>42045.510999999999</v>
      </c>
      <c r="C2324" s="3" t="s">
        <v>5007</v>
      </c>
      <c r="D2324" t="s">
        <v>5013</v>
      </c>
      <c r="E2324" t="s">
        <v>5018</v>
      </c>
      <c r="F2324" t="s">
        <v>5018</v>
      </c>
      <c r="G2324">
        <v>34</v>
      </c>
      <c r="H2324" s="5">
        <v>1.7283803551122064E-3</v>
      </c>
      <c r="I2324">
        <v>5</v>
      </c>
      <c r="J2324" t="b">
        <f>AND(CCData[[#This Row],[Date]]&gt;=Calculation!$E$3,CCData[[#This Row],[Date]]&lt;Calculation!$E$3+7)</f>
        <v>0</v>
      </c>
    </row>
    <row r="2325" spans="1:10">
      <c r="A2325" t="s">
        <v>2324</v>
      </c>
      <c r="B2325" s="2">
        <v>42045.510999999999</v>
      </c>
      <c r="C2325" s="3" t="s">
        <v>5007</v>
      </c>
      <c r="D2325" t="s">
        <v>5014</v>
      </c>
      <c r="E2325" t="s">
        <v>5018</v>
      </c>
      <c r="F2325" t="s">
        <v>5018</v>
      </c>
      <c r="G2325">
        <v>88</v>
      </c>
      <c r="H2325" s="5">
        <v>2.5845667542249368E-3</v>
      </c>
      <c r="I2325">
        <v>3</v>
      </c>
      <c r="J2325" t="b">
        <f>AND(CCData[[#This Row],[Date]]&gt;=Calculation!$E$3,CCData[[#This Row],[Date]]&lt;Calculation!$E$3+7)</f>
        <v>0</v>
      </c>
    </row>
    <row r="2326" spans="1:10">
      <c r="A2326" t="s">
        <v>2325</v>
      </c>
      <c r="B2326" s="2">
        <v>42045.514000000003</v>
      </c>
      <c r="C2326" s="3" t="s">
        <v>5009</v>
      </c>
      <c r="D2326" t="s">
        <v>5015</v>
      </c>
      <c r="E2326" t="s">
        <v>5018</v>
      </c>
      <c r="F2326" t="s">
        <v>5018</v>
      </c>
      <c r="G2326">
        <v>28</v>
      </c>
      <c r="H2326" s="5">
        <v>1.3625437656938717E-3</v>
      </c>
      <c r="I2326">
        <v>3</v>
      </c>
      <c r="J2326" t="b">
        <f>AND(CCData[[#This Row],[Date]]&gt;=Calculation!$E$3,CCData[[#This Row],[Date]]&lt;Calculation!$E$3+7)</f>
        <v>0</v>
      </c>
    </row>
    <row r="2327" spans="1:10">
      <c r="A2327" t="s">
        <v>2326</v>
      </c>
      <c r="B2327" s="2">
        <v>42045.514000000003</v>
      </c>
      <c r="C2327" s="3" t="s">
        <v>5004</v>
      </c>
      <c r="D2327" t="s">
        <v>5013</v>
      </c>
      <c r="E2327" t="s">
        <v>5019</v>
      </c>
      <c r="F2327" t="s">
        <v>5019</v>
      </c>
      <c r="G2327" t="s">
        <v>5022</v>
      </c>
      <c r="H2327" s="5" t="s">
        <v>5022</v>
      </c>
      <c r="I2327" t="s">
        <v>5022</v>
      </c>
      <c r="J2327" t="b">
        <f>AND(CCData[[#This Row],[Date]]&gt;=Calculation!$E$3,CCData[[#This Row],[Date]]&lt;Calculation!$E$3+7)</f>
        <v>0</v>
      </c>
    </row>
    <row r="2328" spans="1:10">
      <c r="A2328" t="s">
        <v>2327</v>
      </c>
      <c r="B2328" s="2">
        <v>42045.516000000003</v>
      </c>
      <c r="C2328" s="3" t="s">
        <v>5007</v>
      </c>
      <c r="D2328" t="s">
        <v>5012</v>
      </c>
      <c r="E2328" t="s">
        <v>5019</v>
      </c>
      <c r="F2328" t="s">
        <v>5019</v>
      </c>
      <c r="G2328" t="s">
        <v>5022</v>
      </c>
      <c r="H2328" s="5" t="s">
        <v>5022</v>
      </c>
      <c r="I2328" t="s">
        <v>5022</v>
      </c>
      <c r="J2328" t="b">
        <f>AND(CCData[[#This Row],[Date]]&gt;=Calculation!$E$3,CCData[[#This Row],[Date]]&lt;Calculation!$E$3+7)</f>
        <v>0</v>
      </c>
    </row>
    <row r="2329" spans="1:10">
      <c r="A2329" t="s">
        <v>2328</v>
      </c>
      <c r="B2329" s="2">
        <v>42045.516000000003</v>
      </c>
      <c r="C2329" s="3" t="s">
        <v>5009</v>
      </c>
      <c r="D2329" t="s">
        <v>5012</v>
      </c>
      <c r="E2329" t="s">
        <v>5018</v>
      </c>
      <c r="F2329" t="s">
        <v>5018</v>
      </c>
      <c r="G2329">
        <v>103</v>
      </c>
      <c r="H2329" s="5">
        <v>5.9739927612052323E-4</v>
      </c>
      <c r="I2329">
        <v>2</v>
      </c>
      <c r="J2329" t="b">
        <f>AND(CCData[[#This Row],[Date]]&gt;=Calculation!$E$3,CCData[[#This Row],[Date]]&lt;Calculation!$E$3+7)</f>
        <v>0</v>
      </c>
    </row>
    <row r="2330" spans="1:10">
      <c r="A2330" t="s">
        <v>2329</v>
      </c>
      <c r="B2330" s="2">
        <v>42045.533000000003</v>
      </c>
      <c r="C2330" s="3" t="s">
        <v>5008</v>
      </c>
      <c r="D2330" t="s">
        <v>5013</v>
      </c>
      <c r="E2330" t="s">
        <v>5018</v>
      </c>
      <c r="F2330" t="s">
        <v>5018</v>
      </c>
      <c r="G2330">
        <v>11</v>
      </c>
      <c r="H2330" s="5">
        <v>7.1578010384420099E-4</v>
      </c>
      <c r="I2330">
        <v>1</v>
      </c>
      <c r="J2330" t="b">
        <f>AND(CCData[[#This Row],[Date]]&gt;=Calculation!$E$3,CCData[[#This Row],[Date]]&lt;Calculation!$E$3+7)</f>
        <v>0</v>
      </c>
    </row>
    <row r="2331" spans="1:10">
      <c r="A2331" t="s">
        <v>2330</v>
      </c>
      <c r="B2331" s="2">
        <v>42045.533000000003</v>
      </c>
      <c r="C2331" s="3" t="s">
        <v>5010</v>
      </c>
      <c r="D2331" t="s">
        <v>5015</v>
      </c>
      <c r="E2331" t="s">
        <v>5019</v>
      </c>
      <c r="F2331" t="s">
        <v>5019</v>
      </c>
      <c r="G2331" t="s">
        <v>5022</v>
      </c>
      <c r="H2331" s="5" t="s">
        <v>5022</v>
      </c>
      <c r="I2331" t="s">
        <v>5022</v>
      </c>
      <c r="J2331" t="b">
        <f>AND(CCData[[#This Row],[Date]]&gt;=Calculation!$E$3,CCData[[#This Row],[Date]]&lt;Calculation!$E$3+7)</f>
        <v>0</v>
      </c>
    </row>
    <row r="2332" spans="1:10">
      <c r="A2332" t="s">
        <v>2331</v>
      </c>
      <c r="B2332" s="2">
        <v>42045.540999999997</v>
      </c>
      <c r="C2332" s="3" t="s">
        <v>5004</v>
      </c>
      <c r="D2332" t="s">
        <v>5014</v>
      </c>
      <c r="E2332" t="s">
        <v>5018</v>
      </c>
      <c r="F2332" t="s">
        <v>5018</v>
      </c>
      <c r="G2332">
        <v>65</v>
      </c>
      <c r="H2332" s="5">
        <v>1.8702689566091348E-3</v>
      </c>
      <c r="I2332">
        <v>5</v>
      </c>
      <c r="J2332" t="b">
        <f>AND(CCData[[#This Row],[Date]]&gt;=Calculation!$E$3,CCData[[#This Row],[Date]]&lt;Calculation!$E$3+7)</f>
        <v>0</v>
      </c>
    </row>
    <row r="2333" spans="1:10">
      <c r="A2333" t="s">
        <v>2332</v>
      </c>
      <c r="B2333" s="2">
        <v>42045.540999999997</v>
      </c>
      <c r="C2333" s="3" t="s">
        <v>5010</v>
      </c>
      <c r="D2333" t="s">
        <v>5014</v>
      </c>
      <c r="E2333" t="s">
        <v>5018</v>
      </c>
      <c r="F2333" t="s">
        <v>5019</v>
      </c>
      <c r="G2333">
        <v>46</v>
      </c>
      <c r="H2333" s="5">
        <v>4.2595275478901759E-3</v>
      </c>
      <c r="I2333">
        <v>2</v>
      </c>
      <c r="J2333" t="b">
        <f>AND(CCData[[#This Row],[Date]]&gt;=Calculation!$E$3,CCData[[#This Row],[Date]]&lt;Calculation!$E$3+7)</f>
        <v>0</v>
      </c>
    </row>
    <row r="2334" spans="1:10">
      <c r="A2334" t="s">
        <v>2333</v>
      </c>
      <c r="B2334" s="2">
        <v>42045.544999999998</v>
      </c>
      <c r="C2334" s="3" t="s">
        <v>5005</v>
      </c>
      <c r="D2334" t="s">
        <v>5014</v>
      </c>
      <c r="E2334" t="s">
        <v>5018</v>
      </c>
      <c r="F2334" t="s">
        <v>5018</v>
      </c>
      <c r="G2334">
        <v>77</v>
      </c>
      <c r="H2334" s="5">
        <v>4.4148744339692417E-3</v>
      </c>
      <c r="I2334">
        <v>1</v>
      </c>
      <c r="J2334" t="b">
        <f>AND(CCData[[#This Row],[Date]]&gt;=Calculation!$E$3,CCData[[#This Row],[Date]]&lt;Calculation!$E$3+7)</f>
        <v>0</v>
      </c>
    </row>
    <row r="2335" spans="1:10">
      <c r="A2335" t="s">
        <v>2334</v>
      </c>
      <c r="B2335" s="2">
        <v>42045.544999999998</v>
      </c>
      <c r="C2335" s="3" t="s">
        <v>5010</v>
      </c>
      <c r="D2335" t="s">
        <v>5012</v>
      </c>
      <c r="E2335" t="s">
        <v>5018</v>
      </c>
      <c r="F2335" t="s">
        <v>5019</v>
      </c>
      <c r="G2335">
        <v>53</v>
      </c>
      <c r="H2335" s="5">
        <v>4.0132457843518087E-3</v>
      </c>
      <c r="I2335">
        <v>2</v>
      </c>
      <c r="J2335" t="b">
        <f>AND(CCData[[#This Row],[Date]]&gt;=Calculation!$E$3,CCData[[#This Row],[Date]]&lt;Calculation!$E$3+7)</f>
        <v>0</v>
      </c>
    </row>
    <row r="2336" spans="1:10">
      <c r="A2336" t="s">
        <v>2335</v>
      </c>
      <c r="B2336" s="2">
        <v>42045.544999999998</v>
      </c>
      <c r="C2336" s="3" t="s">
        <v>5007</v>
      </c>
      <c r="D2336" t="s">
        <v>5014</v>
      </c>
      <c r="E2336" t="s">
        <v>5018</v>
      </c>
      <c r="F2336" t="s">
        <v>5018</v>
      </c>
      <c r="G2336">
        <v>30</v>
      </c>
      <c r="H2336" s="5">
        <v>1.6289844669104038E-3</v>
      </c>
      <c r="I2336">
        <v>4</v>
      </c>
      <c r="J2336" t="b">
        <f>AND(CCData[[#This Row],[Date]]&gt;=Calculation!$E$3,CCData[[#This Row],[Date]]&lt;Calculation!$E$3+7)</f>
        <v>0</v>
      </c>
    </row>
    <row r="2337" spans="1:10">
      <c r="A2337" t="s">
        <v>2336</v>
      </c>
      <c r="B2337" s="2">
        <v>42045.544999999998</v>
      </c>
      <c r="C2337" s="3" t="s">
        <v>5008</v>
      </c>
      <c r="D2337" t="s">
        <v>5015</v>
      </c>
      <c r="E2337" t="s">
        <v>5018</v>
      </c>
      <c r="F2337" t="s">
        <v>5018</v>
      </c>
      <c r="G2337">
        <v>106</v>
      </c>
      <c r="H2337" s="5">
        <v>1.7689250140872697E-3</v>
      </c>
      <c r="I2337">
        <v>2</v>
      </c>
      <c r="J2337" t="b">
        <f>AND(CCData[[#This Row],[Date]]&gt;=Calculation!$E$3,CCData[[#This Row],[Date]]&lt;Calculation!$E$3+7)</f>
        <v>0</v>
      </c>
    </row>
    <row r="2338" spans="1:10">
      <c r="A2338" t="s">
        <v>2337</v>
      </c>
      <c r="B2338" s="2">
        <v>42045.574000000001</v>
      </c>
      <c r="C2338" s="3" t="s">
        <v>5008</v>
      </c>
      <c r="D2338" t="s">
        <v>5016</v>
      </c>
      <c r="E2338" t="s">
        <v>5018</v>
      </c>
      <c r="F2338" t="s">
        <v>5018</v>
      </c>
      <c r="G2338">
        <v>13</v>
      </c>
      <c r="H2338" s="5">
        <v>4.0474467558828386E-3</v>
      </c>
      <c r="I2338">
        <v>4</v>
      </c>
      <c r="J2338" t="b">
        <f>AND(CCData[[#This Row],[Date]]&gt;=Calculation!$E$3,CCData[[#This Row],[Date]]&lt;Calculation!$E$3+7)</f>
        <v>0</v>
      </c>
    </row>
    <row r="2339" spans="1:10">
      <c r="A2339" t="s">
        <v>2338</v>
      </c>
      <c r="B2339" s="2">
        <v>42045.574000000001</v>
      </c>
      <c r="C2339" s="3" t="s">
        <v>5009</v>
      </c>
      <c r="D2339" t="s">
        <v>5012</v>
      </c>
      <c r="E2339" t="s">
        <v>5018</v>
      </c>
      <c r="F2339" t="s">
        <v>5018</v>
      </c>
      <c r="G2339">
        <v>45</v>
      </c>
      <c r="H2339" s="5">
        <v>3.9033963960643865E-3</v>
      </c>
      <c r="I2339">
        <v>5</v>
      </c>
      <c r="J2339" t="b">
        <f>AND(CCData[[#This Row],[Date]]&gt;=Calculation!$E$3,CCData[[#This Row],[Date]]&lt;Calculation!$E$3+7)</f>
        <v>0</v>
      </c>
    </row>
    <row r="2340" spans="1:10">
      <c r="A2340" t="s">
        <v>2339</v>
      </c>
      <c r="B2340" s="2">
        <v>42045.59</v>
      </c>
      <c r="C2340" s="3" t="s">
        <v>5005</v>
      </c>
      <c r="D2340" t="s">
        <v>5016</v>
      </c>
      <c r="E2340" t="s">
        <v>5019</v>
      </c>
      <c r="F2340" t="s">
        <v>5019</v>
      </c>
      <c r="G2340" t="s">
        <v>5022</v>
      </c>
      <c r="H2340" s="5" t="s">
        <v>5022</v>
      </c>
      <c r="I2340" t="s">
        <v>5022</v>
      </c>
      <c r="J2340" t="b">
        <f>AND(CCData[[#This Row],[Date]]&gt;=Calculation!$E$3,CCData[[#This Row],[Date]]&lt;Calculation!$E$3+7)</f>
        <v>0</v>
      </c>
    </row>
    <row r="2341" spans="1:10">
      <c r="A2341" t="s">
        <v>2340</v>
      </c>
      <c r="B2341" s="2">
        <v>42045.59</v>
      </c>
      <c r="C2341" s="3" t="s">
        <v>5006</v>
      </c>
      <c r="D2341" t="s">
        <v>5016</v>
      </c>
      <c r="E2341" t="s">
        <v>5018</v>
      </c>
      <c r="F2341" t="s">
        <v>5018</v>
      </c>
      <c r="G2341">
        <v>19</v>
      </c>
      <c r="H2341" s="5">
        <v>1.2587271987483876E-3</v>
      </c>
      <c r="I2341">
        <v>5</v>
      </c>
      <c r="J2341" t="b">
        <f>AND(CCData[[#This Row],[Date]]&gt;=Calculation!$E$3,CCData[[#This Row],[Date]]&lt;Calculation!$E$3+7)</f>
        <v>0</v>
      </c>
    </row>
    <row r="2342" spans="1:10">
      <c r="A2342" t="s">
        <v>2341</v>
      </c>
      <c r="B2342" s="2">
        <v>42045.629000000001</v>
      </c>
      <c r="C2342" s="3" t="s">
        <v>5004</v>
      </c>
      <c r="D2342" t="s">
        <v>5014</v>
      </c>
      <c r="E2342" t="s">
        <v>5018</v>
      </c>
      <c r="F2342" t="s">
        <v>5018</v>
      </c>
      <c r="G2342">
        <v>64</v>
      </c>
      <c r="H2342" s="5">
        <v>1.9624470563387826E-3</v>
      </c>
      <c r="I2342">
        <v>5</v>
      </c>
      <c r="J2342" t="b">
        <f>AND(CCData[[#This Row],[Date]]&gt;=Calculation!$E$3,CCData[[#This Row],[Date]]&lt;Calculation!$E$3+7)</f>
        <v>0</v>
      </c>
    </row>
    <row r="2343" spans="1:10">
      <c r="A2343" t="s">
        <v>2342</v>
      </c>
      <c r="B2343" s="2">
        <v>42045.629000000001</v>
      </c>
      <c r="C2343" s="3" t="s">
        <v>5010</v>
      </c>
      <c r="D2343" t="s">
        <v>5016</v>
      </c>
      <c r="E2343" t="s">
        <v>5018</v>
      </c>
      <c r="F2343" t="s">
        <v>5019</v>
      </c>
      <c r="G2343">
        <v>47</v>
      </c>
      <c r="H2343" s="5">
        <v>1.4010588849616911E-3</v>
      </c>
      <c r="I2343">
        <v>5</v>
      </c>
      <c r="J2343" t="b">
        <f>AND(CCData[[#This Row],[Date]]&gt;=Calculation!$E$3,CCData[[#This Row],[Date]]&lt;Calculation!$E$3+7)</f>
        <v>0</v>
      </c>
    </row>
    <row r="2344" spans="1:10">
      <c r="A2344" t="s">
        <v>2343</v>
      </c>
      <c r="B2344" s="2">
        <v>42045.656999999999</v>
      </c>
      <c r="C2344" s="3" t="s">
        <v>5006</v>
      </c>
      <c r="D2344" t="s">
        <v>5014</v>
      </c>
      <c r="E2344" t="s">
        <v>5018</v>
      </c>
      <c r="F2344" t="s">
        <v>5018</v>
      </c>
      <c r="G2344">
        <v>120</v>
      </c>
      <c r="H2344" s="5">
        <v>6.5202525518006488E-4</v>
      </c>
      <c r="I2344">
        <v>3</v>
      </c>
      <c r="J2344" t="b">
        <f>AND(CCData[[#This Row],[Date]]&gt;=Calculation!$E$3,CCData[[#This Row],[Date]]&lt;Calculation!$E$3+7)</f>
        <v>0</v>
      </c>
    </row>
    <row r="2345" spans="1:10">
      <c r="A2345" t="s">
        <v>2344</v>
      </c>
      <c r="B2345" s="2">
        <v>42045.656999999999</v>
      </c>
      <c r="C2345" s="3" t="s">
        <v>5005</v>
      </c>
      <c r="D2345" t="s">
        <v>5012</v>
      </c>
      <c r="E2345" t="s">
        <v>5018</v>
      </c>
      <c r="F2345" t="s">
        <v>5018</v>
      </c>
      <c r="G2345">
        <v>85</v>
      </c>
      <c r="H2345" s="5">
        <v>1.4924948683726015E-3</v>
      </c>
      <c r="I2345">
        <v>3</v>
      </c>
      <c r="J2345" t="b">
        <f>AND(CCData[[#This Row],[Date]]&gt;=Calculation!$E$3,CCData[[#This Row],[Date]]&lt;Calculation!$E$3+7)</f>
        <v>0</v>
      </c>
    </row>
    <row r="2346" spans="1:10">
      <c r="A2346" t="s">
        <v>2345</v>
      </c>
      <c r="B2346" s="2">
        <v>42045.682000000001</v>
      </c>
      <c r="C2346" s="3" t="s">
        <v>5010</v>
      </c>
      <c r="D2346" t="s">
        <v>5012</v>
      </c>
      <c r="E2346" t="s">
        <v>5018</v>
      </c>
      <c r="F2346" t="s">
        <v>5018</v>
      </c>
      <c r="G2346">
        <v>64</v>
      </c>
      <c r="H2346" s="5">
        <v>1.12862157418463E-3</v>
      </c>
      <c r="I2346">
        <v>3</v>
      </c>
      <c r="J2346" t="b">
        <f>AND(CCData[[#This Row],[Date]]&gt;=Calculation!$E$3,CCData[[#This Row],[Date]]&lt;Calculation!$E$3+7)</f>
        <v>0</v>
      </c>
    </row>
    <row r="2347" spans="1:10">
      <c r="A2347" t="s">
        <v>2346</v>
      </c>
      <c r="B2347" s="2">
        <v>42045.682000000001</v>
      </c>
      <c r="C2347" s="3" t="s">
        <v>5003</v>
      </c>
      <c r="D2347" t="s">
        <v>5015</v>
      </c>
      <c r="E2347" t="s">
        <v>5019</v>
      </c>
      <c r="F2347" t="s">
        <v>5019</v>
      </c>
      <c r="G2347" t="s">
        <v>5022</v>
      </c>
      <c r="H2347" s="5" t="s">
        <v>5022</v>
      </c>
      <c r="I2347" t="s">
        <v>5022</v>
      </c>
      <c r="J2347" t="b">
        <f>AND(CCData[[#This Row],[Date]]&gt;=Calculation!$E$3,CCData[[#This Row],[Date]]&lt;Calculation!$E$3+7)</f>
        <v>0</v>
      </c>
    </row>
    <row r="2348" spans="1:10">
      <c r="A2348" t="s">
        <v>2347</v>
      </c>
      <c r="B2348" s="2">
        <v>42045.684999999998</v>
      </c>
      <c r="C2348" s="3" t="s">
        <v>5009</v>
      </c>
      <c r="D2348" t="s">
        <v>5013</v>
      </c>
      <c r="E2348" t="s">
        <v>5018</v>
      </c>
      <c r="F2348" t="s">
        <v>5018</v>
      </c>
      <c r="G2348">
        <v>73</v>
      </c>
      <c r="H2348" s="5">
        <v>4.2988965451702865E-3</v>
      </c>
      <c r="I2348">
        <v>5</v>
      </c>
      <c r="J2348" t="b">
        <f>AND(CCData[[#This Row],[Date]]&gt;=Calculation!$E$3,CCData[[#This Row],[Date]]&lt;Calculation!$E$3+7)</f>
        <v>0</v>
      </c>
    </row>
    <row r="2349" spans="1:10">
      <c r="A2349" t="s">
        <v>2348</v>
      </c>
      <c r="B2349" s="2">
        <v>42045.684999999998</v>
      </c>
      <c r="C2349" s="3" t="s">
        <v>5004</v>
      </c>
      <c r="D2349" t="s">
        <v>5013</v>
      </c>
      <c r="E2349" t="s">
        <v>5019</v>
      </c>
      <c r="F2349" t="s">
        <v>5019</v>
      </c>
      <c r="G2349" t="s">
        <v>5022</v>
      </c>
      <c r="H2349" s="5" t="s">
        <v>5022</v>
      </c>
      <c r="I2349" t="s">
        <v>5022</v>
      </c>
      <c r="J2349" t="b">
        <f>AND(CCData[[#This Row],[Date]]&gt;=Calculation!$E$3,CCData[[#This Row],[Date]]&lt;Calculation!$E$3+7)</f>
        <v>0</v>
      </c>
    </row>
    <row r="2350" spans="1:10">
      <c r="A2350" t="s">
        <v>2349</v>
      </c>
      <c r="B2350" s="2">
        <v>42045.686000000002</v>
      </c>
      <c r="C2350" s="3" t="s">
        <v>5008</v>
      </c>
      <c r="D2350" t="s">
        <v>5013</v>
      </c>
      <c r="E2350" t="s">
        <v>5019</v>
      </c>
      <c r="F2350" t="s">
        <v>5019</v>
      </c>
      <c r="G2350" t="s">
        <v>5022</v>
      </c>
      <c r="H2350" s="5" t="s">
        <v>5022</v>
      </c>
      <c r="I2350" t="s">
        <v>5022</v>
      </c>
      <c r="J2350" t="b">
        <f>AND(CCData[[#This Row],[Date]]&gt;=Calculation!$E$3,CCData[[#This Row],[Date]]&lt;Calculation!$E$3+7)</f>
        <v>0</v>
      </c>
    </row>
    <row r="2351" spans="1:10">
      <c r="A2351" t="s">
        <v>2350</v>
      </c>
      <c r="B2351" s="2">
        <v>42045.686000000002</v>
      </c>
      <c r="C2351" s="3" t="s">
        <v>5009</v>
      </c>
      <c r="D2351" t="s">
        <v>5012</v>
      </c>
      <c r="E2351" t="s">
        <v>5018</v>
      </c>
      <c r="F2351" t="s">
        <v>5018</v>
      </c>
      <c r="G2351">
        <v>122</v>
      </c>
      <c r="H2351" s="5">
        <v>3.1833011780462873E-3</v>
      </c>
      <c r="I2351">
        <v>4</v>
      </c>
      <c r="J2351" t="b">
        <f>AND(CCData[[#This Row],[Date]]&gt;=Calculation!$E$3,CCData[[#This Row],[Date]]&lt;Calculation!$E$3+7)</f>
        <v>0</v>
      </c>
    </row>
    <row r="2352" spans="1:10">
      <c r="A2352" t="s">
        <v>2351</v>
      </c>
      <c r="B2352" s="2">
        <v>42045.686000000002</v>
      </c>
      <c r="C2352" s="3" t="s">
        <v>5010</v>
      </c>
      <c r="D2352" t="s">
        <v>5012</v>
      </c>
      <c r="E2352" t="s">
        <v>5019</v>
      </c>
      <c r="F2352" t="s">
        <v>5019</v>
      </c>
      <c r="G2352" t="s">
        <v>5022</v>
      </c>
      <c r="H2352" s="5" t="s">
        <v>5022</v>
      </c>
      <c r="I2352" t="s">
        <v>5022</v>
      </c>
      <c r="J2352" t="b">
        <f>AND(CCData[[#This Row],[Date]]&gt;=Calculation!$E$3,CCData[[#This Row],[Date]]&lt;Calculation!$E$3+7)</f>
        <v>0</v>
      </c>
    </row>
    <row r="2353" spans="1:10">
      <c r="A2353" t="s">
        <v>2352</v>
      </c>
      <c r="B2353" s="2">
        <v>42045.686000000002</v>
      </c>
      <c r="C2353" s="3" t="s">
        <v>5003</v>
      </c>
      <c r="D2353" t="s">
        <v>5012</v>
      </c>
      <c r="E2353" t="s">
        <v>5019</v>
      </c>
      <c r="F2353" t="s">
        <v>5019</v>
      </c>
      <c r="G2353" t="s">
        <v>5022</v>
      </c>
      <c r="H2353" s="5" t="s">
        <v>5022</v>
      </c>
      <c r="I2353" t="s">
        <v>5022</v>
      </c>
      <c r="J2353" t="b">
        <f>AND(CCData[[#This Row],[Date]]&gt;=Calculation!$E$3,CCData[[#This Row],[Date]]&lt;Calculation!$E$3+7)</f>
        <v>0</v>
      </c>
    </row>
    <row r="2354" spans="1:10">
      <c r="A2354" t="s">
        <v>2353</v>
      </c>
      <c r="B2354" s="2">
        <v>42045.714</v>
      </c>
      <c r="C2354" s="3" t="s">
        <v>5003</v>
      </c>
      <c r="D2354" t="s">
        <v>5013</v>
      </c>
      <c r="E2354" t="s">
        <v>5018</v>
      </c>
      <c r="F2354" t="s">
        <v>5018</v>
      </c>
      <c r="G2354">
        <v>114</v>
      </c>
      <c r="H2354" s="5">
        <v>4.7896099474440635E-3</v>
      </c>
      <c r="I2354">
        <v>3</v>
      </c>
      <c r="J2354" t="b">
        <f>AND(CCData[[#This Row],[Date]]&gt;=Calculation!$E$3,CCData[[#This Row],[Date]]&lt;Calculation!$E$3+7)</f>
        <v>0</v>
      </c>
    </row>
    <row r="2355" spans="1:10">
      <c r="A2355" t="s">
        <v>2354</v>
      </c>
      <c r="B2355" s="2">
        <v>42045.714</v>
      </c>
      <c r="C2355" s="3" t="s">
        <v>5004</v>
      </c>
      <c r="D2355" t="s">
        <v>5013</v>
      </c>
      <c r="E2355" t="s">
        <v>5018</v>
      </c>
      <c r="F2355" t="s">
        <v>5018</v>
      </c>
      <c r="G2355">
        <v>30</v>
      </c>
      <c r="H2355" s="5">
        <v>4.530523324204264E-3</v>
      </c>
      <c r="I2355">
        <v>1</v>
      </c>
      <c r="J2355" t="b">
        <f>AND(CCData[[#This Row],[Date]]&gt;=Calculation!$E$3,CCData[[#This Row],[Date]]&lt;Calculation!$E$3+7)</f>
        <v>0</v>
      </c>
    </row>
    <row r="2356" spans="1:10">
      <c r="A2356" t="s">
        <v>2355</v>
      </c>
      <c r="B2356" s="2">
        <v>42045.720999999998</v>
      </c>
      <c r="C2356" s="3" t="s">
        <v>5003</v>
      </c>
      <c r="D2356" t="s">
        <v>5015</v>
      </c>
      <c r="E2356" t="s">
        <v>5018</v>
      </c>
      <c r="F2356" t="s">
        <v>5018</v>
      </c>
      <c r="G2356">
        <v>47</v>
      </c>
      <c r="H2356" s="5">
        <v>5.4081108960117618E-4</v>
      </c>
      <c r="I2356">
        <v>4</v>
      </c>
      <c r="J2356" t="b">
        <f>AND(CCData[[#This Row],[Date]]&gt;=Calculation!$E$3,CCData[[#This Row],[Date]]&lt;Calculation!$E$3+7)</f>
        <v>0</v>
      </c>
    </row>
    <row r="2357" spans="1:10">
      <c r="A2357" t="s">
        <v>2356</v>
      </c>
      <c r="B2357" s="2">
        <v>42045.720999999998</v>
      </c>
      <c r="C2357" s="3" t="s">
        <v>5008</v>
      </c>
      <c r="D2357" t="s">
        <v>5014</v>
      </c>
      <c r="E2357" t="s">
        <v>5018</v>
      </c>
      <c r="F2357" t="s">
        <v>5018</v>
      </c>
      <c r="G2357">
        <v>23</v>
      </c>
      <c r="H2357" s="5">
        <v>2.5138504883035987E-3</v>
      </c>
      <c r="I2357">
        <v>2</v>
      </c>
      <c r="J2357" t="b">
        <f>AND(CCData[[#This Row],[Date]]&gt;=Calculation!$E$3,CCData[[#This Row],[Date]]&lt;Calculation!$E$3+7)</f>
        <v>0</v>
      </c>
    </row>
    <row r="2358" spans="1:10">
      <c r="A2358" t="s">
        <v>2357</v>
      </c>
      <c r="B2358" s="2">
        <v>42045.726000000002</v>
      </c>
      <c r="C2358" s="3" t="s">
        <v>5006</v>
      </c>
      <c r="D2358" t="s">
        <v>5014</v>
      </c>
      <c r="E2358" t="s">
        <v>5018</v>
      </c>
      <c r="F2358" t="s">
        <v>5018</v>
      </c>
      <c r="G2358">
        <v>99</v>
      </c>
      <c r="H2358" s="5">
        <v>1.1804296746461527E-3</v>
      </c>
      <c r="I2358">
        <v>3</v>
      </c>
      <c r="J2358" t="b">
        <f>AND(CCData[[#This Row],[Date]]&gt;=Calculation!$E$3,CCData[[#This Row],[Date]]&lt;Calculation!$E$3+7)</f>
        <v>0</v>
      </c>
    </row>
    <row r="2359" spans="1:10">
      <c r="A2359" t="s">
        <v>2358</v>
      </c>
      <c r="B2359" s="2">
        <v>42045.726000000002</v>
      </c>
      <c r="C2359" s="3" t="s">
        <v>5005</v>
      </c>
      <c r="D2359" t="s">
        <v>5012</v>
      </c>
      <c r="E2359" t="s">
        <v>5018</v>
      </c>
      <c r="F2359" t="s">
        <v>5018</v>
      </c>
      <c r="G2359">
        <v>51</v>
      </c>
      <c r="H2359" s="5">
        <v>3.3702692791767828E-3</v>
      </c>
      <c r="I2359">
        <v>4</v>
      </c>
      <c r="J2359" t="b">
        <f>AND(CCData[[#This Row],[Date]]&gt;=Calculation!$E$3,CCData[[#This Row],[Date]]&lt;Calculation!$E$3+7)</f>
        <v>0</v>
      </c>
    </row>
    <row r="2360" spans="1:10">
      <c r="A2360" t="s">
        <v>2359</v>
      </c>
      <c r="B2360" s="2">
        <v>42045.728000000003</v>
      </c>
      <c r="C2360" s="3" t="s">
        <v>5003</v>
      </c>
      <c r="D2360" t="s">
        <v>5012</v>
      </c>
      <c r="E2360" t="s">
        <v>5018</v>
      </c>
      <c r="F2360" t="s">
        <v>5018</v>
      </c>
      <c r="G2360">
        <v>20</v>
      </c>
      <c r="H2360" s="5">
        <v>3.5428800309090136E-3</v>
      </c>
      <c r="I2360">
        <v>1</v>
      </c>
      <c r="J2360" t="b">
        <f>AND(CCData[[#This Row],[Date]]&gt;=Calculation!$E$3,CCData[[#This Row],[Date]]&lt;Calculation!$E$3+7)</f>
        <v>0</v>
      </c>
    </row>
    <row r="2361" spans="1:10">
      <c r="A2361" t="s">
        <v>2360</v>
      </c>
      <c r="B2361" s="2">
        <v>42045.728000000003</v>
      </c>
      <c r="C2361" s="3" t="s">
        <v>5007</v>
      </c>
      <c r="D2361" t="s">
        <v>5015</v>
      </c>
      <c r="E2361" t="s">
        <v>5018</v>
      </c>
      <c r="F2361" t="s">
        <v>5018</v>
      </c>
      <c r="G2361">
        <v>25</v>
      </c>
      <c r="H2361" s="5">
        <v>4.3389891944973242E-3</v>
      </c>
      <c r="I2361">
        <v>5</v>
      </c>
      <c r="J2361" t="b">
        <f>AND(CCData[[#This Row],[Date]]&gt;=Calculation!$E$3,CCData[[#This Row],[Date]]&lt;Calculation!$E$3+7)</f>
        <v>0</v>
      </c>
    </row>
    <row r="2362" spans="1:10">
      <c r="A2362" t="s">
        <v>2361</v>
      </c>
      <c r="B2362" s="2">
        <v>42045.733</v>
      </c>
      <c r="C2362" s="3" t="s">
        <v>5007</v>
      </c>
      <c r="D2362" t="s">
        <v>5012</v>
      </c>
      <c r="E2362" t="s">
        <v>5019</v>
      </c>
      <c r="F2362" t="s">
        <v>5019</v>
      </c>
      <c r="G2362" t="s">
        <v>5022</v>
      </c>
      <c r="H2362" s="5" t="s">
        <v>5022</v>
      </c>
      <c r="I2362" t="s">
        <v>5022</v>
      </c>
      <c r="J2362" t="b">
        <f>AND(CCData[[#This Row],[Date]]&gt;=Calculation!$E$3,CCData[[#This Row],[Date]]&lt;Calculation!$E$3+7)</f>
        <v>0</v>
      </c>
    </row>
    <row r="2363" spans="1:10">
      <c r="A2363" t="s">
        <v>2362</v>
      </c>
      <c r="B2363" s="2">
        <v>42045.733</v>
      </c>
      <c r="C2363" s="3" t="s">
        <v>5007</v>
      </c>
      <c r="D2363" t="s">
        <v>5012</v>
      </c>
      <c r="E2363" t="s">
        <v>5018</v>
      </c>
      <c r="F2363" t="s">
        <v>5018</v>
      </c>
      <c r="G2363">
        <v>69</v>
      </c>
      <c r="H2363" s="5">
        <v>2.96227832300584E-3</v>
      </c>
      <c r="I2363">
        <v>3</v>
      </c>
      <c r="J2363" t="b">
        <f>AND(CCData[[#This Row],[Date]]&gt;=Calculation!$E$3,CCData[[#This Row],[Date]]&lt;Calculation!$E$3+7)</f>
        <v>0</v>
      </c>
    </row>
    <row r="2364" spans="1:10">
      <c r="A2364" t="s">
        <v>2363</v>
      </c>
      <c r="B2364" s="2">
        <v>42045.739000000001</v>
      </c>
      <c r="C2364" s="3" t="s">
        <v>5010</v>
      </c>
      <c r="D2364" t="s">
        <v>5015</v>
      </c>
      <c r="E2364" t="s">
        <v>5018</v>
      </c>
      <c r="F2364" t="s">
        <v>5018</v>
      </c>
      <c r="G2364">
        <v>118</v>
      </c>
      <c r="H2364" s="5">
        <v>3.930627776385939E-3</v>
      </c>
      <c r="I2364">
        <v>4</v>
      </c>
      <c r="J2364" t="b">
        <f>AND(CCData[[#This Row],[Date]]&gt;=Calculation!$E$3,CCData[[#This Row],[Date]]&lt;Calculation!$E$3+7)</f>
        <v>0</v>
      </c>
    </row>
    <row r="2365" spans="1:10">
      <c r="A2365" t="s">
        <v>2364</v>
      </c>
      <c r="B2365" s="2">
        <v>42045.739000000001</v>
      </c>
      <c r="C2365" s="3" t="s">
        <v>5003</v>
      </c>
      <c r="D2365" t="s">
        <v>5014</v>
      </c>
      <c r="E2365" t="s">
        <v>5018</v>
      </c>
      <c r="F2365" t="s">
        <v>5018</v>
      </c>
      <c r="G2365">
        <v>108</v>
      </c>
      <c r="H2365" s="5">
        <v>3.2410550947567091E-3</v>
      </c>
      <c r="I2365">
        <v>5</v>
      </c>
      <c r="J2365" t="b">
        <f>AND(CCData[[#This Row],[Date]]&gt;=Calculation!$E$3,CCData[[#This Row],[Date]]&lt;Calculation!$E$3+7)</f>
        <v>0</v>
      </c>
    </row>
    <row r="2366" spans="1:10">
      <c r="A2366" t="s">
        <v>2365</v>
      </c>
      <c r="B2366" s="2">
        <v>42046.379000000001</v>
      </c>
      <c r="C2366" s="3" t="s">
        <v>5009</v>
      </c>
      <c r="D2366" t="s">
        <v>5016</v>
      </c>
      <c r="E2366" t="s">
        <v>5018</v>
      </c>
      <c r="F2366" t="s">
        <v>5018</v>
      </c>
      <c r="G2366">
        <v>59</v>
      </c>
      <c r="H2366" s="5">
        <v>3.1384214847453139E-3</v>
      </c>
      <c r="I2366">
        <v>5</v>
      </c>
      <c r="J2366" t="b">
        <f>AND(CCData[[#This Row],[Date]]&gt;=Calculation!$E$3,CCData[[#This Row],[Date]]&lt;Calculation!$E$3+7)</f>
        <v>0</v>
      </c>
    </row>
    <row r="2367" spans="1:10">
      <c r="A2367" t="s">
        <v>2366</v>
      </c>
      <c r="B2367" s="2">
        <v>42046.379000000001</v>
      </c>
      <c r="C2367" s="3" t="s">
        <v>5003</v>
      </c>
      <c r="D2367" t="s">
        <v>5013</v>
      </c>
      <c r="E2367" t="s">
        <v>5018</v>
      </c>
      <c r="F2367" t="s">
        <v>5018</v>
      </c>
      <c r="G2367">
        <v>103</v>
      </c>
      <c r="H2367" s="5">
        <v>9.4506580113563584E-4</v>
      </c>
      <c r="I2367">
        <v>3</v>
      </c>
      <c r="J2367" t="b">
        <f>AND(CCData[[#This Row],[Date]]&gt;=Calculation!$E$3,CCData[[#This Row],[Date]]&lt;Calculation!$E$3+7)</f>
        <v>0</v>
      </c>
    </row>
    <row r="2368" spans="1:10">
      <c r="A2368" t="s">
        <v>2367</v>
      </c>
      <c r="B2368" s="2">
        <v>42046.383000000002</v>
      </c>
      <c r="C2368" s="3" t="s">
        <v>5004</v>
      </c>
      <c r="D2368" t="s">
        <v>5014</v>
      </c>
      <c r="E2368" t="s">
        <v>5019</v>
      </c>
      <c r="F2368" t="s">
        <v>5019</v>
      </c>
      <c r="G2368" t="s">
        <v>5022</v>
      </c>
      <c r="H2368" s="5" t="s">
        <v>5022</v>
      </c>
      <c r="I2368" t="s">
        <v>5022</v>
      </c>
      <c r="J2368" t="b">
        <f>AND(CCData[[#This Row],[Date]]&gt;=Calculation!$E$3,CCData[[#This Row],[Date]]&lt;Calculation!$E$3+7)</f>
        <v>0</v>
      </c>
    </row>
    <row r="2369" spans="1:10">
      <c r="A2369" t="s">
        <v>2368</v>
      </c>
      <c r="B2369" s="2">
        <v>42046.383000000002</v>
      </c>
      <c r="C2369" s="3" t="s">
        <v>5007</v>
      </c>
      <c r="D2369" t="s">
        <v>5012</v>
      </c>
      <c r="E2369" t="s">
        <v>5018</v>
      </c>
      <c r="F2369" t="s">
        <v>5018</v>
      </c>
      <c r="G2369">
        <v>112</v>
      </c>
      <c r="H2369" s="5">
        <v>9.7487881081592751E-4</v>
      </c>
      <c r="I2369">
        <v>1</v>
      </c>
      <c r="J2369" t="b">
        <f>AND(CCData[[#This Row],[Date]]&gt;=Calculation!$E$3,CCData[[#This Row],[Date]]&lt;Calculation!$E$3+7)</f>
        <v>0</v>
      </c>
    </row>
    <row r="2370" spans="1:10">
      <c r="A2370" t="s">
        <v>2369</v>
      </c>
      <c r="B2370" s="2">
        <v>42046.398999999998</v>
      </c>
      <c r="C2370" s="3" t="s">
        <v>5003</v>
      </c>
      <c r="D2370" t="s">
        <v>5016</v>
      </c>
      <c r="E2370" t="s">
        <v>5018</v>
      </c>
      <c r="F2370" t="s">
        <v>5018</v>
      </c>
      <c r="G2370">
        <v>38</v>
      </c>
      <c r="H2370" s="5">
        <v>2.4263106087794059E-3</v>
      </c>
      <c r="I2370">
        <v>5</v>
      </c>
      <c r="J2370" t="b">
        <f>AND(CCData[[#This Row],[Date]]&gt;=Calculation!$E$3,CCData[[#This Row],[Date]]&lt;Calculation!$E$3+7)</f>
        <v>0</v>
      </c>
    </row>
    <row r="2371" spans="1:10">
      <c r="A2371" t="s">
        <v>2370</v>
      </c>
      <c r="B2371" s="2">
        <v>42046.398999999998</v>
      </c>
      <c r="C2371" s="3" t="s">
        <v>5007</v>
      </c>
      <c r="D2371" t="s">
        <v>5012</v>
      </c>
      <c r="E2371" t="s">
        <v>5018</v>
      </c>
      <c r="F2371" t="s">
        <v>5018</v>
      </c>
      <c r="G2371">
        <v>81</v>
      </c>
      <c r="H2371" s="5">
        <v>3.2900505981844678E-3</v>
      </c>
      <c r="I2371">
        <v>3</v>
      </c>
      <c r="J2371" t="b">
        <f>AND(CCData[[#This Row],[Date]]&gt;=Calculation!$E$3,CCData[[#This Row],[Date]]&lt;Calculation!$E$3+7)</f>
        <v>0</v>
      </c>
    </row>
    <row r="2372" spans="1:10">
      <c r="A2372" t="s">
        <v>2371</v>
      </c>
      <c r="B2372" s="2">
        <v>42046.406000000003</v>
      </c>
      <c r="C2372" s="3" t="s">
        <v>5009</v>
      </c>
      <c r="D2372" t="s">
        <v>5015</v>
      </c>
      <c r="E2372" t="s">
        <v>5018</v>
      </c>
      <c r="F2372" t="s">
        <v>5019</v>
      </c>
      <c r="G2372">
        <v>115</v>
      </c>
      <c r="H2372" s="5">
        <v>2.1052346509825202E-3</v>
      </c>
      <c r="I2372">
        <v>4</v>
      </c>
      <c r="J2372" t="b">
        <f>AND(CCData[[#This Row],[Date]]&gt;=Calculation!$E$3,CCData[[#This Row],[Date]]&lt;Calculation!$E$3+7)</f>
        <v>0</v>
      </c>
    </row>
    <row r="2373" spans="1:10">
      <c r="A2373" t="s">
        <v>2372</v>
      </c>
      <c r="B2373" s="2">
        <v>42046.406000000003</v>
      </c>
      <c r="C2373" s="3" t="s">
        <v>5006</v>
      </c>
      <c r="D2373" t="s">
        <v>5012</v>
      </c>
      <c r="E2373" t="s">
        <v>5019</v>
      </c>
      <c r="F2373" t="s">
        <v>5019</v>
      </c>
      <c r="G2373" t="s">
        <v>5022</v>
      </c>
      <c r="H2373" s="5" t="s">
        <v>5022</v>
      </c>
      <c r="I2373" t="s">
        <v>5022</v>
      </c>
      <c r="J2373" t="b">
        <f>AND(CCData[[#This Row],[Date]]&gt;=Calculation!$E$3,CCData[[#This Row],[Date]]&lt;Calculation!$E$3+7)</f>
        <v>0</v>
      </c>
    </row>
    <row r="2374" spans="1:10">
      <c r="A2374" t="s">
        <v>2373</v>
      </c>
      <c r="B2374" s="2">
        <v>42046.425000000003</v>
      </c>
      <c r="C2374" s="3" t="s">
        <v>5005</v>
      </c>
      <c r="D2374" t="s">
        <v>5012</v>
      </c>
      <c r="E2374" t="s">
        <v>5018</v>
      </c>
      <c r="F2374" t="s">
        <v>5018</v>
      </c>
      <c r="G2374">
        <v>45</v>
      </c>
      <c r="H2374" s="5">
        <v>7.3837020032602402E-4</v>
      </c>
      <c r="I2374">
        <v>4</v>
      </c>
      <c r="J2374" t="b">
        <f>AND(CCData[[#This Row],[Date]]&gt;=Calculation!$E$3,CCData[[#This Row],[Date]]&lt;Calculation!$E$3+7)</f>
        <v>0</v>
      </c>
    </row>
    <row r="2375" spans="1:10">
      <c r="A2375" t="s">
        <v>2374</v>
      </c>
      <c r="B2375" s="2">
        <v>42046.425000000003</v>
      </c>
      <c r="C2375" s="3" t="s">
        <v>5010</v>
      </c>
      <c r="D2375" t="s">
        <v>5015</v>
      </c>
      <c r="E2375" t="s">
        <v>5018</v>
      </c>
      <c r="F2375" t="s">
        <v>5018</v>
      </c>
      <c r="G2375">
        <v>11</v>
      </c>
      <c r="H2375" s="5">
        <v>1.4578864337248391E-3</v>
      </c>
      <c r="I2375">
        <v>5</v>
      </c>
      <c r="J2375" t="b">
        <f>AND(CCData[[#This Row],[Date]]&gt;=Calculation!$E$3,CCData[[#This Row],[Date]]&lt;Calculation!$E$3+7)</f>
        <v>0</v>
      </c>
    </row>
    <row r="2376" spans="1:10">
      <c r="A2376" t="s">
        <v>2375</v>
      </c>
      <c r="B2376" s="2">
        <v>42046.432999999997</v>
      </c>
      <c r="C2376" s="3" t="s">
        <v>5008</v>
      </c>
      <c r="D2376" t="s">
        <v>5016</v>
      </c>
      <c r="E2376" t="s">
        <v>5018</v>
      </c>
      <c r="F2376" t="s">
        <v>5018</v>
      </c>
      <c r="G2376">
        <v>93</v>
      </c>
      <c r="H2376" s="5">
        <v>1.5816205425859271E-3</v>
      </c>
      <c r="I2376">
        <v>1</v>
      </c>
      <c r="J2376" t="b">
        <f>AND(CCData[[#This Row],[Date]]&gt;=Calculation!$E$3,CCData[[#This Row],[Date]]&lt;Calculation!$E$3+7)</f>
        <v>0</v>
      </c>
    </row>
    <row r="2377" spans="1:10">
      <c r="A2377" t="s">
        <v>2376</v>
      </c>
      <c r="B2377" s="2">
        <v>42046.432999999997</v>
      </c>
      <c r="C2377" s="3" t="s">
        <v>5004</v>
      </c>
      <c r="D2377" t="s">
        <v>5016</v>
      </c>
      <c r="E2377" t="s">
        <v>5018</v>
      </c>
      <c r="F2377" t="s">
        <v>5018</v>
      </c>
      <c r="G2377">
        <v>107</v>
      </c>
      <c r="H2377" s="5">
        <v>1.2202744514819123E-3</v>
      </c>
      <c r="I2377">
        <v>5</v>
      </c>
      <c r="J2377" t="b">
        <f>AND(CCData[[#This Row],[Date]]&gt;=Calculation!$E$3,CCData[[#This Row],[Date]]&lt;Calculation!$E$3+7)</f>
        <v>0</v>
      </c>
    </row>
    <row r="2378" spans="1:10">
      <c r="A2378" t="s">
        <v>2377</v>
      </c>
      <c r="B2378" s="2">
        <v>42046.436999999998</v>
      </c>
      <c r="C2378" s="3" t="s">
        <v>5009</v>
      </c>
      <c r="D2378" t="s">
        <v>5014</v>
      </c>
      <c r="E2378" t="s">
        <v>5018</v>
      </c>
      <c r="F2378" t="s">
        <v>5018</v>
      </c>
      <c r="G2378">
        <v>36</v>
      </c>
      <c r="H2378" s="5">
        <v>3.904231956910711E-3</v>
      </c>
      <c r="I2378">
        <v>3</v>
      </c>
      <c r="J2378" t="b">
        <f>AND(CCData[[#This Row],[Date]]&gt;=Calculation!$E$3,CCData[[#This Row],[Date]]&lt;Calculation!$E$3+7)</f>
        <v>0</v>
      </c>
    </row>
    <row r="2379" spans="1:10">
      <c r="A2379" t="s">
        <v>2378</v>
      </c>
      <c r="B2379" s="2">
        <v>42046.436999999998</v>
      </c>
      <c r="C2379" s="3" t="s">
        <v>5006</v>
      </c>
      <c r="D2379" t="s">
        <v>5012</v>
      </c>
      <c r="E2379" t="s">
        <v>5018</v>
      </c>
      <c r="F2379" t="s">
        <v>5018</v>
      </c>
      <c r="G2379">
        <v>81</v>
      </c>
      <c r="H2379" s="5">
        <v>3.0086114566684552E-3</v>
      </c>
      <c r="I2379">
        <v>1</v>
      </c>
      <c r="J2379" t="b">
        <f>AND(CCData[[#This Row],[Date]]&gt;=Calculation!$E$3,CCData[[#This Row],[Date]]&lt;Calculation!$E$3+7)</f>
        <v>0</v>
      </c>
    </row>
    <row r="2380" spans="1:10">
      <c r="A2380" t="s">
        <v>2379</v>
      </c>
      <c r="B2380" s="2">
        <v>42046.462</v>
      </c>
      <c r="C2380" s="3" t="s">
        <v>5006</v>
      </c>
      <c r="D2380" t="s">
        <v>5014</v>
      </c>
      <c r="E2380" t="s">
        <v>5018</v>
      </c>
      <c r="F2380" t="s">
        <v>5018</v>
      </c>
      <c r="G2380">
        <v>58</v>
      </c>
      <c r="H2380" s="5">
        <v>4.5209401762545199E-3</v>
      </c>
      <c r="I2380">
        <v>3</v>
      </c>
      <c r="J2380" t="b">
        <f>AND(CCData[[#This Row],[Date]]&gt;=Calculation!$E$3,CCData[[#This Row],[Date]]&lt;Calculation!$E$3+7)</f>
        <v>0</v>
      </c>
    </row>
    <row r="2381" spans="1:10">
      <c r="A2381" t="s">
        <v>2380</v>
      </c>
      <c r="B2381" s="2">
        <v>42046.462</v>
      </c>
      <c r="C2381" s="3" t="s">
        <v>5003</v>
      </c>
      <c r="D2381" t="s">
        <v>5012</v>
      </c>
      <c r="E2381" t="s">
        <v>5019</v>
      </c>
      <c r="F2381" t="s">
        <v>5019</v>
      </c>
      <c r="G2381" t="s">
        <v>5022</v>
      </c>
      <c r="H2381" s="5" t="s">
        <v>5022</v>
      </c>
      <c r="I2381" t="s">
        <v>5022</v>
      </c>
      <c r="J2381" t="b">
        <f>AND(CCData[[#This Row],[Date]]&gt;=Calculation!$E$3,CCData[[#This Row],[Date]]&lt;Calculation!$E$3+7)</f>
        <v>0</v>
      </c>
    </row>
    <row r="2382" spans="1:10">
      <c r="A2382" t="s">
        <v>2381</v>
      </c>
      <c r="B2382" s="2">
        <v>42046.466999999997</v>
      </c>
      <c r="C2382" s="3" t="s">
        <v>5007</v>
      </c>
      <c r="D2382" t="s">
        <v>5012</v>
      </c>
      <c r="E2382" t="s">
        <v>5018</v>
      </c>
      <c r="F2382" t="s">
        <v>5018</v>
      </c>
      <c r="G2382">
        <v>102</v>
      </c>
      <c r="H2382" s="5">
        <v>4.3194579676544605E-3</v>
      </c>
      <c r="I2382">
        <v>5</v>
      </c>
      <c r="J2382" t="b">
        <f>AND(CCData[[#This Row],[Date]]&gt;=Calculation!$E$3,CCData[[#This Row],[Date]]&lt;Calculation!$E$3+7)</f>
        <v>0</v>
      </c>
    </row>
    <row r="2383" spans="1:10">
      <c r="A2383" t="s">
        <v>2382</v>
      </c>
      <c r="B2383" s="2">
        <v>42046.466999999997</v>
      </c>
      <c r="C2383" s="3" t="s">
        <v>5004</v>
      </c>
      <c r="D2383" t="s">
        <v>5016</v>
      </c>
      <c r="E2383" t="s">
        <v>5018</v>
      </c>
      <c r="F2383" t="s">
        <v>5018</v>
      </c>
      <c r="G2383">
        <v>63</v>
      </c>
      <c r="H2383" s="5">
        <v>4.0685463899667786E-3</v>
      </c>
      <c r="I2383">
        <v>4</v>
      </c>
      <c r="J2383" t="b">
        <f>AND(CCData[[#This Row],[Date]]&gt;=Calculation!$E$3,CCData[[#This Row],[Date]]&lt;Calculation!$E$3+7)</f>
        <v>0</v>
      </c>
    </row>
    <row r="2384" spans="1:10">
      <c r="A2384" t="s">
        <v>2383</v>
      </c>
      <c r="B2384" s="2">
        <v>42046.495999999999</v>
      </c>
      <c r="C2384" s="3" t="s">
        <v>5010</v>
      </c>
      <c r="D2384" t="s">
        <v>5016</v>
      </c>
      <c r="E2384" t="s">
        <v>5018</v>
      </c>
      <c r="F2384" t="s">
        <v>5018</v>
      </c>
      <c r="G2384">
        <v>106</v>
      </c>
      <c r="H2384" s="5">
        <v>4.7960519890654697E-4</v>
      </c>
      <c r="I2384">
        <v>4</v>
      </c>
      <c r="J2384" t="b">
        <f>AND(CCData[[#This Row],[Date]]&gt;=Calculation!$E$3,CCData[[#This Row],[Date]]&lt;Calculation!$E$3+7)</f>
        <v>0</v>
      </c>
    </row>
    <row r="2385" spans="1:10">
      <c r="A2385" t="s">
        <v>2384</v>
      </c>
      <c r="B2385" s="2">
        <v>42046.495999999999</v>
      </c>
      <c r="C2385" s="3" t="s">
        <v>5004</v>
      </c>
      <c r="D2385" t="s">
        <v>5015</v>
      </c>
      <c r="E2385" t="s">
        <v>5019</v>
      </c>
      <c r="F2385" t="s">
        <v>5019</v>
      </c>
      <c r="G2385" t="s">
        <v>5022</v>
      </c>
      <c r="H2385" s="5" t="s">
        <v>5022</v>
      </c>
      <c r="I2385" t="s">
        <v>5022</v>
      </c>
      <c r="J2385" t="b">
        <f>AND(CCData[[#This Row],[Date]]&gt;=Calculation!$E$3,CCData[[#This Row],[Date]]&lt;Calculation!$E$3+7)</f>
        <v>0</v>
      </c>
    </row>
    <row r="2386" spans="1:10">
      <c r="A2386" t="s">
        <v>2385</v>
      </c>
      <c r="B2386" s="2">
        <v>42046.497000000003</v>
      </c>
      <c r="C2386" s="3" t="s">
        <v>5007</v>
      </c>
      <c r="D2386" t="s">
        <v>5014</v>
      </c>
      <c r="E2386" t="s">
        <v>5018</v>
      </c>
      <c r="F2386" t="s">
        <v>5018</v>
      </c>
      <c r="G2386">
        <v>31</v>
      </c>
      <c r="H2386" s="5">
        <v>5.3916974137527935E-4</v>
      </c>
      <c r="I2386">
        <v>4</v>
      </c>
      <c r="J2386" t="b">
        <f>AND(CCData[[#This Row],[Date]]&gt;=Calculation!$E$3,CCData[[#This Row],[Date]]&lt;Calculation!$E$3+7)</f>
        <v>0</v>
      </c>
    </row>
    <row r="2387" spans="1:10">
      <c r="A2387" t="s">
        <v>2386</v>
      </c>
      <c r="B2387" s="2">
        <v>42046.497000000003</v>
      </c>
      <c r="C2387" s="3" t="s">
        <v>5010</v>
      </c>
      <c r="D2387" t="s">
        <v>5012</v>
      </c>
      <c r="E2387" t="s">
        <v>5018</v>
      </c>
      <c r="F2387" t="s">
        <v>5018</v>
      </c>
      <c r="G2387">
        <v>93</v>
      </c>
      <c r="H2387" s="5">
        <v>3.4072049020326348E-3</v>
      </c>
      <c r="I2387">
        <v>5</v>
      </c>
      <c r="J2387" t="b">
        <f>AND(CCData[[#This Row],[Date]]&gt;=Calculation!$E$3,CCData[[#This Row],[Date]]&lt;Calculation!$E$3+7)</f>
        <v>0</v>
      </c>
    </row>
    <row r="2388" spans="1:10">
      <c r="A2388" t="s">
        <v>2387</v>
      </c>
      <c r="B2388" s="2">
        <v>42046.5</v>
      </c>
      <c r="C2388" s="3" t="s">
        <v>5003</v>
      </c>
      <c r="D2388" t="s">
        <v>5014</v>
      </c>
      <c r="E2388" t="s">
        <v>5019</v>
      </c>
      <c r="F2388" t="s">
        <v>5019</v>
      </c>
      <c r="G2388" t="s">
        <v>5022</v>
      </c>
      <c r="H2388" s="5" t="s">
        <v>5022</v>
      </c>
      <c r="I2388" t="s">
        <v>5022</v>
      </c>
      <c r="J2388" t="b">
        <f>AND(CCData[[#This Row],[Date]]&gt;=Calculation!$E$3,CCData[[#This Row],[Date]]&lt;Calculation!$E$3+7)</f>
        <v>0</v>
      </c>
    </row>
    <row r="2389" spans="1:10">
      <c r="A2389" t="s">
        <v>2388</v>
      </c>
      <c r="B2389" s="2">
        <v>42046.5</v>
      </c>
      <c r="C2389" s="3" t="s">
        <v>5004</v>
      </c>
      <c r="D2389" t="s">
        <v>5015</v>
      </c>
      <c r="E2389" t="s">
        <v>5018</v>
      </c>
      <c r="F2389" t="s">
        <v>5018</v>
      </c>
      <c r="G2389">
        <v>66</v>
      </c>
      <c r="H2389" s="5">
        <v>2.2148953172721401E-3</v>
      </c>
      <c r="I2389">
        <v>4</v>
      </c>
      <c r="J2389" t="b">
        <f>AND(CCData[[#This Row],[Date]]&gt;=Calculation!$E$3,CCData[[#This Row],[Date]]&lt;Calculation!$E$3+7)</f>
        <v>0</v>
      </c>
    </row>
    <row r="2390" spans="1:10">
      <c r="A2390" t="s">
        <v>2389</v>
      </c>
      <c r="B2390" s="2">
        <v>42046.5</v>
      </c>
      <c r="C2390" s="3" t="s">
        <v>5004</v>
      </c>
      <c r="D2390" t="s">
        <v>5014</v>
      </c>
      <c r="E2390" t="s">
        <v>5019</v>
      </c>
      <c r="F2390" t="s">
        <v>5019</v>
      </c>
      <c r="G2390" t="s">
        <v>5022</v>
      </c>
      <c r="H2390" s="5" t="s">
        <v>5022</v>
      </c>
      <c r="I2390" t="s">
        <v>5022</v>
      </c>
      <c r="J2390" t="b">
        <f>AND(CCData[[#This Row],[Date]]&gt;=Calculation!$E$3,CCData[[#This Row],[Date]]&lt;Calculation!$E$3+7)</f>
        <v>0</v>
      </c>
    </row>
    <row r="2391" spans="1:10">
      <c r="A2391" t="s">
        <v>2390</v>
      </c>
      <c r="B2391" s="2">
        <v>42046.5</v>
      </c>
      <c r="C2391" s="3" t="s">
        <v>5004</v>
      </c>
      <c r="D2391" t="s">
        <v>5015</v>
      </c>
      <c r="E2391" t="s">
        <v>5019</v>
      </c>
      <c r="F2391" t="s">
        <v>5019</v>
      </c>
      <c r="G2391" t="s">
        <v>5022</v>
      </c>
      <c r="H2391" s="5" t="s">
        <v>5022</v>
      </c>
      <c r="I2391" t="s">
        <v>5022</v>
      </c>
      <c r="J2391" t="b">
        <f>AND(CCData[[#This Row],[Date]]&gt;=Calculation!$E$3,CCData[[#This Row],[Date]]&lt;Calculation!$E$3+7)</f>
        <v>0</v>
      </c>
    </row>
    <row r="2392" spans="1:10">
      <c r="A2392" t="s">
        <v>2391</v>
      </c>
      <c r="B2392" s="2">
        <v>42046.502999999997</v>
      </c>
      <c r="C2392" s="3" t="s">
        <v>5003</v>
      </c>
      <c r="D2392" t="s">
        <v>5014</v>
      </c>
      <c r="E2392" t="s">
        <v>5018</v>
      </c>
      <c r="F2392" t="s">
        <v>5018</v>
      </c>
      <c r="G2392">
        <v>18</v>
      </c>
      <c r="H2392" s="5">
        <v>1.4765011981552961E-3</v>
      </c>
      <c r="I2392">
        <v>5</v>
      </c>
      <c r="J2392" t="b">
        <f>AND(CCData[[#This Row],[Date]]&gt;=Calculation!$E$3,CCData[[#This Row],[Date]]&lt;Calculation!$E$3+7)</f>
        <v>0</v>
      </c>
    </row>
    <row r="2393" spans="1:10">
      <c r="A2393" t="s">
        <v>2392</v>
      </c>
      <c r="B2393" s="2">
        <v>42046.502999999997</v>
      </c>
      <c r="C2393" s="3" t="s">
        <v>5009</v>
      </c>
      <c r="D2393" t="s">
        <v>5015</v>
      </c>
      <c r="E2393" t="s">
        <v>5018</v>
      </c>
      <c r="F2393" t="s">
        <v>5018</v>
      </c>
      <c r="G2393">
        <v>65</v>
      </c>
      <c r="H2393" s="5">
        <v>3.9674642561410437E-3</v>
      </c>
      <c r="I2393">
        <v>5</v>
      </c>
      <c r="J2393" t="b">
        <f>AND(CCData[[#This Row],[Date]]&gt;=Calculation!$E$3,CCData[[#This Row],[Date]]&lt;Calculation!$E$3+7)</f>
        <v>0</v>
      </c>
    </row>
    <row r="2394" spans="1:10">
      <c r="A2394" t="s">
        <v>2393</v>
      </c>
      <c r="B2394" s="2">
        <v>42046.510999999999</v>
      </c>
      <c r="C2394" s="3" t="s">
        <v>5010</v>
      </c>
      <c r="D2394" t="s">
        <v>5012</v>
      </c>
      <c r="E2394" t="s">
        <v>5018</v>
      </c>
      <c r="F2394" t="s">
        <v>5018</v>
      </c>
      <c r="G2394">
        <v>116</v>
      </c>
      <c r="H2394" s="5">
        <v>2.9157760857785875E-3</v>
      </c>
      <c r="I2394">
        <v>2</v>
      </c>
      <c r="J2394" t="b">
        <f>AND(CCData[[#This Row],[Date]]&gt;=Calculation!$E$3,CCData[[#This Row],[Date]]&lt;Calculation!$E$3+7)</f>
        <v>0</v>
      </c>
    </row>
    <row r="2395" spans="1:10">
      <c r="A2395" t="s">
        <v>2394</v>
      </c>
      <c r="B2395" s="2">
        <v>42046.510999999999</v>
      </c>
      <c r="C2395" s="3" t="s">
        <v>5010</v>
      </c>
      <c r="D2395" t="s">
        <v>5014</v>
      </c>
      <c r="E2395" t="s">
        <v>5019</v>
      </c>
      <c r="F2395" t="s">
        <v>5019</v>
      </c>
      <c r="G2395" t="s">
        <v>5022</v>
      </c>
      <c r="H2395" s="5" t="s">
        <v>5022</v>
      </c>
      <c r="I2395" t="s">
        <v>5022</v>
      </c>
      <c r="J2395" t="b">
        <f>AND(CCData[[#This Row],[Date]]&gt;=Calculation!$E$3,CCData[[#This Row],[Date]]&lt;Calculation!$E$3+7)</f>
        <v>0</v>
      </c>
    </row>
    <row r="2396" spans="1:10">
      <c r="A2396" t="s">
        <v>2395</v>
      </c>
      <c r="B2396" s="2">
        <v>42046.521000000001</v>
      </c>
      <c r="C2396" s="3" t="s">
        <v>5005</v>
      </c>
      <c r="D2396" t="s">
        <v>5014</v>
      </c>
      <c r="E2396" t="s">
        <v>5019</v>
      </c>
      <c r="F2396" t="s">
        <v>5019</v>
      </c>
      <c r="G2396" t="s">
        <v>5022</v>
      </c>
      <c r="H2396" s="5" t="s">
        <v>5022</v>
      </c>
      <c r="I2396" t="s">
        <v>5022</v>
      </c>
      <c r="J2396" t="b">
        <f>AND(CCData[[#This Row],[Date]]&gt;=Calculation!$E$3,CCData[[#This Row],[Date]]&lt;Calculation!$E$3+7)</f>
        <v>0</v>
      </c>
    </row>
    <row r="2397" spans="1:10">
      <c r="A2397" t="s">
        <v>2396</v>
      </c>
      <c r="B2397" s="2">
        <v>42046.521000000001</v>
      </c>
      <c r="C2397" s="3" t="s">
        <v>5009</v>
      </c>
      <c r="D2397" t="s">
        <v>5015</v>
      </c>
      <c r="E2397" t="s">
        <v>5018</v>
      </c>
      <c r="F2397" t="s">
        <v>5018</v>
      </c>
      <c r="G2397">
        <v>19</v>
      </c>
      <c r="H2397" s="5">
        <v>3.8743813629148775E-3</v>
      </c>
      <c r="I2397">
        <v>5</v>
      </c>
      <c r="J2397" t="b">
        <f>AND(CCData[[#This Row],[Date]]&gt;=Calculation!$E$3,CCData[[#This Row],[Date]]&lt;Calculation!$E$3+7)</f>
        <v>0</v>
      </c>
    </row>
    <row r="2398" spans="1:10">
      <c r="A2398" t="s">
        <v>2397</v>
      </c>
      <c r="B2398" s="2">
        <v>42046.523999999998</v>
      </c>
      <c r="C2398" s="3" t="s">
        <v>5010</v>
      </c>
      <c r="D2398" t="s">
        <v>5013</v>
      </c>
      <c r="E2398" t="s">
        <v>5019</v>
      </c>
      <c r="F2398" t="s">
        <v>5019</v>
      </c>
      <c r="G2398" t="s">
        <v>5022</v>
      </c>
      <c r="H2398" s="5" t="s">
        <v>5022</v>
      </c>
      <c r="I2398" t="s">
        <v>5022</v>
      </c>
      <c r="J2398" t="b">
        <f>AND(CCData[[#This Row],[Date]]&gt;=Calculation!$E$3,CCData[[#This Row],[Date]]&lt;Calculation!$E$3+7)</f>
        <v>0</v>
      </c>
    </row>
    <row r="2399" spans="1:10">
      <c r="A2399" t="s">
        <v>2398</v>
      </c>
      <c r="B2399" s="2">
        <v>42046.523999999998</v>
      </c>
      <c r="C2399" s="3" t="s">
        <v>5006</v>
      </c>
      <c r="D2399" t="s">
        <v>5013</v>
      </c>
      <c r="E2399" t="s">
        <v>5018</v>
      </c>
      <c r="F2399" t="s">
        <v>5018</v>
      </c>
      <c r="G2399">
        <v>120</v>
      </c>
      <c r="H2399" s="5">
        <v>4.7904093804285765E-3</v>
      </c>
      <c r="I2399">
        <v>3</v>
      </c>
      <c r="J2399" t="b">
        <f>AND(CCData[[#This Row],[Date]]&gt;=Calculation!$E$3,CCData[[#This Row],[Date]]&lt;Calculation!$E$3+7)</f>
        <v>0</v>
      </c>
    </row>
    <row r="2400" spans="1:10">
      <c r="A2400" t="s">
        <v>2399</v>
      </c>
      <c r="B2400" s="2">
        <v>42046.525000000001</v>
      </c>
      <c r="C2400" s="3" t="s">
        <v>5009</v>
      </c>
      <c r="D2400" t="s">
        <v>5015</v>
      </c>
      <c r="E2400" t="s">
        <v>5018</v>
      </c>
      <c r="F2400" t="s">
        <v>5018</v>
      </c>
      <c r="G2400">
        <v>32</v>
      </c>
      <c r="H2400" s="5">
        <v>6.3239314308319869E-4</v>
      </c>
      <c r="I2400">
        <v>3</v>
      </c>
      <c r="J2400" t="b">
        <f>AND(CCData[[#This Row],[Date]]&gt;=Calculation!$E$3,CCData[[#This Row],[Date]]&lt;Calculation!$E$3+7)</f>
        <v>0</v>
      </c>
    </row>
    <row r="2401" spans="1:10">
      <c r="A2401" t="s">
        <v>2400</v>
      </c>
      <c r="B2401" s="2">
        <v>42046.525000000001</v>
      </c>
      <c r="C2401" s="3" t="s">
        <v>5005</v>
      </c>
      <c r="D2401" t="s">
        <v>5015</v>
      </c>
      <c r="E2401" t="s">
        <v>5018</v>
      </c>
      <c r="F2401" t="s">
        <v>5018</v>
      </c>
      <c r="G2401">
        <v>121</v>
      </c>
      <c r="H2401" s="5">
        <v>3.9946779468988816E-3</v>
      </c>
      <c r="I2401">
        <v>2</v>
      </c>
      <c r="J2401" t="b">
        <f>AND(CCData[[#This Row],[Date]]&gt;=Calculation!$E$3,CCData[[#This Row],[Date]]&lt;Calculation!$E$3+7)</f>
        <v>0</v>
      </c>
    </row>
    <row r="2402" spans="1:10">
      <c r="A2402" t="s">
        <v>2401</v>
      </c>
      <c r="B2402" s="2">
        <v>42046.535000000003</v>
      </c>
      <c r="C2402" s="3" t="s">
        <v>5007</v>
      </c>
      <c r="D2402" t="s">
        <v>5012</v>
      </c>
      <c r="E2402" t="s">
        <v>5019</v>
      </c>
      <c r="F2402" t="s">
        <v>5019</v>
      </c>
      <c r="G2402" t="s">
        <v>5022</v>
      </c>
      <c r="H2402" s="5" t="s">
        <v>5022</v>
      </c>
      <c r="I2402" t="s">
        <v>5022</v>
      </c>
      <c r="J2402" t="b">
        <f>AND(CCData[[#This Row],[Date]]&gt;=Calculation!$E$3,CCData[[#This Row],[Date]]&lt;Calculation!$E$3+7)</f>
        <v>0</v>
      </c>
    </row>
    <row r="2403" spans="1:10">
      <c r="A2403" t="s">
        <v>2402</v>
      </c>
      <c r="B2403" s="2">
        <v>42046.535000000003</v>
      </c>
      <c r="C2403" s="3" t="s">
        <v>5006</v>
      </c>
      <c r="D2403" t="s">
        <v>5015</v>
      </c>
      <c r="E2403" t="s">
        <v>5018</v>
      </c>
      <c r="F2403" t="s">
        <v>5018</v>
      </c>
      <c r="G2403">
        <v>82</v>
      </c>
      <c r="H2403" s="5">
        <v>2.3208984758681479E-3</v>
      </c>
      <c r="I2403">
        <v>4</v>
      </c>
      <c r="J2403" t="b">
        <f>AND(CCData[[#This Row],[Date]]&gt;=Calculation!$E$3,CCData[[#This Row],[Date]]&lt;Calculation!$E$3+7)</f>
        <v>0</v>
      </c>
    </row>
    <row r="2404" spans="1:10">
      <c r="A2404" t="s">
        <v>2403</v>
      </c>
      <c r="B2404" s="2">
        <v>42046.54</v>
      </c>
      <c r="C2404" s="3" t="s">
        <v>5009</v>
      </c>
      <c r="D2404" t="s">
        <v>5012</v>
      </c>
      <c r="E2404" t="s">
        <v>5018</v>
      </c>
      <c r="F2404" t="s">
        <v>5018</v>
      </c>
      <c r="G2404">
        <v>53</v>
      </c>
      <c r="H2404" s="5">
        <v>1.6019059413488108E-3</v>
      </c>
      <c r="I2404">
        <v>4</v>
      </c>
      <c r="J2404" t="b">
        <f>AND(CCData[[#This Row],[Date]]&gt;=Calculation!$E$3,CCData[[#This Row],[Date]]&lt;Calculation!$E$3+7)</f>
        <v>0</v>
      </c>
    </row>
    <row r="2405" spans="1:10">
      <c r="A2405" t="s">
        <v>2404</v>
      </c>
      <c r="B2405" s="2">
        <v>42046.54</v>
      </c>
      <c r="C2405" s="3" t="s">
        <v>5005</v>
      </c>
      <c r="D2405" t="s">
        <v>5014</v>
      </c>
      <c r="E2405" t="s">
        <v>5019</v>
      </c>
      <c r="F2405" t="s">
        <v>5019</v>
      </c>
      <c r="G2405" t="s">
        <v>5022</v>
      </c>
      <c r="H2405" s="5" t="s">
        <v>5022</v>
      </c>
      <c r="I2405" t="s">
        <v>5022</v>
      </c>
      <c r="J2405" t="b">
        <f>AND(CCData[[#This Row],[Date]]&gt;=Calculation!$E$3,CCData[[#This Row],[Date]]&lt;Calculation!$E$3+7)</f>
        <v>0</v>
      </c>
    </row>
    <row r="2406" spans="1:10">
      <c r="A2406" t="s">
        <v>2405</v>
      </c>
      <c r="B2406" s="2">
        <v>42046.55</v>
      </c>
      <c r="C2406" s="3" t="s">
        <v>5004</v>
      </c>
      <c r="D2406" t="s">
        <v>5013</v>
      </c>
      <c r="E2406" t="s">
        <v>5018</v>
      </c>
      <c r="F2406" t="s">
        <v>5018</v>
      </c>
      <c r="G2406">
        <v>16</v>
      </c>
      <c r="H2406" s="5">
        <v>3.6133079906826363E-3</v>
      </c>
      <c r="I2406">
        <v>4</v>
      </c>
      <c r="J2406" t="b">
        <f>AND(CCData[[#This Row],[Date]]&gt;=Calculation!$E$3,CCData[[#This Row],[Date]]&lt;Calculation!$E$3+7)</f>
        <v>0</v>
      </c>
    </row>
    <row r="2407" spans="1:10">
      <c r="A2407" t="s">
        <v>2406</v>
      </c>
      <c r="B2407" s="2">
        <v>42046.55</v>
      </c>
      <c r="C2407" s="3" t="s">
        <v>5009</v>
      </c>
      <c r="D2407" t="s">
        <v>5015</v>
      </c>
      <c r="E2407" t="s">
        <v>5018</v>
      </c>
      <c r="F2407" t="s">
        <v>5018</v>
      </c>
      <c r="G2407">
        <v>67</v>
      </c>
      <c r="H2407" s="5">
        <v>4.295794281099807E-3</v>
      </c>
      <c r="I2407">
        <v>3</v>
      </c>
      <c r="J2407" t="b">
        <f>AND(CCData[[#This Row],[Date]]&gt;=Calculation!$E$3,CCData[[#This Row],[Date]]&lt;Calculation!$E$3+7)</f>
        <v>0</v>
      </c>
    </row>
    <row r="2408" spans="1:10">
      <c r="A2408" t="s">
        <v>2407</v>
      </c>
      <c r="B2408" s="2">
        <v>42046.557000000001</v>
      </c>
      <c r="C2408" s="3" t="s">
        <v>5010</v>
      </c>
      <c r="D2408" t="s">
        <v>5016</v>
      </c>
      <c r="E2408" t="s">
        <v>5018</v>
      </c>
      <c r="F2408" t="s">
        <v>5018</v>
      </c>
      <c r="G2408">
        <v>95</v>
      </c>
      <c r="H2408" s="5">
        <v>2.0728652531405902E-3</v>
      </c>
      <c r="I2408">
        <v>4</v>
      </c>
      <c r="J2408" t="b">
        <f>AND(CCData[[#This Row],[Date]]&gt;=Calculation!$E$3,CCData[[#This Row],[Date]]&lt;Calculation!$E$3+7)</f>
        <v>0</v>
      </c>
    </row>
    <row r="2409" spans="1:10">
      <c r="A2409" t="s">
        <v>2408</v>
      </c>
      <c r="B2409" s="2">
        <v>42046.557000000001</v>
      </c>
      <c r="C2409" s="3" t="s">
        <v>5003</v>
      </c>
      <c r="D2409" t="s">
        <v>5015</v>
      </c>
      <c r="E2409" t="s">
        <v>5018</v>
      </c>
      <c r="F2409" t="s">
        <v>5018</v>
      </c>
      <c r="G2409">
        <v>75</v>
      </c>
      <c r="H2409" s="5">
        <v>1.8790183054656039E-3</v>
      </c>
      <c r="I2409">
        <v>3</v>
      </c>
      <c r="J2409" t="b">
        <f>AND(CCData[[#This Row],[Date]]&gt;=Calculation!$E$3,CCData[[#This Row],[Date]]&lt;Calculation!$E$3+7)</f>
        <v>0</v>
      </c>
    </row>
    <row r="2410" spans="1:10">
      <c r="A2410" t="s">
        <v>2409</v>
      </c>
      <c r="B2410" s="2">
        <v>42046.563000000002</v>
      </c>
      <c r="C2410" s="3" t="s">
        <v>5007</v>
      </c>
      <c r="D2410" t="s">
        <v>5016</v>
      </c>
      <c r="E2410" t="s">
        <v>5018</v>
      </c>
      <c r="F2410" t="s">
        <v>5018</v>
      </c>
      <c r="G2410">
        <v>53</v>
      </c>
      <c r="H2410" s="5">
        <v>3.7658477929268979E-3</v>
      </c>
      <c r="I2410">
        <v>3</v>
      </c>
      <c r="J2410" t="b">
        <f>AND(CCData[[#This Row],[Date]]&gt;=Calculation!$E$3,CCData[[#This Row],[Date]]&lt;Calculation!$E$3+7)</f>
        <v>0</v>
      </c>
    </row>
    <row r="2411" spans="1:10">
      <c r="A2411" t="s">
        <v>2410</v>
      </c>
      <c r="B2411" s="2">
        <v>42046.563000000002</v>
      </c>
      <c r="C2411" s="3" t="s">
        <v>5008</v>
      </c>
      <c r="D2411" t="s">
        <v>5012</v>
      </c>
      <c r="E2411" t="s">
        <v>5018</v>
      </c>
      <c r="F2411" t="s">
        <v>5018</v>
      </c>
      <c r="G2411">
        <v>116</v>
      </c>
      <c r="H2411" s="5">
        <v>5.6489117983247149E-4</v>
      </c>
      <c r="I2411">
        <v>5</v>
      </c>
      <c r="J2411" t="b">
        <f>AND(CCData[[#This Row],[Date]]&gt;=Calculation!$E$3,CCData[[#This Row],[Date]]&lt;Calculation!$E$3+7)</f>
        <v>0</v>
      </c>
    </row>
    <row r="2412" spans="1:10">
      <c r="A2412" t="s">
        <v>2411</v>
      </c>
      <c r="B2412" s="2">
        <v>42046.567999999999</v>
      </c>
      <c r="C2412" s="3" t="s">
        <v>5005</v>
      </c>
      <c r="D2412" t="s">
        <v>5013</v>
      </c>
      <c r="E2412" t="s">
        <v>5018</v>
      </c>
      <c r="F2412" t="s">
        <v>5018</v>
      </c>
      <c r="G2412">
        <v>83</v>
      </c>
      <c r="H2412" s="5">
        <v>3.0482251522847142E-3</v>
      </c>
      <c r="I2412">
        <v>3</v>
      </c>
      <c r="J2412" t="b">
        <f>AND(CCData[[#This Row],[Date]]&gt;=Calculation!$E$3,CCData[[#This Row],[Date]]&lt;Calculation!$E$3+7)</f>
        <v>0</v>
      </c>
    </row>
    <row r="2413" spans="1:10">
      <c r="A2413" t="s">
        <v>2412</v>
      </c>
      <c r="B2413" s="2">
        <v>42046.567999999999</v>
      </c>
      <c r="C2413" s="3" t="s">
        <v>5007</v>
      </c>
      <c r="D2413" t="s">
        <v>5012</v>
      </c>
      <c r="E2413" t="s">
        <v>5018</v>
      </c>
      <c r="F2413" t="s">
        <v>5018</v>
      </c>
      <c r="G2413">
        <v>92</v>
      </c>
      <c r="H2413" s="5">
        <v>1.5657911114171719E-3</v>
      </c>
      <c r="I2413">
        <v>4</v>
      </c>
      <c r="J2413" t="b">
        <f>AND(CCData[[#This Row],[Date]]&gt;=Calculation!$E$3,CCData[[#This Row],[Date]]&lt;Calculation!$E$3+7)</f>
        <v>0</v>
      </c>
    </row>
    <row r="2414" spans="1:10">
      <c r="A2414" t="s">
        <v>2413</v>
      </c>
      <c r="B2414" s="2">
        <v>42046.574000000001</v>
      </c>
      <c r="C2414" s="3" t="s">
        <v>5009</v>
      </c>
      <c r="D2414" t="s">
        <v>5015</v>
      </c>
      <c r="E2414" t="s">
        <v>5018</v>
      </c>
      <c r="F2414" t="s">
        <v>5018</v>
      </c>
      <c r="G2414">
        <v>24</v>
      </c>
      <c r="H2414" s="5">
        <v>1.8675756166829638E-3</v>
      </c>
      <c r="I2414">
        <v>3</v>
      </c>
      <c r="J2414" t="b">
        <f>AND(CCData[[#This Row],[Date]]&gt;=Calculation!$E$3,CCData[[#This Row],[Date]]&lt;Calculation!$E$3+7)</f>
        <v>0</v>
      </c>
    </row>
    <row r="2415" spans="1:10">
      <c r="A2415" t="s">
        <v>2414</v>
      </c>
      <c r="B2415" s="2">
        <v>42046.574000000001</v>
      </c>
      <c r="C2415" s="3" t="s">
        <v>5009</v>
      </c>
      <c r="D2415" t="s">
        <v>5012</v>
      </c>
      <c r="E2415" t="s">
        <v>5018</v>
      </c>
      <c r="F2415" t="s">
        <v>5018</v>
      </c>
      <c r="G2415">
        <v>16</v>
      </c>
      <c r="H2415" s="5">
        <v>2.9700843164167765E-3</v>
      </c>
      <c r="I2415">
        <v>4</v>
      </c>
      <c r="J2415" t="b">
        <f>AND(CCData[[#This Row],[Date]]&gt;=Calculation!$E$3,CCData[[#This Row],[Date]]&lt;Calculation!$E$3+7)</f>
        <v>0</v>
      </c>
    </row>
    <row r="2416" spans="1:10">
      <c r="A2416" t="s">
        <v>2415</v>
      </c>
      <c r="B2416" s="2">
        <v>42046.586000000003</v>
      </c>
      <c r="C2416" s="3" t="s">
        <v>5007</v>
      </c>
      <c r="D2416" t="s">
        <v>5012</v>
      </c>
      <c r="E2416" t="s">
        <v>5018</v>
      </c>
      <c r="F2416" t="s">
        <v>5018</v>
      </c>
      <c r="G2416">
        <v>24</v>
      </c>
      <c r="H2416" s="5">
        <v>1.6416489047735366E-3</v>
      </c>
      <c r="I2416">
        <v>5</v>
      </c>
      <c r="J2416" t="b">
        <f>AND(CCData[[#This Row],[Date]]&gt;=Calculation!$E$3,CCData[[#This Row],[Date]]&lt;Calculation!$E$3+7)</f>
        <v>0</v>
      </c>
    </row>
    <row r="2417" spans="1:10">
      <c r="A2417" t="s">
        <v>2416</v>
      </c>
      <c r="B2417" s="2">
        <v>42046.586000000003</v>
      </c>
      <c r="C2417" s="3" t="s">
        <v>5009</v>
      </c>
      <c r="D2417" t="s">
        <v>5013</v>
      </c>
      <c r="E2417" t="s">
        <v>5018</v>
      </c>
      <c r="F2417" t="s">
        <v>5018</v>
      </c>
      <c r="G2417">
        <v>114</v>
      </c>
      <c r="H2417" s="5">
        <v>2.6527071530575378E-3</v>
      </c>
      <c r="I2417">
        <v>2</v>
      </c>
      <c r="J2417" t="b">
        <f>AND(CCData[[#This Row],[Date]]&gt;=Calculation!$E$3,CCData[[#This Row],[Date]]&lt;Calculation!$E$3+7)</f>
        <v>0</v>
      </c>
    </row>
    <row r="2418" spans="1:10">
      <c r="A2418" t="s">
        <v>2417</v>
      </c>
      <c r="B2418" s="2">
        <v>42046.586000000003</v>
      </c>
      <c r="C2418" s="3" t="s">
        <v>5007</v>
      </c>
      <c r="D2418" t="s">
        <v>5012</v>
      </c>
      <c r="E2418" t="s">
        <v>5019</v>
      </c>
      <c r="F2418" t="s">
        <v>5019</v>
      </c>
      <c r="G2418" t="s">
        <v>5022</v>
      </c>
      <c r="H2418" s="5" t="s">
        <v>5022</v>
      </c>
      <c r="I2418" t="s">
        <v>5022</v>
      </c>
      <c r="J2418" t="b">
        <f>AND(CCData[[#This Row],[Date]]&gt;=Calculation!$E$3,CCData[[#This Row],[Date]]&lt;Calculation!$E$3+7)</f>
        <v>0</v>
      </c>
    </row>
    <row r="2419" spans="1:10">
      <c r="A2419" t="s">
        <v>2418</v>
      </c>
      <c r="B2419" s="2">
        <v>42046.586000000003</v>
      </c>
      <c r="C2419" s="3" t="s">
        <v>5007</v>
      </c>
      <c r="D2419" t="s">
        <v>5013</v>
      </c>
      <c r="E2419" t="s">
        <v>5018</v>
      </c>
      <c r="F2419" t="s">
        <v>5018</v>
      </c>
      <c r="G2419">
        <v>120</v>
      </c>
      <c r="H2419" s="5">
        <v>4.1336714715352989E-3</v>
      </c>
      <c r="I2419">
        <v>4</v>
      </c>
      <c r="J2419" t="b">
        <f>AND(CCData[[#This Row],[Date]]&gt;=Calculation!$E$3,CCData[[#This Row],[Date]]&lt;Calculation!$E$3+7)</f>
        <v>0</v>
      </c>
    </row>
    <row r="2420" spans="1:10">
      <c r="A2420" t="s">
        <v>2419</v>
      </c>
      <c r="B2420" s="2">
        <v>42046.601000000002</v>
      </c>
      <c r="C2420" s="3" t="s">
        <v>5009</v>
      </c>
      <c r="D2420" t="s">
        <v>5016</v>
      </c>
      <c r="E2420" t="s">
        <v>5018</v>
      </c>
      <c r="F2420" t="s">
        <v>5018</v>
      </c>
      <c r="G2420">
        <v>89</v>
      </c>
      <c r="H2420" s="5">
        <v>4.8281978244094654E-3</v>
      </c>
      <c r="I2420">
        <v>5</v>
      </c>
      <c r="J2420" t="b">
        <f>AND(CCData[[#This Row],[Date]]&gt;=Calculation!$E$3,CCData[[#This Row],[Date]]&lt;Calculation!$E$3+7)</f>
        <v>0</v>
      </c>
    </row>
    <row r="2421" spans="1:10">
      <c r="A2421" t="s">
        <v>2420</v>
      </c>
      <c r="B2421" s="2">
        <v>42046.601000000002</v>
      </c>
      <c r="C2421" s="3" t="s">
        <v>5009</v>
      </c>
      <c r="D2421" t="s">
        <v>5014</v>
      </c>
      <c r="E2421" t="s">
        <v>5018</v>
      </c>
      <c r="F2421" t="s">
        <v>5018</v>
      </c>
      <c r="G2421">
        <v>83</v>
      </c>
      <c r="H2421" s="5">
        <v>1.0317175398687265E-3</v>
      </c>
      <c r="I2421">
        <v>4</v>
      </c>
      <c r="J2421" t="b">
        <f>AND(CCData[[#This Row],[Date]]&gt;=Calculation!$E$3,CCData[[#This Row],[Date]]&lt;Calculation!$E$3+7)</f>
        <v>0</v>
      </c>
    </row>
    <row r="2422" spans="1:10">
      <c r="A2422" t="s">
        <v>2421</v>
      </c>
      <c r="B2422" s="2">
        <v>42046.62</v>
      </c>
      <c r="C2422" s="3" t="s">
        <v>5010</v>
      </c>
      <c r="D2422" t="s">
        <v>5016</v>
      </c>
      <c r="E2422" t="s">
        <v>5018</v>
      </c>
      <c r="F2422" t="s">
        <v>5018</v>
      </c>
      <c r="G2422">
        <v>71</v>
      </c>
      <c r="H2422" s="5">
        <v>1.7836757561610541E-3</v>
      </c>
      <c r="I2422">
        <v>5</v>
      </c>
      <c r="J2422" t="b">
        <f>AND(CCData[[#This Row],[Date]]&gt;=Calculation!$E$3,CCData[[#This Row],[Date]]&lt;Calculation!$E$3+7)</f>
        <v>0</v>
      </c>
    </row>
    <row r="2423" spans="1:10">
      <c r="A2423" t="s">
        <v>2422</v>
      </c>
      <c r="B2423" s="2">
        <v>42046.62</v>
      </c>
      <c r="C2423" s="3" t="s">
        <v>5006</v>
      </c>
      <c r="D2423" t="s">
        <v>5016</v>
      </c>
      <c r="E2423" t="s">
        <v>5018</v>
      </c>
      <c r="F2423" t="s">
        <v>5018</v>
      </c>
      <c r="G2423">
        <v>62</v>
      </c>
      <c r="H2423" s="5">
        <v>1.3926497002793952E-3</v>
      </c>
      <c r="I2423">
        <v>4</v>
      </c>
      <c r="J2423" t="b">
        <f>AND(CCData[[#This Row],[Date]]&gt;=Calculation!$E$3,CCData[[#This Row],[Date]]&lt;Calculation!$E$3+7)</f>
        <v>0</v>
      </c>
    </row>
    <row r="2424" spans="1:10">
      <c r="A2424" t="s">
        <v>2423</v>
      </c>
      <c r="B2424" s="2">
        <v>42046.627999999997</v>
      </c>
      <c r="C2424" s="3" t="s">
        <v>5004</v>
      </c>
      <c r="D2424" t="s">
        <v>5014</v>
      </c>
      <c r="E2424" t="s">
        <v>5018</v>
      </c>
      <c r="F2424" t="s">
        <v>5018</v>
      </c>
      <c r="G2424">
        <v>84</v>
      </c>
      <c r="H2424" s="5">
        <v>2.2588974253079314E-3</v>
      </c>
      <c r="I2424">
        <v>2</v>
      </c>
      <c r="J2424" t="b">
        <f>AND(CCData[[#This Row],[Date]]&gt;=Calculation!$E$3,CCData[[#This Row],[Date]]&lt;Calculation!$E$3+7)</f>
        <v>0</v>
      </c>
    </row>
    <row r="2425" spans="1:10">
      <c r="A2425" t="s">
        <v>2424</v>
      </c>
      <c r="B2425" s="2">
        <v>42046.627999999997</v>
      </c>
      <c r="C2425" s="3" t="s">
        <v>5010</v>
      </c>
      <c r="D2425" t="s">
        <v>5013</v>
      </c>
      <c r="E2425" t="s">
        <v>5018</v>
      </c>
      <c r="F2425" t="s">
        <v>5018</v>
      </c>
      <c r="G2425">
        <v>17</v>
      </c>
      <c r="H2425" s="5">
        <v>9.4128281589480451E-4</v>
      </c>
      <c r="I2425">
        <v>4</v>
      </c>
      <c r="J2425" t="b">
        <f>AND(CCData[[#This Row],[Date]]&gt;=Calculation!$E$3,CCData[[#This Row],[Date]]&lt;Calculation!$E$3+7)</f>
        <v>0</v>
      </c>
    </row>
    <row r="2426" spans="1:10">
      <c r="A2426" t="s">
        <v>2425</v>
      </c>
      <c r="B2426" s="2">
        <v>42046.633000000002</v>
      </c>
      <c r="C2426" s="3" t="s">
        <v>5006</v>
      </c>
      <c r="D2426" t="s">
        <v>5012</v>
      </c>
      <c r="E2426" t="s">
        <v>5018</v>
      </c>
      <c r="F2426" t="s">
        <v>5018</v>
      </c>
      <c r="G2426">
        <v>24</v>
      </c>
      <c r="H2426" s="5">
        <v>2.6766337603983193E-3</v>
      </c>
      <c r="I2426">
        <v>4</v>
      </c>
      <c r="J2426" t="b">
        <f>AND(CCData[[#This Row],[Date]]&gt;=Calculation!$E$3,CCData[[#This Row],[Date]]&lt;Calculation!$E$3+7)</f>
        <v>0</v>
      </c>
    </row>
    <row r="2427" spans="1:10">
      <c r="A2427" t="s">
        <v>2426</v>
      </c>
      <c r="B2427" s="2">
        <v>42046.633000000002</v>
      </c>
      <c r="C2427" s="3" t="s">
        <v>5008</v>
      </c>
      <c r="D2427" t="s">
        <v>5016</v>
      </c>
      <c r="E2427" t="s">
        <v>5018</v>
      </c>
      <c r="F2427" t="s">
        <v>5018</v>
      </c>
      <c r="G2427">
        <v>108</v>
      </c>
      <c r="H2427" s="5">
        <v>3.8669272932740635E-3</v>
      </c>
      <c r="I2427">
        <v>3</v>
      </c>
      <c r="J2427" t="b">
        <f>AND(CCData[[#This Row],[Date]]&gt;=Calculation!$E$3,CCData[[#This Row],[Date]]&lt;Calculation!$E$3+7)</f>
        <v>0</v>
      </c>
    </row>
    <row r="2428" spans="1:10">
      <c r="A2428" t="s">
        <v>2427</v>
      </c>
      <c r="B2428" s="2">
        <v>42046.665999999997</v>
      </c>
      <c r="C2428" s="3" t="s">
        <v>5003</v>
      </c>
      <c r="D2428" t="s">
        <v>5014</v>
      </c>
      <c r="E2428" t="s">
        <v>5018</v>
      </c>
      <c r="F2428" t="s">
        <v>5018</v>
      </c>
      <c r="G2428">
        <v>13</v>
      </c>
      <c r="H2428" s="5">
        <v>1.4400374038659419E-3</v>
      </c>
      <c r="I2428">
        <v>3</v>
      </c>
      <c r="J2428" t="b">
        <f>AND(CCData[[#This Row],[Date]]&gt;=Calculation!$E$3,CCData[[#This Row],[Date]]&lt;Calculation!$E$3+7)</f>
        <v>0</v>
      </c>
    </row>
    <row r="2429" spans="1:10">
      <c r="A2429" t="s">
        <v>2428</v>
      </c>
      <c r="B2429" s="2">
        <v>42046.665999999997</v>
      </c>
      <c r="C2429" s="3" t="s">
        <v>5004</v>
      </c>
      <c r="D2429" t="s">
        <v>5013</v>
      </c>
      <c r="E2429" t="s">
        <v>5018</v>
      </c>
      <c r="F2429" t="s">
        <v>5018</v>
      </c>
      <c r="G2429">
        <v>119</v>
      </c>
      <c r="H2429" s="5">
        <v>4.4381887964900823E-3</v>
      </c>
      <c r="I2429">
        <v>3</v>
      </c>
      <c r="J2429" t="b">
        <f>AND(CCData[[#This Row],[Date]]&gt;=Calculation!$E$3,CCData[[#This Row],[Date]]&lt;Calculation!$E$3+7)</f>
        <v>0</v>
      </c>
    </row>
    <row r="2430" spans="1:10">
      <c r="A2430" t="s">
        <v>2429</v>
      </c>
      <c r="B2430" s="2">
        <v>42046.686999999998</v>
      </c>
      <c r="C2430" s="3" t="s">
        <v>5010</v>
      </c>
      <c r="D2430" t="s">
        <v>5014</v>
      </c>
      <c r="E2430" t="s">
        <v>5018</v>
      </c>
      <c r="F2430" t="s">
        <v>5018</v>
      </c>
      <c r="G2430">
        <v>80</v>
      </c>
      <c r="H2430" s="5">
        <v>3.8385220816656634E-3</v>
      </c>
      <c r="I2430">
        <v>2</v>
      </c>
      <c r="J2430" t="b">
        <f>AND(CCData[[#This Row],[Date]]&gt;=Calculation!$E$3,CCData[[#This Row],[Date]]&lt;Calculation!$E$3+7)</f>
        <v>0</v>
      </c>
    </row>
    <row r="2431" spans="1:10">
      <c r="A2431" t="s">
        <v>2430</v>
      </c>
      <c r="B2431" s="2">
        <v>42046.686999999998</v>
      </c>
      <c r="C2431" s="3" t="s">
        <v>5008</v>
      </c>
      <c r="D2431" t="s">
        <v>5012</v>
      </c>
      <c r="E2431" t="s">
        <v>5018</v>
      </c>
      <c r="F2431" t="s">
        <v>5018</v>
      </c>
      <c r="G2431">
        <v>99</v>
      </c>
      <c r="H2431" s="5">
        <v>1.2914572954741735E-3</v>
      </c>
      <c r="I2431">
        <v>4</v>
      </c>
      <c r="J2431" t="b">
        <f>AND(CCData[[#This Row],[Date]]&gt;=Calculation!$E$3,CCData[[#This Row],[Date]]&lt;Calculation!$E$3+7)</f>
        <v>0</v>
      </c>
    </row>
    <row r="2432" spans="1:10">
      <c r="A2432" t="s">
        <v>2431</v>
      </c>
      <c r="B2432" s="2">
        <v>42046.701999999997</v>
      </c>
      <c r="C2432" s="3" t="s">
        <v>5009</v>
      </c>
      <c r="D2432" t="s">
        <v>5016</v>
      </c>
      <c r="E2432" t="s">
        <v>5018</v>
      </c>
      <c r="F2432" t="s">
        <v>5018</v>
      </c>
      <c r="G2432">
        <v>60</v>
      </c>
      <c r="H2432" s="5">
        <v>4.0908580654445128E-3</v>
      </c>
      <c r="I2432">
        <v>4</v>
      </c>
      <c r="J2432" t="b">
        <f>AND(CCData[[#This Row],[Date]]&gt;=Calculation!$E$3,CCData[[#This Row],[Date]]&lt;Calculation!$E$3+7)</f>
        <v>0</v>
      </c>
    </row>
    <row r="2433" spans="1:10">
      <c r="A2433" t="s">
        <v>2432</v>
      </c>
      <c r="B2433" s="2">
        <v>42046.701999999997</v>
      </c>
      <c r="C2433" s="3" t="s">
        <v>5006</v>
      </c>
      <c r="D2433" t="s">
        <v>5015</v>
      </c>
      <c r="E2433" t="s">
        <v>5018</v>
      </c>
      <c r="F2433" t="s">
        <v>5018</v>
      </c>
      <c r="G2433">
        <v>121</v>
      </c>
      <c r="H2433" s="5">
        <v>3.3850332547154644E-3</v>
      </c>
      <c r="I2433">
        <v>4</v>
      </c>
      <c r="J2433" t="b">
        <f>AND(CCData[[#This Row],[Date]]&gt;=Calculation!$E$3,CCData[[#This Row],[Date]]&lt;Calculation!$E$3+7)</f>
        <v>0</v>
      </c>
    </row>
    <row r="2434" spans="1:10">
      <c r="A2434" t="s">
        <v>2433</v>
      </c>
      <c r="B2434" s="2">
        <v>42046.71</v>
      </c>
      <c r="C2434" s="3" t="s">
        <v>5003</v>
      </c>
      <c r="D2434" t="s">
        <v>5013</v>
      </c>
      <c r="E2434" t="s">
        <v>5019</v>
      </c>
      <c r="F2434" t="s">
        <v>5019</v>
      </c>
      <c r="G2434" t="s">
        <v>5022</v>
      </c>
      <c r="H2434" s="5" t="s">
        <v>5022</v>
      </c>
      <c r="I2434" t="s">
        <v>5022</v>
      </c>
      <c r="J2434" t="b">
        <f>AND(CCData[[#This Row],[Date]]&gt;=Calculation!$E$3,CCData[[#This Row],[Date]]&lt;Calculation!$E$3+7)</f>
        <v>0</v>
      </c>
    </row>
    <row r="2435" spans="1:10">
      <c r="A2435" t="s">
        <v>2434</v>
      </c>
      <c r="B2435" s="2">
        <v>42046.71</v>
      </c>
      <c r="C2435" s="3" t="s">
        <v>5004</v>
      </c>
      <c r="D2435" t="s">
        <v>5012</v>
      </c>
      <c r="E2435" t="s">
        <v>5018</v>
      </c>
      <c r="F2435" t="s">
        <v>5018</v>
      </c>
      <c r="G2435">
        <v>91</v>
      </c>
      <c r="H2435" s="5">
        <v>4.2603527180592651E-3</v>
      </c>
      <c r="I2435">
        <v>2</v>
      </c>
      <c r="J2435" t="b">
        <f>AND(CCData[[#This Row],[Date]]&gt;=Calculation!$E$3,CCData[[#This Row],[Date]]&lt;Calculation!$E$3+7)</f>
        <v>0</v>
      </c>
    </row>
    <row r="2436" spans="1:10">
      <c r="A2436" t="s">
        <v>2435</v>
      </c>
      <c r="B2436" s="2">
        <v>42046.724999999999</v>
      </c>
      <c r="C2436" s="3" t="s">
        <v>5006</v>
      </c>
      <c r="D2436" t="s">
        <v>5014</v>
      </c>
      <c r="E2436" t="s">
        <v>5018</v>
      </c>
      <c r="F2436" t="s">
        <v>5018</v>
      </c>
      <c r="G2436">
        <v>91</v>
      </c>
      <c r="H2436" s="5">
        <v>1.2194325763515959E-3</v>
      </c>
      <c r="I2436">
        <v>2</v>
      </c>
      <c r="J2436" t="b">
        <f>AND(CCData[[#This Row],[Date]]&gt;=Calculation!$E$3,CCData[[#This Row],[Date]]&lt;Calculation!$E$3+7)</f>
        <v>0</v>
      </c>
    </row>
    <row r="2437" spans="1:10">
      <c r="A2437" t="s">
        <v>2436</v>
      </c>
      <c r="B2437" s="2">
        <v>42046.724999999999</v>
      </c>
      <c r="C2437" s="3" t="s">
        <v>5003</v>
      </c>
      <c r="D2437" t="s">
        <v>5015</v>
      </c>
      <c r="E2437" t="s">
        <v>5018</v>
      </c>
      <c r="F2437" t="s">
        <v>5018</v>
      </c>
      <c r="G2437">
        <v>99</v>
      </c>
      <c r="H2437" s="5">
        <v>7.5172109479910965E-4</v>
      </c>
      <c r="I2437">
        <v>3</v>
      </c>
      <c r="J2437" t="b">
        <f>AND(CCData[[#This Row],[Date]]&gt;=Calculation!$E$3,CCData[[#This Row],[Date]]&lt;Calculation!$E$3+7)</f>
        <v>0</v>
      </c>
    </row>
    <row r="2438" spans="1:10">
      <c r="A2438" t="s">
        <v>2437</v>
      </c>
      <c r="B2438" s="2">
        <v>42047.383999999998</v>
      </c>
      <c r="C2438" s="3" t="s">
        <v>5009</v>
      </c>
      <c r="D2438" t="s">
        <v>5012</v>
      </c>
      <c r="E2438" t="s">
        <v>5019</v>
      </c>
      <c r="F2438" t="s">
        <v>5019</v>
      </c>
      <c r="G2438" t="s">
        <v>5022</v>
      </c>
      <c r="H2438" s="5" t="s">
        <v>5022</v>
      </c>
      <c r="I2438" t="s">
        <v>5022</v>
      </c>
      <c r="J2438" t="b">
        <f>AND(CCData[[#This Row],[Date]]&gt;=Calculation!$E$3,CCData[[#This Row],[Date]]&lt;Calculation!$E$3+7)</f>
        <v>0</v>
      </c>
    </row>
    <row r="2439" spans="1:10">
      <c r="A2439" t="s">
        <v>2438</v>
      </c>
      <c r="B2439" s="2">
        <v>42047.383999999998</v>
      </c>
      <c r="C2439" s="3" t="s">
        <v>5008</v>
      </c>
      <c r="D2439" t="s">
        <v>5014</v>
      </c>
      <c r="E2439" t="s">
        <v>5019</v>
      </c>
      <c r="F2439" t="s">
        <v>5019</v>
      </c>
      <c r="G2439" t="s">
        <v>5022</v>
      </c>
      <c r="H2439" s="5" t="s">
        <v>5022</v>
      </c>
      <c r="I2439" t="s">
        <v>5022</v>
      </c>
      <c r="J2439" t="b">
        <f>AND(CCData[[#This Row],[Date]]&gt;=Calculation!$E$3,CCData[[#This Row],[Date]]&lt;Calculation!$E$3+7)</f>
        <v>0</v>
      </c>
    </row>
    <row r="2440" spans="1:10">
      <c r="A2440" t="s">
        <v>2439</v>
      </c>
      <c r="B2440" s="2">
        <v>42047.417000000001</v>
      </c>
      <c r="C2440" s="3" t="s">
        <v>5009</v>
      </c>
      <c r="D2440" t="s">
        <v>5013</v>
      </c>
      <c r="E2440" t="s">
        <v>5018</v>
      </c>
      <c r="F2440" t="s">
        <v>5018</v>
      </c>
      <c r="G2440">
        <v>101</v>
      </c>
      <c r="H2440" s="5">
        <v>3.6544091238391268E-3</v>
      </c>
      <c r="I2440">
        <v>3</v>
      </c>
      <c r="J2440" t="b">
        <f>AND(CCData[[#This Row],[Date]]&gt;=Calculation!$E$3,CCData[[#This Row],[Date]]&lt;Calculation!$E$3+7)</f>
        <v>0</v>
      </c>
    </row>
    <row r="2441" spans="1:10">
      <c r="A2441" t="s">
        <v>2440</v>
      </c>
      <c r="B2441" s="2">
        <v>42047.417000000001</v>
      </c>
      <c r="C2441" s="3" t="s">
        <v>5003</v>
      </c>
      <c r="D2441" t="s">
        <v>5013</v>
      </c>
      <c r="E2441" t="s">
        <v>5018</v>
      </c>
      <c r="F2441" t="s">
        <v>5018</v>
      </c>
      <c r="G2441">
        <v>61</v>
      </c>
      <c r="H2441" s="5">
        <v>3.0689180675644539E-3</v>
      </c>
      <c r="I2441">
        <v>1</v>
      </c>
      <c r="J2441" t="b">
        <f>AND(CCData[[#This Row],[Date]]&gt;=Calculation!$E$3,CCData[[#This Row],[Date]]&lt;Calculation!$E$3+7)</f>
        <v>0</v>
      </c>
    </row>
    <row r="2442" spans="1:10">
      <c r="A2442" t="s">
        <v>2441</v>
      </c>
      <c r="B2442" s="2">
        <v>42047.425999999999</v>
      </c>
      <c r="C2442" s="3" t="s">
        <v>5004</v>
      </c>
      <c r="D2442" t="s">
        <v>5016</v>
      </c>
      <c r="E2442" t="s">
        <v>5018</v>
      </c>
      <c r="F2442" t="s">
        <v>5018</v>
      </c>
      <c r="G2442">
        <v>35</v>
      </c>
      <c r="H2442" s="5">
        <v>1.7454637471884396E-3</v>
      </c>
      <c r="I2442">
        <v>4</v>
      </c>
      <c r="J2442" t="b">
        <f>AND(CCData[[#This Row],[Date]]&gt;=Calculation!$E$3,CCData[[#This Row],[Date]]&lt;Calculation!$E$3+7)</f>
        <v>0</v>
      </c>
    </row>
    <row r="2443" spans="1:10">
      <c r="A2443" t="s">
        <v>2442</v>
      </c>
      <c r="B2443" s="2">
        <v>42047.425999999999</v>
      </c>
      <c r="C2443" s="3" t="s">
        <v>5008</v>
      </c>
      <c r="D2443" t="s">
        <v>5012</v>
      </c>
      <c r="E2443" t="s">
        <v>5018</v>
      </c>
      <c r="F2443" t="s">
        <v>5019</v>
      </c>
      <c r="G2443">
        <v>55</v>
      </c>
      <c r="H2443" s="5">
        <v>2.9403015826544015E-3</v>
      </c>
      <c r="I2443">
        <v>1</v>
      </c>
      <c r="J2443" t="b">
        <f>AND(CCData[[#This Row],[Date]]&gt;=Calculation!$E$3,CCData[[#This Row],[Date]]&lt;Calculation!$E$3+7)</f>
        <v>0</v>
      </c>
    </row>
    <row r="2444" spans="1:10">
      <c r="A2444" t="s">
        <v>2443</v>
      </c>
      <c r="B2444" s="2">
        <v>42047.428</v>
      </c>
      <c r="C2444" s="3" t="s">
        <v>5009</v>
      </c>
      <c r="D2444" t="s">
        <v>5015</v>
      </c>
      <c r="E2444" t="s">
        <v>5019</v>
      </c>
      <c r="F2444" t="s">
        <v>5019</v>
      </c>
      <c r="G2444" t="s">
        <v>5022</v>
      </c>
      <c r="H2444" s="5" t="s">
        <v>5022</v>
      </c>
      <c r="I2444" t="s">
        <v>5022</v>
      </c>
      <c r="J2444" t="b">
        <f>AND(CCData[[#This Row],[Date]]&gt;=Calculation!$E$3,CCData[[#This Row],[Date]]&lt;Calculation!$E$3+7)</f>
        <v>0</v>
      </c>
    </row>
    <row r="2445" spans="1:10">
      <c r="A2445" t="s">
        <v>2444</v>
      </c>
      <c r="B2445" s="2">
        <v>42047.428</v>
      </c>
      <c r="C2445" s="3" t="s">
        <v>5007</v>
      </c>
      <c r="D2445" t="s">
        <v>5013</v>
      </c>
      <c r="E2445" t="s">
        <v>5019</v>
      </c>
      <c r="F2445" t="s">
        <v>5019</v>
      </c>
      <c r="G2445" t="s">
        <v>5022</v>
      </c>
      <c r="H2445" s="5" t="s">
        <v>5022</v>
      </c>
      <c r="I2445" t="s">
        <v>5022</v>
      </c>
      <c r="J2445" t="b">
        <f>AND(CCData[[#This Row],[Date]]&gt;=Calculation!$E$3,CCData[[#This Row],[Date]]&lt;Calculation!$E$3+7)</f>
        <v>0</v>
      </c>
    </row>
    <row r="2446" spans="1:10">
      <c r="A2446" t="s">
        <v>2445</v>
      </c>
      <c r="B2446" s="2">
        <v>42047.434000000001</v>
      </c>
      <c r="C2446" s="3" t="s">
        <v>5004</v>
      </c>
      <c r="D2446" t="s">
        <v>5015</v>
      </c>
      <c r="E2446" t="s">
        <v>5018</v>
      </c>
      <c r="F2446" t="s">
        <v>5018</v>
      </c>
      <c r="G2446">
        <v>107</v>
      </c>
      <c r="H2446" s="5">
        <v>2.6676078620988786E-3</v>
      </c>
      <c r="I2446">
        <v>5</v>
      </c>
      <c r="J2446" t="b">
        <f>AND(CCData[[#This Row],[Date]]&gt;=Calculation!$E$3,CCData[[#This Row],[Date]]&lt;Calculation!$E$3+7)</f>
        <v>0</v>
      </c>
    </row>
    <row r="2447" spans="1:10">
      <c r="A2447" t="s">
        <v>2446</v>
      </c>
      <c r="B2447" s="2">
        <v>42047.434000000001</v>
      </c>
      <c r="C2447" s="3" t="s">
        <v>5004</v>
      </c>
      <c r="D2447" t="s">
        <v>5016</v>
      </c>
      <c r="E2447" t="s">
        <v>5018</v>
      </c>
      <c r="F2447" t="s">
        <v>5018</v>
      </c>
      <c r="G2447">
        <v>21</v>
      </c>
      <c r="H2447" s="5">
        <v>4.8586127306728443E-3</v>
      </c>
      <c r="I2447">
        <v>5</v>
      </c>
      <c r="J2447" t="b">
        <f>AND(CCData[[#This Row],[Date]]&gt;=Calculation!$E$3,CCData[[#This Row],[Date]]&lt;Calculation!$E$3+7)</f>
        <v>0</v>
      </c>
    </row>
    <row r="2448" spans="1:10">
      <c r="A2448" t="s">
        <v>2447</v>
      </c>
      <c r="B2448" s="2">
        <v>42047.434999999998</v>
      </c>
      <c r="C2448" s="3" t="s">
        <v>5008</v>
      </c>
      <c r="D2448" t="s">
        <v>5012</v>
      </c>
      <c r="E2448" t="s">
        <v>5018</v>
      </c>
      <c r="F2448" t="s">
        <v>5018</v>
      </c>
      <c r="G2448">
        <v>79</v>
      </c>
      <c r="H2448" s="5">
        <v>2.4434588381224134E-3</v>
      </c>
      <c r="I2448">
        <v>4</v>
      </c>
      <c r="J2448" t="b">
        <f>AND(CCData[[#This Row],[Date]]&gt;=Calculation!$E$3,CCData[[#This Row],[Date]]&lt;Calculation!$E$3+7)</f>
        <v>0</v>
      </c>
    </row>
    <row r="2449" spans="1:10">
      <c r="A2449" t="s">
        <v>2448</v>
      </c>
      <c r="B2449" s="2">
        <v>42047.434999999998</v>
      </c>
      <c r="C2449" s="3" t="s">
        <v>5003</v>
      </c>
      <c r="D2449" t="s">
        <v>5014</v>
      </c>
      <c r="E2449" t="s">
        <v>5018</v>
      </c>
      <c r="F2449" t="s">
        <v>5018</v>
      </c>
      <c r="G2449">
        <v>67</v>
      </c>
      <c r="H2449" s="5">
        <v>1.5802301467653962E-3</v>
      </c>
      <c r="I2449">
        <v>3</v>
      </c>
      <c r="J2449" t="b">
        <f>AND(CCData[[#This Row],[Date]]&gt;=Calculation!$E$3,CCData[[#This Row],[Date]]&lt;Calculation!$E$3+7)</f>
        <v>0</v>
      </c>
    </row>
    <row r="2450" spans="1:10">
      <c r="A2450" t="s">
        <v>2449</v>
      </c>
      <c r="B2450" s="2">
        <v>42047.438999999998</v>
      </c>
      <c r="C2450" s="3" t="s">
        <v>5004</v>
      </c>
      <c r="D2450" t="s">
        <v>5013</v>
      </c>
      <c r="E2450" t="s">
        <v>5018</v>
      </c>
      <c r="F2450" t="s">
        <v>5018</v>
      </c>
      <c r="G2450">
        <v>32</v>
      </c>
      <c r="H2450" s="5">
        <v>1.2963724324450802E-3</v>
      </c>
      <c r="I2450">
        <v>3</v>
      </c>
      <c r="J2450" t="b">
        <f>AND(CCData[[#This Row],[Date]]&gt;=Calculation!$E$3,CCData[[#This Row],[Date]]&lt;Calculation!$E$3+7)</f>
        <v>0</v>
      </c>
    </row>
    <row r="2451" spans="1:10">
      <c r="A2451" t="s">
        <v>2450</v>
      </c>
      <c r="B2451" s="2">
        <v>42047.438999999998</v>
      </c>
      <c r="C2451" s="3" t="s">
        <v>5004</v>
      </c>
      <c r="D2451" t="s">
        <v>5012</v>
      </c>
      <c r="E2451" t="s">
        <v>5019</v>
      </c>
      <c r="F2451" t="s">
        <v>5019</v>
      </c>
      <c r="G2451" t="s">
        <v>5022</v>
      </c>
      <c r="H2451" s="5" t="s">
        <v>5022</v>
      </c>
      <c r="I2451" t="s">
        <v>5022</v>
      </c>
      <c r="J2451" t="b">
        <f>AND(CCData[[#This Row],[Date]]&gt;=Calculation!$E$3,CCData[[#This Row],[Date]]&lt;Calculation!$E$3+7)</f>
        <v>0</v>
      </c>
    </row>
    <row r="2452" spans="1:10">
      <c r="A2452" t="s">
        <v>2451</v>
      </c>
      <c r="B2452" s="2">
        <v>42047.449000000001</v>
      </c>
      <c r="C2452" s="3" t="s">
        <v>5009</v>
      </c>
      <c r="D2452" t="s">
        <v>5012</v>
      </c>
      <c r="E2452" t="s">
        <v>5018</v>
      </c>
      <c r="F2452" t="s">
        <v>5018</v>
      </c>
      <c r="G2452">
        <v>79</v>
      </c>
      <c r="H2452" s="5">
        <v>3.3011537168954543E-3</v>
      </c>
      <c r="I2452">
        <v>4</v>
      </c>
      <c r="J2452" t="b">
        <f>AND(CCData[[#This Row],[Date]]&gt;=Calculation!$E$3,CCData[[#This Row],[Date]]&lt;Calculation!$E$3+7)</f>
        <v>0</v>
      </c>
    </row>
    <row r="2453" spans="1:10">
      <c r="A2453" t="s">
        <v>2452</v>
      </c>
      <c r="B2453" s="2">
        <v>42047.449000000001</v>
      </c>
      <c r="C2453" s="3" t="s">
        <v>5007</v>
      </c>
      <c r="D2453" t="s">
        <v>5015</v>
      </c>
      <c r="E2453" t="s">
        <v>5018</v>
      </c>
      <c r="F2453" t="s">
        <v>5018</v>
      </c>
      <c r="G2453">
        <v>117</v>
      </c>
      <c r="H2453" s="5">
        <v>2.7660327802376114E-3</v>
      </c>
      <c r="I2453">
        <v>3</v>
      </c>
      <c r="J2453" t="b">
        <f>AND(CCData[[#This Row],[Date]]&gt;=Calculation!$E$3,CCData[[#This Row],[Date]]&lt;Calculation!$E$3+7)</f>
        <v>0</v>
      </c>
    </row>
    <row r="2454" spans="1:10">
      <c r="A2454" t="s">
        <v>2453</v>
      </c>
      <c r="B2454" s="2">
        <v>42047.453999999998</v>
      </c>
      <c r="C2454" s="3" t="s">
        <v>5010</v>
      </c>
      <c r="D2454" t="s">
        <v>5013</v>
      </c>
      <c r="E2454" t="s">
        <v>5018</v>
      </c>
      <c r="F2454" t="s">
        <v>5018</v>
      </c>
      <c r="G2454">
        <v>110</v>
      </c>
      <c r="H2454" s="5">
        <v>3.1415940693684525E-3</v>
      </c>
      <c r="I2454">
        <v>4</v>
      </c>
      <c r="J2454" t="b">
        <f>AND(CCData[[#This Row],[Date]]&gt;=Calculation!$E$3,CCData[[#This Row],[Date]]&lt;Calculation!$E$3+7)</f>
        <v>0</v>
      </c>
    </row>
    <row r="2455" spans="1:10">
      <c r="A2455" t="s">
        <v>2454</v>
      </c>
      <c r="B2455" s="2">
        <v>42047.453999999998</v>
      </c>
      <c r="C2455" s="3" t="s">
        <v>5010</v>
      </c>
      <c r="D2455" t="s">
        <v>5015</v>
      </c>
      <c r="E2455" t="s">
        <v>5018</v>
      </c>
      <c r="F2455" t="s">
        <v>5018</v>
      </c>
      <c r="G2455">
        <v>31</v>
      </c>
      <c r="H2455" s="5">
        <v>3.7501644751979801E-4</v>
      </c>
      <c r="I2455">
        <v>4</v>
      </c>
      <c r="J2455" t="b">
        <f>AND(CCData[[#This Row],[Date]]&gt;=Calculation!$E$3,CCData[[#This Row],[Date]]&lt;Calculation!$E$3+7)</f>
        <v>0</v>
      </c>
    </row>
    <row r="2456" spans="1:10">
      <c r="A2456" t="s">
        <v>2455</v>
      </c>
      <c r="B2456" s="2">
        <v>42047.464</v>
      </c>
      <c r="C2456" s="3" t="s">
        <v>5010</v>
      </c>
      <c r="D2456" t="s">
        <v>5012</v>
      </c>
      <c r="E2456" t="s">
        <v>5019</v>
      </c>
      <c r="F2456" t="s">
        <v>5019</v>
      </c>
      <c r="G2456" t="s">
        <v>5022</v>
      </c>
      <c r="H2456" s="5" t="s">
        <v>5022</v>
      </c>
      <c r="I2456" t="s">
        <v>5022</v>
      </c>
      <c r="J2456" t="b">
        <f>AND(CCData[[#This Row],[Date]]&gt;=Calculation!$E$3,CCData[[#This Row],[Date]]&lt;Calculation!$E$3+7)</f>
        <v>0</v>
      </c>
    </row>
    <row r="2457" spans="1:10">
      <c r="A2457" t="s">
        <v>2456</v>
      </c>
      <c r="B2457" s="2">
        <v>42047.464</v>
      </c>
      <c r="C2457" s="3" t="s">
        <v>5006</v>
      </c>
      <c r="D2457" t="s">
        <v>5016</v>
      </c>
      <c r="E2457" t="s">
        <v>5018</v>
      </c>
      <c r="F2457" t="s">
        <v>5018</v>
      </c>
      <c r="G2457">
        <v>87</v>
      </c>
      <c r="H2457" s="5">
        <v>4.5108895007817682E-3</v>
      </c>
      <c r="I2457">
        <v>4</v>
      </c>
      <c r="J2457" t="b">
        <f>AND(CCData[[#This Row],[Date]]&gt;=Calculation!$E$3,CCData[[#This Row],[Date]]&lt;Calculation!$E$3+7)</f>
        <v>0</v>
      </c>
    </row>
    <row r="2458" spans="1:10">
      <c r="A2458" t="s">
        <v>2457</v>
      </c>
      <c r="B2458" s="2">
        <v>42047.476999999999</v>
      </c>
      <c r="C2458" s="3" t="s">
        <v>5004</v>
      </c>
      <c r="D2458" t="s">
        <v>5013</v>
      </c>
      <c r="E2458" t="s">
        <v>5018</v>
      </c>
      <c r="F2458" t="s">
        <v>5018</v>
      </c>
      <c r="G2458">
        <v>99</v>
      </c>
      <c r="H2458" s="5">
        <v>4.8062225492454067E-3</v>
      </c>
      <c r="I2458">
        <v>5</v>
      </c>
      <c r="J2458" t="b">
        <f>AND(CCData[[#This Row],[Date]]&gt;=Calculation!$E$3,CCData[[#This Row],[Date]]&lt;Calculation!$E$3+7)</f>
        <v>0</v>
      </c>
    </row>
    <row r="2459" spans="1:10">
      <c r="A2459" t="s">
        <v>2458</v>
      </c>
      <c r="B2459" s="2">
        <v>42047.476999999999</v>
      </c>
      <c r="C2459" s="3" t="s">
        <v>5009</v>
      </c>
      <c r="D2459" t="s">
        <v>5016</v>
      </c>
      <c r="E2459" t="s">
        <v>5018</v>
      </c>
      <c r="F2459" t="s">
        <v>5018</v>
      </c>
      <c r="G2459">
        <v>83</v>
      </c>
      <c r="H2459" s="5">
        <v>2.5840604879702593E-3</v>
      </c>
      <c r="I2459">
        <v>4</v>
      </c>
      <c r="J2459" t="b">
        <f>AND(CCData[[#This Row],[Date]]&gt;=Calculation!$E$3,CCData[[#This Row],[Date]]&lt;Calculation!$E$3+7)</f>
        <v>0</v>
      </c>
    </row>
    <row r="2460" spans="1:10">
      <c r="A2460" t="s">
        <v>2459</v>
      </c>
      <c r="B2460" s="2">
        <v>42047.495999999999</v>
      </c>
      <c r="C2460" s="3" t="s">
        <v>5003</v>
      </c>
      <c r="D2460" t="s">
        <v>5015</v>
      </c>
      <c r="E2460" t="s">
        <v>5018</v>
      </c>
      <c r="F2460" t="s">
        <v>5018</v>
      </c>
      <c r="G2460">
        <v>36</v>
      </c>
      <c r="H2460" s="5">
        <v>4.3210545644976573E-3</v>
      </c>
      <c r="I2460">
        <v>3</v>
      </c>
      <c r="J2460" t="b">
        <f>AND(CCData[[#This Row],[Date]]&gt;=Calculation!$E$3,CCData[[#This Row],[Date]]&lt;Calculation!$E$3+7)</f>
        <v>0</v>
      </c>
    </row>
    <row r="2461" spans="1:10">
      <c r="A2461" t="s">
        <v>2460</v>
      </c>
      <c r="B2461" s="2">
        <v>42047.495999999999</v>
      </c>
      <c r="C2461" s="3" t="s">
        <v>5010</v>
      </c>
      <c r="D2461" t="s">
        <v>5015</v>
      </c>
      <c r="E2461" t="s">
        <v>5018</v>
      </c>
      <c r="F2461" t="s">
        <v>5018</v>
      </c>
      <c r="G2461">
        <v>67</v>
      </c>
      <c r="H2461" s="5">
        <v>4.7708342570710579E-3</v>
      </c>
      <c r="I2461">
        <v>3</v>
      </c>
      <c r="J2461" t="b">
        <f>AND(CCData[[#This Row],[Date]]&gt;=Calculation!$E$3,CCData[[#This Row],[Date]]&lt;Calculation!$E$3+7)</f>
        <v>0</v>
      </c>
    </row>
    <row r="2462" spans="1:10">
      <c r="A2462" t="s">
        <v>2461</v>
      </c>
      <c r="B2462" s="2">
        <v>42047.51</v>
      </c>
      <c r="C2462" s="3" t="s">
        <v>5005</v>
      </c>
      <c r="D2462" t="s">
        <v>5013</v>
      </c>
      <c r="E2462" t="s">
        <v>5018</v>
      </c>
      <c r="F2462" t="s">
        <v>5018</v>
      </c>
      <c r="G2462">
        <v>91</v>
      </c>
      <c r="H2462" s="5">
        <v>2.1566177278499535E-3</v>
      </c>
      <c r="I2462">
        <v>4</v>
      </c>
      <c r="J2462" t="b">
        <f>AND(CCData[[#This Row],[Date]]&gt;=Calculation!$E$3,CCData[[#This Row],[Date]]&lt;Calculation!$E$3+7)</f>
        <v>0</v>
      </c>
    </row>
    <row r="2463" spans="1:10">
      <c r="A2463" t="s">
        <v>2462</v>
      </c>
      <c r="B2463" s="2">
        <v>42047.51</v>
      </c>
      <c r="C2463" s="3" t="s">
        <v>5010</v>
      </c>
      <c r="D2463" t="s">
        <v>5013</v>
      </c>
      <c r="E2463" t="s">
        <v>5019</v>
      </c>
      <c r="F2463" t="s">
        <v>5019</v>
      </c>
      <c r="G2463" t="s">
        <v>5022</v>
      </c>
      <c r="H2463" s="5" t="s">
        <v>5022</v>
      </c>
      <c r="I2463" t="s">
        <v>5022</v>
      </c>
      <c r="J2463" t="b">
        <f>AND(CCData[[#This Row],[Date]]&gt;=Calculation!$E$3,CCData[[#This Row],[Date]]&lt;Calculation!$E$3+7)</f>
        <v>0</v>
      </c>
    </row>
    <row r="2464" spans="1:10">
      <c r="A2464" t="s">
        <v>2463</v>
      </c>
      <c r="B2464" s="2">
        <v>42047.517</v>
      </c>
      <c r="C2464" s="3" t="s">
        <v>5006</v>
      </c>
      <c r="D2464" t="s">
        <v>5016</v>
      </c>
      <c r="E2464" t="s">
        <v>5018</v>
      </c>
      <c r="F2464" t="s">
        <v>5018</v>
      </c>
      <c r="G2464">
        <v>29</v>
      </c>
      <c r="H2464" s="5">
        <v>4.1198638109880116E-3</v>
      </c>
      <c r="I2464">
        <v>3</v>
      </c>
      <c r="J2464" t="b">
        <f>AND(CCData[[#This Row],[Date]]&gt;=Calculation!$E$3,CCData[[#This Row],[Date]]&lt;Calculation!$E$3+7)</f>
        <v>0</v>
      </c>
    </row>
    <row r="2465" spans="1:10">
      <c r="A2465" t="s">
        <v>2464</v>
      </c>
      <c r="B2465" s="2">
        <v>42047.517</v>
      </c>
      <c r="C2465" s="3" t="s">
        <v>5003</v>
      </c>
      <c r="D2465" t="s">
        <v>5015</v>
      </c>
      <c r="E2465" t="s">
        <v>5018</v>
      </c>
      <c r="F2465" t="s">
        <v>5018</v>
      </c>
      <c r="G2465">
        <v>86</v>
      </c>
      <c r="H2465" s="5">
        <v>2.9209850132103361E-3</v>
      </c>
      <c r="I2465">
        <v>1</v>
      </c>
      <c r="J2465" t="b">
        <f>AND(CCData[[#This Row],[Date]]&gt;=Calculation!$E$3,CCData[[#This Row],[Date]]&lt;Calculation!$E$3+7)</f>
        <v>0</v>
      </c>
    </row>
    <row r="2466" spans="1:10">
      <c r="A2466" t="s">
        <v>2465</v>
      </c>
      <c r="B2466" s="2">
        <v>42047.535000000003</v>
      </c>
      <c r="C2466" s="3" t="s">
        <v>5007</v>
      </c>
      <c r="D2466" t="s">
        <v>5014</v>
      </c>
      <c r="E2466" t="s">
        <v>5018</v>
      </c>
      <c r="F2466" t="s">
        <v>5018</v>
      </c>
      <c r="G2466">
        <v>58</v>
      </c>
      <c r="H2466" s="5">
        <v>1.2994528946309431E-3</v>
      </c>
      <c r="I2466">
        <v>5</v>
      </c>
      <c r="J2466" t="b">
        <f>AND(CCData[[#This Row],[Date]]&gt;=Calculation!$E$3,CCData[[#This Row],[Date]]&lt;Calculation!$E$3+7)</f>
        <v>0</v>
      </c>
    </row>
    <row r="2467" spans="1:10">
      <c r="A2467" t="s">
        <v>2466</v>
      </c>
      <c r="B2467" s="2">
        <v>42047.535000000003</v>
      </c>
      <c r="C2467" s="3" t="s">
        <v>5006</v>
      </c>
      <c r="D2467" t="s">
        <v>5014</v>
      </c>
      <c r="E2467" t="s">
        <v>5018</v>
      </c>
      <c r="F2467" t="s">
        <v>5018</v>
      </c>
      <c r="G2467">
        <v>57</v>
      </c>
      <c r="H2467" s="5">
        <v>5.2662312020933331E-4</v>
      </c>
      <c r="I2467">
        <v>1</v>
      </c>
      <c r="J2467" t="b">
        <f>AND(CCData[[#This Row],[Date]]&gt;=Calculation!$E$3,CCData[[#This Row],[Date]]&lt;Calculation!$E$3+7)</f>
        <v>0</v>
      </c>
    </row>
    <row r="2468" spans="1:10">
      <c r="A2468" t="s">
        <v>2467</v>
      </c>
      <c r="B2468" s="2">
        <v>42047.546999999999</v>
      </c>
      <c r="C2468" s="3" t="s">
        <v>5007</v>
      </c>
      <c r="D2468" t="s">
        <v>5016</v>
      </c>
      <c r="E2468" t="s">
        <v>5018</v>
      </c>
      <c r="F2468" t="s">
        <v>5018</v>
      </c>
      <c r="G2468">
        <v>70</v>
      </c>
      <c r="H2468" s="5">
        <v>3.333370855324585E-3</v>
      </c>
      <c r="I2468">
        <v>3</v>
      </c>
      <c r="J2468" t="b">
        <f>AND(CCData[[#This Row],[Date]]&gt;=Calculation!$E$3,CCData[[#This Row],[Date]]&lt;Calculation!$E$3+7)</f>
        <v>0</v>
      </c>
    </row>
    <row r="2469" spans="1:10">
      <c r="A2469" t="s">
        <v>2468</v>
      </c>
      <c r="B2469" s="2">
        <v>42047.546999999999</v>
      </c>
      <c r="C2469" s="3" t="s">
        <v>5007</v>
      </c>
      <c r="D2469" t="s">
        <v>5015</v>
      </c>
      <c r="E2469" t="s">
        <v>5019</v>
      </c>
      <c r="F2469" t="s">
        <v>5019</v>
      </c>
      <c r="G2469" t="s">
        <v>5022</v>
      </c>
      <c r="H2469" s="5" t="s">
        <v>5022</v>
      </c>
      <c r="I2469" t="s">
        <v>5022</v>
      </c>
      <c r="J2469" t="b">
        <f>AND(CCData[[#This Row],[Date]]&gt;=Calculation!$E$3,CCData[[#This Row],[Date]]&lt;Calculation!$E$3+7)</f>
        <v>0</v>
      </c>
    </row>
    <row r="2470" spans="1:10">
      <c r="A2470" t="s">
        <v>2469</v>
      </c>
      <c r="B2470" s="2">
        <v>42047.559000000001</v>
      </c>
      <c r="C2470" s="3" t="s">
        <v>5008</v>
      </c>
      <c r="D2470" t="s">
        <v>5012</v>
      </c>
      <c r="E2470" t="s">
        <v>5018</v>
      </c>
      <c r="F2470" t="s">
        <v>5018</v>
      </c>
      <c r="G2470">
        <v>77</v>
      </c>
      <c r="H2470" s="5">
        <v>1.6218624043170644E-3</v>
      </c>
      <c r="I2470">
        <v>4</v>
      </c>
      <c r="J2470" t="b">
        <f>AND(CCData[[#This Row],[Date]]&gt;=Calculation!$E$3,CCData[[#This Row],[Date]]&lt;Calculation!$E$3+7)</f>
        <v>0</v>
      </c>
    </row>
    <row r="2471" spans="1:10">
      <c r="A2471" t="s">
        <v>2470</v>
      </c>
      <c r="B2471" s="2">
        <v>42047.559000000001</v>
      </c>
      <c r="C2471" s="3" t="s">
        <v>5010</v>
      </c>
      <c r="D2471" t="s">
        <v>5012</v>
      </c>
      <c r="E2471" t="s">
        <v>5018</v>
      </c>
      <c r="F2471" t="s">
        <v>5018</v>
      </c>
      <c r="G2471">
        <v>31</v>
      </c>
      <c r="H2471" s="5">
        <v>3.6625444500735572E-3</v>
      </c>
      <c r="I2471">
        <v>5</v>
      </c>
      <c r="J2471" t="b">
        <f>AND(CCData[[#This Row],[Date]]&gt;=Calculation!$E$3,CCData[[#This Row],[Date]]&lt;Calculation!$E$3+7)</f>
        <v>0</v>
      </c>
    </row>
    <row r="2472" spans="1:10">
      <c r="A2472" t="s">
        <v>2471</v>
      </c>
      <c r="B2472" s="2">
        <v>42047.561999999998</v>
      </c>
      <c r="C2472" s="3" t="s">
        <v>5003</v>
      </c>
      <c r="D2472" t="s">
        <v>5013</v>
      </c>
      <c r="E2472" t="s">
        <v>5018</v>
      </c>
      <c r="F2472" t="s">
        <v>5018</v>
      </c>
      <c r="G2472">
        <v>43</v>
      </c>
      <c r="H2472" s="5">
        <v>6.4801289261861683E-4</v>
      </c>
      <c r="I2472">
        <v>2</v>
      </c>
      <c r="J2472" t="b">
        <f>AND(CCData[[#This Row],[Date]]&gt;=Calculation!$E$3,CCData[[#This Row],[Date]]&lt;Calculation!$E$3+7)</f>
        <v>0</v>
      </c>
    </row>
    <row r="2473" spans="1:10">
      <c r="A2473" t="s">
        <v>2472</v>
      </c>
      <c r="B2473" s="2">
        <v>42047.561999999998</v>
      </c>
      <c r="C2473" s="3" t="s">
        <v>5007</v>
      </c>
      <c r="D2473" t="s">
        <v>5013</v>
      </c>
      <c r="E2473" t="s">
        <v>5018</v>
      </c>
      <c r="F2473" t="s">
        <v>5018</v>
      </c>
      <c r="G2473">
        <v>38</v>
      </c>
      <c r="H2473" s="5">
        <v>3.5422906493406919E-3</v>
      </c>
      <c r="I2473">
        <v>4</v>
      </c>
      <c r="J2473" t="b">
        <f>AND(CCData[[#This Row],[Date]]&gt;=Calculation!$E$3,CCData[[#This Row],[Date]]&lt;Calculation!$E$3+7)</f>
        <v>0</v>
      </c>
    </row>
    <row r="2474" spans="1:10">
      <c r="A2474" t="s">
        <v>2473</v>
      </c>
      <c r="B2474" s="2">
        <v>42047.661999999997</v>
      </c>
      <c r="C2474" s="3" t="s">
        <v>5003</v>
      </c>
      <c r="D2474" t="s">
        <v>5013</v>
      </c>
      <c r="E2474" t="s">
        <v>5019</v>
      </c>
      <c r="F2474" t="s">
        <v>5019</v>
      </c>
      <c r="G2474" t="s">
        <v>5022</v>
      </c>
      <c r="H2474" s="5" t="s">
        <v>5022</v>
      </c>
      <c r="I2474" t="s">
        <v>5022</v>
      </c>
      <c r="J2474" t="b">
        <f>AND(CCData[[#This Row],[Date]]&gt;=Calculation!$E$3,CCData[[#This Row],[Date]]&lt;Calculation!$E$3+7)</f>
        <v>0</v>
      </c>
    </row>
    <row r="2475" spans="1:10">
      <c r="A2475" t="s">
        <v>2474</v>
      </c>
      <c r="B2475" s="2">
        <v>42047.661999999997</v>
      </c>
      <c r="C2475" s="3" t="s">
        <v>5003</v>
      </c>
      <c r="D2475" t="s">
        <v>5012</v>
      </c>
      <c r="E2475" t="s">
        <v>5018</v>
      </c>
      <c r="F2475" t="s">
        <v>5019</v>
      </c>
      <c r="G2475">
        <v>83</v>
      </c>
      <c r="H2475" s="5">
        <v>1.6625714619527181E-3</v>
      </c>
      <c r="I2475">
        <v>5</v>
      </c>
      <c r="J2475" t="b">
        <f>AND(CCData[[#This Row],[Date]]&gt;=Calculation!$E$3,CCData[[#This Row],[Date]]&lt;Calculation!$E$3+7)</f>
        <v>0</v>
      </c>
    </row>
    <row r="2476" spans="1:10">
      <c r="A2476" t="s">
        <v>2475</v>
      </c>
      <c r="B2476" s="2">
        <v>42047.718000000001</v>
      </c>
      <c r="C2476" s="3" t="s">
        <v>5007</v>
      </c>
      <c r="D2476" t="s">
        <v>5015</v>
      </c>
      <c r="E2476" t="s">
        <v>5018</v>
      </c>
      <c r="F2476" t="s">
        <v>5018</v>
      </c>
      <c r="G2476">
        <v>122</v>
      </c>
      <c r="H2476" s="5">
        <v>3.1373145221134094E-3</v>
      </c>
      <c r="I2476">
        <v>5</v>
      </c>
      <c r="J2476" t="b">
        <f>AND(CCData[[#This Row],[Date]]&gt;=Calculation!$E$3,CCData[[#This Row],[Date]]&lt;Calculation!$E$3+7)</f>
        <v>0</v>
      </c>
    </row>
    <row r="2477" spans="1:10">
      <c r="A2477" t="s">
        <v>2476</v>
      </c>
      <c r="B2477" s="2">
        <v>42047.718000000001</v>
      </c>
      <c r="C2477" s="3" t="s">
        <v>5010</v>
      </c>
      <c r="D2477" t="s">
        <v>5013</v>
      </c>
      <c r="E2477" t="s">
        <v>5018</v>
      </c>
      <c r="F2477" t="s">
        <v>5018</v>
      </c>
      <c r="G2477">
        <v>42</v>
      </c>
      <c r="H2477" s="5">
        <v>4.7212874986786932E-3</v>
      </c>
      <c r="I2477">
        <v>5</v>
      </c>
      <c r="J2477" t="b">
        <f>AND(CCData[[#This Row],[Date]]&gt;=Calculation!$E$3,CCData[[#This Row],[Date]]&lt;Calculation!$E$3+7)</f>
        <v>0</v>
      </c>
    </row>
    <row r="2478" spans="1:10">
      <c r="A2478" t="s">
        <v>2477</v>
      </c>
      <c r="B2478" s="2">
        <v>42047.745000000003</v>
      </c>
      <c r="C2478" s="3" t="s">
        <v>5004</v>
      </c>
      <c r="D2478" t="s">
        <v>5016</v>
      </c>
      <c r="E2478" t="s">
        <v>5018</v>
      </c>
      <c r="F2478" t="s">
        <v>5018</v>
      </c>
      <c r="G2478">
        <v>61</v>
      </c>
      <c r="H2478" s="5">
        <v>8.2410699564104987E-4</v>
      </c>
      <c r="I2478">
        <v>4</v>
      </c>
      <c r="J2478" t="b">
        <f>AND(CCData[[#This Row],[Date]]&gt;=Calculation!$E$3,CCData[[#This Row],[Date]]&lt;Calculation!$E$3+7)</f>
        <v>0</v>
      </c>
    </row>
    <row r="2479" spans="1:10">
      <c r="A2479" t="s">
        <v>2478</v>
      </c>
      <c r="B2479" s="2">
        <v>42047.745000000003</v>
      </c>
      <c r="C2479" s="3" t="s">
        <v>5007</v>
      </c>
      <c r="D2479" t="s">
        <v>5016</v>
      </c>
      <c r="E2479" t="s">
        <v>5018</v>
      </c>
      <c r="F2479" t="s">
        <v>5019</v>
      </c>
      <c r="G2479">
        <v>103</v>
      </c>
      <c r="H2479" s="5">
        <v>2.7412240893612133E-3</v>
      </c>
      <c r="I2479">
        <v>3</v>
      </c>
      <c r="J2479" t="b">
        <f>AND(CCData[[#This Row],[Date]]&gt;=Calculation!$E$3,CCData[[#This Row],[Date]]&lt;Calculation!$E$3+7)</f>
        <v>0</v>
      </c>
    </row>
    <row r="2480" spans="1:10">
      <c r="A2480" t="s">
        <v>2479</v>
      </c>
      <c r="B2480" s="2">
        <v>42047.745000000003</v>
      </c>
      <c r="C2480" s="3" t="s">
        <v>5004</v>
      </c>
      <c r="D2480" t="s">
        <v>5016</v>
      </c>
      <c r="E2480" t="s">
        <v>5018</v>
      </c>
      <c r="F2480" t="s">
        <v>5018</v>
      </c>
      <c r="G2480">
        <v>110</v>
      </c>
      <c r="H2480" s="5">
        <v>3.7683606799233157E-3</v>
      </c>
      <c r="I2480">
        <v>4</v>
      </c>
      <c r="J2480" t="b">
        <f>AND(CCData[[#This Row],[Date]]&gt;=Calculation!$E$3,CCData[[#This Row],[Date]]&lt;Calculation!$E$3+7)</f>
        <v>0</v>
      </c>
    </row>
    <row r="2481" spans="1:10">
      <c r="A2481" t="s">
        <v>2480</v>
      </c>
      <c r="B2481" s="2">
        <v>42047.745000000003</v>
      </c>
      <c r="C2481" s="3" t="s">
        <v>5003</v>
      </c>
      <c r="D2481" t="s">
        <v>5016</v>
      </c>
      <c r="E2481" t="s">
        <v>5019</v>
      </c>
      <c r="F2481" t="s">
        <v>5019</v>
      </c>
      <c r="G2481" t="s">
        <v>5022</v>
      </c>
      <c r="H2481" s="5" t="s">
        <v>5022</v>
      </c>
      <c r="I2481" t="s">
        <v>5022</v>
      </c>
      <c r="J2481" t="b">
        <f>AND(CCData[[#This Row],[Date]]&gt;=Calculation!$E$3,CCData[[#This Row],[Date]]&lt;Calculation!$E$3+7)</f>
        <v>0</v>
      </c>
    </row>
    <row r="2482" spans="1:10">
      <c r="A2482" t="s">
        <v>2481</v>
      </c>
      <c r="B2482" s="2">
        <v>42048.385000000002</v>
      </c>
      <c r="C2482" s="3" t="s">
        <v>5009</v>
      </c>
      <c r="D2482" t="s">
        <v>5014</v>
      </c>
      <c r="E2482" t="s">
        <v>5019</v>
      </c>
      <c r="F2482" t="s">
        <v>5019</v>
      </c>
      <c r="G2482" t="s">
        <v>5022</v>
      </c>
      <c r="H2482" s="5" t="s">
        <v>5022</v>
      </c>
      <c r="I2482" t="s">
        <v>5022</v>
      </c>
      <c r="J2482" t="b">
        <f>AND(CCData[[#This Row],[Date]]&gt;=Calculation!$E$3,CCData[[#This Row],[Date]]&lt;Calculation!$E$3+7)</f>
        <v>0</v>
      </c>
    </row>
    <row r="2483" spans="1:10">
      <c r="A2483" t="s">
        <v>2482</v>
      </c>
      <c r="B2483" s="2">
        <v>42048.385000000002</v>
      </c>
      <c r="C2483" s="3" t="s">
        <v>5010</v>
      </c>
      <c r="D2483" t="s">
        <v>5013</v>
      </c>
      <c r="E2483" t="s">
        <v>5019</v>
      </c>
      <c r="F2483" t="s">
        <v>5019</v>
      </c>
      <c r="G2483" t="s">
        <v>5022</v>
      </c>
      <c r="H2483" s="5" t="s">
        <v>5022</v>
      </c>
      <c r="I2483" t="s">
        <v>5022</v>
      </c>
      <c r="J2483" t="b">
        <f>AND(CCData[[#This Row],[Date]]&gt;=Calculation!$E$3,CCData[[#This Row],[Date]]&lt;Calculation!$E$3+7)</f>
        <v>0</v>
      </c>
    </row>
    <row r="2484" spans="1:10">
      <c r="A2484" t="s">
        <v>2483</v>
      </c>
      <c r="B2484" s="2">
        <v>42048.398000000001</v>
      </c>
      <c r="C2484" s="3" t="s">
        <v>5009</v>
      </c>
      <c r="D2484" t="s">
        <v>5013</v>
      </c>
      <c r="E2484" t="s">
        <v>5018</v>
      </c>
      <c r="F2484" t="s">
        <v>5018</v>
      </c>
      <c r="G2484">
        <v>88</v>
      </c>
      <c r="H2484" s="5">
        <v>1.556978333891216E-3</v>
      </c>
      <c r="I2484">
        <v>2</v>
      </c>
      <c r="J2484" t="b">
        <f>AND(CCData[[#This Row],[Date]]&gt;=Calculation!$E$3,CCData[[#This Row],[Date]]&lt;Calculation!$E$3+7)</f>
        <v>0</v>
      </c>
    </row>
    <row r="2485" spans="1:10">
      <c r="A2485" t="s">
        <v>2484</v>
      </c>
      <c r="B2485" s="2">
        <v>42048.398000000001</v>
      </c>
      <c r="C2485" s="3" t="s">
        <v>5007</v>
      </c>
      <c r="D2485" t="s">
        <v>5016</v>
      </c>
      <c r="E2485" t="s">
        <v>5019</v>
      </c>
      <c r="F2485" t="s">
        <v>5019</v>
      </c>
      <c r="G2485" t="s">
        <v>5022</v>
      </c>
      <c r="H2485" s="5" t="s">
        <v>5022</v>
      </c>
      <c r="I2485" t="s">
        <v>5022</v>
      </c>
      <c r="J2485" t="b">
        <f>AND(CCData[[#This Row],[Date]]&gt;=Calculation!$E$3,CCData[[#This Row],[Date]]&lt;Calculation!$E$3+7)</f>
        <v>0</v>
      </c>
    </row>
    <row r="2486" spans="1:10">
      <c r="A2486" t="s">
        <v>2485</v>
      </c>
      <c r="B2486" s="2">
        <v>42048.4</v>
      </c>
      <c r="C2486" s="3" t="s">
        <v>5005</v>
      </c>
      <c r="D2486" t="s">
        <v>5013</v>
      </c>
      <c r="E2486" t="s">
        <v>5018</v>
      </c>
      <c r="F2486" t="s">
        <v>5018</v>
      </c>
      <c r="G2486">
        <v>57</v>
      </c>
      <c r="H2486" s="5">
        <v>1.6614478827670894E-3</v>
      </c>
      <c r="I2486">
        <v>5</v>
      </c>
      <c r="J2486" t="b">
        <f>AND(CCData[[#This Row],[Date]]&gt;=Calculation!$E$3,CCData[[#This Row],[Date]]&lt;Calculation!$E$3+7)</f>
        <v>0</v>
      </c>
    </row>
    <row r="2487" spans="1:10">
      <c r="A2487" t="s">
        <v>2486</v>
      </c>
      <c r="B2487" s="2">
        <v>42048.4</v>
      </c>
      <c r="C2487" s="3" t="s">
        <v>5007</v>
      </c>
      <c r="D2487" t="s">
        <v>5014</v>
      </c>
      <c r="E2487" t="s">
        <v>5019</v>
      </c>
      <c r="F2487" t="s">
        <v>5019</v>
      </c>
      <c r="G2487" t="s">
        <v>5022</v>
      </c>
      <c r="H2487" s="5" t="s">
        <v>5022</v>
      </c>
      <c r="I2487" t="s">
        <v>5022</v>
      </c>
      <c r="J2487" t="b">
        <f>AND(CCData[[#This Row],[Date]]&gt;=Calculation!$E$3,CCData[[#This Row],[Date]]&lt;Calculation!$E$3+7)</f>
        <v>0</v>
      </c>
    </row>
    <row r="2488" spans="1:10">
      <c r="A2488" t="s">
        <v>2487</v>
      </c>
      <c r="B2488" s="2">
        <v>42048.404000000002</v>
      </c>
      <c r="C2488" s="3" t="s">
        <v>5004</v>
      </c>
      <c r="D2488" t="s">
        <v>5012</v>
      </c>
      <c r="E2488" t="s">
        <v>5019</v>
      </c>
      <c r="F2488" t="s">
        <v>5019</v>
      </c>
      <c r="G2488" t="s">
        <v>5022</v>
      </c>
      <c r="H2488" s="5" t="s">
        <v>5022</v>
      </c>
      <c r="I2488" t="s">
        <v>5022</v>
      </c>
      <c r="J2488" t="b">
        <f>AND(CCData[[#This Row],[Date]]&gt;=Calculation!$E$3,CCData[[#This Row],[Date]]&lt;Calculation!$E$3+7)</f>
        <v>0</v>
      </c>
    </row>
    <row r="2489" spans="1:10">
      <c r="A2489" t="s">
        <v>2488</v>
      </c>
      <c r="B2489" s="2">
        <v>42048.404000000002</v>
      </c>
      <c r="C2489" s="3" t="s">
        <v>5010</v>
      </c>
      <c r="D2489" t="s">
        <v>5012</v>
      </c>
      <c r="E2489" t="s">
        <v>5018</v>
      </c>
      <c r="F2489" t="s">
        <v>5018</v>
      </c>
      <c r="G2489">
        <v>37</v>
      </c>
      <c r="H2489" s="5">
        <v>4.2285284766617609E-3</v>
      </c>
      <c r="I2489">
        <v>3</v>
      </c>
      <c r="J2489" t="b">
        <f>AND(CCData[[#This Row],[Date]]&gt;=Calculation!$E$3,CCData[[#This Row],[Date]]&lt;Calculation!$E$3+7)</f>
        <v>0</v>
      </c>
    </row>
    <row r="2490" spans="1:10">
      <c r="A2490" t="s">
        <v>2489</v>
      </c>
      <c r="B2490" s="2">
        <v>42048.413</v>
      </c>
      <c r="C2490" s="3" t="s">
        <v>5006</v>
      </c>
      <c r="D2490" t="s">
        <v>5014</v>
      </c>
      <c r="E2490" t="s">
        <v>5018</v>
      </c>
      <c r="F2490" t="s">
        <v>5018</v>
      </c>
      <c r="G2490">
        <v>62</v>
      </c>
      <c r="H2490" s="5">
        <v>8.6077390161181148E-4</v>
      </c>
      <c r="I2490">
        <v>2</v>
      </c>
      <c r="J2490" t="b">
        <f>AND(CCData[[#This Row],[Date]]&gt;=Calculation!$E$3,CCData[[#This Row],[Date]]&lt;Calculation!$E$3+7)</f>
        <v>0</v>
      </c>
    </row>
    <row r="2491" spans="1:10">
      <c r="A2491" t="s">
        <v>2490</v>
      </c>
      <c r="B2491" s="2">
        <v>42048.413</v>
      </c>
      <c r="C2491" s="3" t="s">
        <v>5006</v>
      </c>
      <c r="D2491" t="s">
        <v>5016</v>
      </c>
      <c r="E2491" t="s">
        <v>5018</v>
      </c>
      <c r="F2491" t="s">
        <v>5018</v>
      </c>
      <c r="G2491">
        <v>48</v>
      </c>
      <c r="H2491" s="5">
        <v>1.0030983648501427E-3</v>
      </c>
      <c r="I2491">
        <v>4</v>
      </c>
      <c r="J2491" t="b">
        <f>AND(CCData[[#This Row],[Date]]&gt;=Calculation!$E$3,CCData[[#This Row],[Date]]&lt;Calculation!$E$3+7)</f>
        <v>0</v>
      </c>
    </row>
    <row r="2492" spans="1:10">
      <c r="A2492" t="s">
        <v>2491</v>
      </c>
      <c r="B2492" s="2">
        <v>42048.423999999999</v>
      </c>
      <c r="C2492" s="3" t="s">
        <v>5010</v>
      </c>
      <c r="D2492" t="s">
        <v>5013</v>
      </c>
      <c r="E2492" t="s">
        <v>5018</v>
      </c>
      <c r="F2492" t="s">
        <v>5018</v>
      </c>
      <c r="G2492">
        <v>123</v>
      </c>
      <c r="H2492" s="5">
        <v>2.2189077740700875E-3</v>
      </c>
      <c r="I2492">
        <v>3</v>
      </c>
      <c r="J2492" t="b">
        <f>AND(CCData[[#This Row],[Date]]&gt;=Calculation!$E$3,CCData[[#This Row],[Date]]&lt;Calculation!$E$3+7)</f>
        <v>0</v>
      </c>
    </row>
    <row r="2493" spans="1:10">
      <c r="A2493" t="s">
        <v>2492</v>
      </c>
      <c r="B2493" s="2">
        <v>42048.423999999999</v>
      </c>
      <c r="C2493" s="3" t="s">
        <v>5006</v>
      </c>
      <c r="D2493" t="s">
        <v>5012</v>
      </c>
      <c r="E2493" t="s">
        <v>5018</v>
      </c>
      <c r="F2493" t="s">
        <v>5018</v>
      </c>
      <c r="G2493">
        <v>83</v>
      </c>
      <c r="H2493" s="5">
        <v>5.7742528807544578E-4</v>
      </c>
      <c r="I2493">
        <v>5</v>
      </c>
      <c r="J2493" t="b">
        <f>AND(CCData[[#This Row],[Date]]&gt;=Calculation!$E$3,CCData[[#This Row],[Date]]&lt;Calculation!$E$3+7)</f>
        <v>0</v>
      </c>
    </row>
    <row r="2494" spans="1:10">
      <c r="A2494" t="s">
        <v>2493</v>
      </c>
      <c r="B2494" s="2">
        <v>42048.44</v>
      </c>
      <c r="C2494" s="3" t="s">
        <v>5008</v>
      </c>
      <c r="D2494" t="s">
        <v>5015</v>
      </c>
      <c r="E2494" t="s">
        <v>5018</v>
      </c>
      <c r="F2494" t="s">
        <v>5018</v>
      </c>
      <c r="G2494">
        <v>23</v>
      </c>
      <c r="H2494" s="5">
        <v>1.9751956526140604E-3</v>
      </c>
      <c r="I2494">
        <v>5</v>
      </c>
      <c r="J2494" t="b">
        <f>AND(CCData[[#This Row],[Date]]&gt;=Calculation!$E$3,CCData[[#This Row],[Date]]&lt;Calculation!$E$3+7)</f>
        <v>0</v>
      </c>
    </row>
    <row r="2495" spans="1:10">
      <c r="A2495" t="s">
        <v>2494</v>
      </c>
      <c r="B2495" s="2">
        <v>42048.44</v>
      </c>
      <c r="C2495" s="3" t="s">
        <v>5010</v>
      </c>
      <c r="D2495" t="s">
        <v>5014</v>
      </c>
      <c r="E2495" t="s">
        <v>5019</v>
      </c>
      <c r="F2495" t="s">
        <v>5019</v>
      </c>
      <c r="G2495" t="s">
        <v>5022</v>
      </c>
      <c r="H2495" s="5" t="s">
        <v>5022</v>
      </c>
      <c r="I2495" t="s">
        <v>5022</v>
      </c>
      <c r="J2495" t="b">
        <f>AND(CCData[[#This Row],[Date]]&gt;=Calculation!$E$3,CCData[[#This Row],[Date]]&lt;Calculation!$E$3+7)</f>
        <v>0</v>
      </c>
    </row>
    <row r="2496" spans="1:10">
      <c r="A2496" t="s">
        <v>2495</v>
      </c>
      <c r="B2496" s="2">
        <v>42048.447999999997</v>
      </c>
      <c r="C2496" s="3" t="s">
        <v>5006</v>
      </c>
      <c r="D2496" t="s">
        <v>5016</v>
      </c>
      <c r="E2496" t="s">
        <v>5018</v>
      </c>
      <c r="F2496" t="s">
        <v>5019</v>
      </c>
      <c r="G2496">
        <v>27</v>
      </c>
      <c r="H2496" s="5">
        <v>3.5967202327936852E-3</v>
      </c>
      <c r="I2496">
        <v>3</v>
      </c>
      <c r="J2496" t="b">
        <f>AND(CCData[[#This Row],[Date]]&gt;=Calculation!$E$3,CCData[[#This Row],[Date]]&lt;Calculation!$E$3+7)</f>
        <v>0</v>
      </c>
    </row>
    <row r="2497" spans="1:10">
      <c r="A2497" t="s">
        <v>2496</v>
      </c>
      <c r="B2497" s="2">
        <v>42048.447999999997</v>
      </c>
      <c r="C2497" s="3" t="s">
        <v>5008</v>
      </c>
      <c r="D2497" t="s">
        <v>5015</v>
      </c>
      <c r="E2497" t="s">
        <v>5018</v>
      </c>
      <c r="F2497" t="s">
        <v>5018</v>
      </c>
      <c r="G2497">
        <v>78</v>
      </c>
      <c r="H2497" s="5">
        <v>4.4351661515855869E-3</v>
      </c>
      <c r="I2497">
        <v>5</v>
      </c>
      <c r="J2497" t="b">
        <f>AND(CCData[[#This Row],[Date]]&gt;=Calculation!$E$3,CCData[[#This Row],[Date]]&lt;Calculation!$E$3+7)</f>
        <v>0</v>
      </c>
    </row>
    <row r="2498" spans="1:10">
      <c r="A2498" t="s">
        <v>2497</v>
      </c>
      <c r="B2498" s="2">
        <v>42048.461000000003</v>
      </c>
      <c r="C2498" s="3" t="s">
        <v>5004</v>
      </c>
      <c r="D2498" t="s">
        <v>5016</v>
      </c>
      <c r="E2498" t="s">
        <v>5018</v>
      </c>
      <c r="F2498" t="s">
        <v>5018</v>
      </c>
      <c r="G2498">
        <v>82</v>
      </c>
      <c r="H2498" s="5">
        <v>3.6136537156517094E-3</v>
      </c>
      <c r="I2498">
        <v>3</v>
      </c>
      <c r="J2498" t="b">
        <f>AND(CCData[[#This Row],[Date]]&gt;=Calculation!$E$3,CCData[[#This Row],[Date]]&lt;Calculation!$E$3+7)</f>
        <v>0</v>
      </c>
    </row>
    <row r="2499" spans="1:10">
      <c r="A2499" t="s">
        <v>2498</v>
      </c>
      <c r="B2499" s="2">
        <v>42048.461000000003</v>
      </c>
      <c r="C2499" s="3" t="s">
        <v>5007</v>
      </c>
      <c r="D2499" t="s">
        <v>5016</v>
      </c>
      <c r="E2499" t="s">
        <v>5018</v>
      </c>
      <c r="F2499" t="s">
        <v>5018</v>
      </c>
      <c r="G2499">
        <v>50</v>
      </c>
      <c r="H2499" s="5">
        <v>3.7838393231988724E-3</v>
      </c>
      <c r="I2499">
        <v>4</v>
      </c>
      <c r="J2499" t="b">
        <f>AND(CCData[[#This Row],[Date]]&gt;=Calculation!$E$3,CCData[[#This Row],[Date]]&lt;Calculation!$E$3+7)</f>
        <v>0</v>
      </c>
    </row>
    <row r="2500" spans="1:10">
      <c r="A2500" t="s">
        <v>2499</v>
      </c>
      <c r="B2500" s="2">
        <v>42048.481</v>
      </c>
      <c r="C2500" s="3" t="s">
        <v>5003</v>
      </c>
      <c r="D2500" t="s">
        <v>5015</v>
      </c>
      <c r="E2500" t="s">
        <v>5018</v>
      </c>
      <c r="F2500" t="s">
        <v>5018</v>
      </c>
      <c r="G2500">
        <v>90</v>
      </c>
      <c r="H2500" s="5">
        <v>7.906886275356774E-4</v>
      </c>
      <c r="I2500">
        <v>4</v>
      </c>
      <c r="J2500" t="b">
        <f>AND(CCData[[#This Row],[Date]]&gt;=Calculation!$E$3,CCData[[#This Row],[Date]]&lt;Calculation!$E$3+7)</f>
        <v>0</v>
      </c>
    </row>
    <row r="2501" spans="1:10">
      <c r="A2501" t="s">
        <v>2500</v>
      </c>
      <c r="B2501" s="2">
        <v>42048.481</v>
      </c>
      <c r="C2501" s="3" t="s">
        <v>5008</v>
      </c>
      <c r="D2501" t="s">
        <v>5015</v>
      </c>
      <c r="E2501" t="s">
        <v>5018</v>
      </c>
      <c r="F2501" t="s">
        <v>5018</v>
      </c>
      <c r="G2501">
        <v>89</v>
      </c>
      <c r="H2501" s="5">
        <v>3.6272601324410696E-3</v>
      </c>
      <c r="I2501">
        <v>3</v>
      </c>
      <c r="J2501" t="b">
        <f>AND(CCData[[#This Row],[Date]]&gt;=Calculation!$E$3,CCData[[#This Row],[Date]]&lt;Calculation!$E$3+7)</f>
        <v>0</v>
      </c>
    </row>
    <row r="2502" spans="1:10">
      <c r="A2502" t="s">
        <v>2501</v>
      </c>
      <c r="B2502" s="2">
        <v>42048.508999999998</v>
      </c>
      <c r="C2502" s="3" t="s">
        <v>5009</v>
      </c>
      <c r="D2502" t="s">
        <v>5014</v>
      </c>
      <c r="E2502" t="s">
        <v>5018</v>
      </c>
      <c r="F2502" t="s">
        <v>5018</v>
      </c>
      <c r="G2502">
        <v>79</v>
      </c>
      <c r="H2502" s="5">
        <v>4.706370171334167E-3</v>
      </c>
      <c r="I2502">
        <v>1</v>
      </c>
      <c r="J2502" t="b">
        <f>AND(CCData[[#This Row],[Date]]&gt;=Calculation!$E$3,CCData[[#This Row],[Date]]&lt;Calculation!$E$3+7)</f>
        <v>0</v>
      </c>
    </row>
    <row r="2503" spans="1:10">
      <c r="A2503" t="s">
        <v>2502</v>
      </c>
      <c r="B2503" s="2">
        <v>42048.508999999998</v>
      </c>
      <c r="C2503" s="3" t="s">
        <v>5006</v>
      </c>
      <c r="D2503" t="s">
        <v>5012</v>
      </c>
      <c r="E2503" t="s">
        <v>5018</v>
      </c>
      <c r="F2503" t="s">
        <v>5018</v>
      </c>
      <c r="G2503">
        <v>123</v>
      </c>
      <c r="H2503" s="5">
        <v>4.6484179692593431E-3</v>
      </c>
      <c r="I2503">
        <v>2</v>
      </c>
      <c r="J2503" t="b">
        <f>AND(CCData[[#This Row],[Date]]&gt;=Calculation!$E$3,CCData[[#This Row],[Date]]&lt;Calculation!$E$3+7)</f>
        <v>0</v>
      </c>
    </row>
    <row r="2504" spans="1:10">
      <c r="A2504" t="s">
        <v>2503</v>
      </c>
      <c r="B2504" s="2">
        <v>42048.517999999996</v>
      </c>
      <c r="C2504" s="3" t="s">
        <v>5010</v>
      </c>
      <c r="D2504" t="s">
        <v>5015</v>
      </c>
      <c r="E2504" t="s">
        <v>5018</v>
      </c>
      <c r="F2504" t="s">
        <v>5018</v>
      </c>
      <c r="G2504">
        <v>97</v>
      </c>
      <c r="H2504" s="5">
        <v>1.7591454529579391E-3</v>
      </c>
      <c r="I2504">
        <v>1</v>
      </c>
      <c r="J2504" t="b">
        <f>AND(CCData[[#This Row],[Date]]&gt;=Calculation!$E$3,CCData[[#This Row],[Date]]&lt;Calculation!$E$3+7)</f>
        <v>0</v>
      </c>
    </row>
    <row r="2505" spans="1:10">
      <c r="A2505" t="s">
        <v>2504</v>
      </c>
      <c r="B2505" s="2">
        <v>42048.517999999996</v>
      </c>
      <c r="C2505" s="3" t="s">
        <v>5010</v>
      </c>
      <c r="D2505" t="s">
        <v>5013</v>
      </c>
      <c r="E2505" t="s">
        <v>5018</v>
      </c>
      <c r="F2505" t="s">
        <v>5018</v>
      </c>
      <c r="G2505">
        <v>74</v>
      </c>
      <c r="H2505" s="5">
        <v>4.1279385913011446E-3</v>
      </c>
      <c r="I2505">
        <v>3</v>
      </c>
      <c r="J2505" t="b">
        <f>AND(CCData[[#This Row],[Date]]&gt;=Calculation!$E$3,CCData[[#This Row],[Date]]&lt;Calculation!$E$3+7)</f>
        <v>0</v>
      </c>
    </row>
    <row r="2506" spans="1:10">
      <c r="A2506" t="s">
        <v>2505</v>
      </c>
      <c r="B2506" s="2">
        <v>42048.519</v>
      </c>
      <c r="C2506" s="3" t="s">
        <v>5007</v>
      </c>
      <c r="D2506" t="s">
        <v>5015</v>
      </c>
      <c r="E2506" t="s">
        <v>5018</v>
      </c>
      <c r="F2506" t="s">
        <v>5018</v>
      </c>
      <c r="G2506">
        <v>68</v>
      </c>
      <c r="H2506" s="5">
        <v>2.2007561746225633E-3</v>
      </c>
      <c r="I2506">
        <v>5</v>
      </c>
      <c r="J2506" t="b">
        <f>AND(CCData[[#This Row],[Date]]&gt;=Calculation!$E$3,CCData[[#This Row],[Date]]&lt;Calculation!$E$3+7)</f>
        <v>0</v>
      </c>
    </row>
    <row r="2507" spans="1:10">
      <c r="A2507" t="s">
        <v>2506</v>
      </c>
      <c r="B2507" s="2">
        <v>42048.519</v>
      </c>
      <c r="C2507" s="3" t="s">
        <v>5008</v>
      </c>
      <c r="D2507" t="s">
        <v>5016</v>
      </c>
      <c r="E2507" t="s">
        <v>5018</v>
      </c>
      <c r="F2507" t="s">
        <v>5018</v>
      </c>
      <c r="G2507">
        <v>100</v>
      </c>
      <c r="H2507" s="5">
        <v>3.0820582821215296E-3</v>
      </c>
      <c r="I2507">
        <v>5</v>
      </c>
      <c r="J2507" t="b">
        <f>AND(CCData[[#This Row],[Date]]&gt;=Calculation!$E$3,CCData[[#This Row],[Date]]&lt;Calculation!$E$3+7)</f>
        <v>0</v>
      </c>
    </row>
    <row r="2508" spans="1:10">
      <c r="A2508" t="s">
        <v>2507</v>
      </c>
      <c r="B2508" s="2">
        <v>42048.52</v>
      </c>
      <c r="C2508" s="3" t="s">
        <v>5007</v>
      </c>
      <c r="D2508" t="s">
        <v>5015</v>
      </c>
      <c r="E2508" t="s">
        <v>5019</v>
      </c>
      <c r="F2508" t="s">
        <v>5019</v>
      </c>
      <c r="G2508" t="s">
        <v>5022</v>
      </c>
      <c r="H2508" s="5" t="s">
        <v>5022</v>
      </c>
      <c r="I2508" t="s">
        <v>5022</v>
      </c>
      <c r="J2508" t="b">
        <f>AND(CCData[[#This Row],[Date]]&gt;=Calculation!$E$3,CCData[[#This Row],[Date]]&lt;Calculation!$E$3+7)</f>
        <v>0</v>
      </c>
    </row>
    <row r="2509" spans="1:10">
      <c r="A2509" t="s">
        <v>2508</v>
      </c>
      <c r="B2509" s="2">
        <v>42048.52</v>
      </c>
      <c r="C2509" s="3" t="s">
        <v>5009</v>
      </c>
      <c r="D2509" t="s">
        <v>5012</v>
      </c>
      <c r="E2509" t="s">
        <v>5018</v>
      </c>
      <c r="F2509" t="s">
        <v>5018</v>
      </c>
      <c r="G2509">
        <v>34</v>
      </c>
      <c r="H2509" s="5">
        <v>3.1169972877826977E-3</v>
      </c>
      <c r="I2509">
        <v>4</v>
      </c>
      <c r="J2509" t="b">
        <f>AND(CCData[[#This Row],[Date]]&gt;=Calculation!$E$3,CCData[[#This Row],[Date]]&lt;Calculation!$E$3+7)</f>
        <v>0</v>
      </c>
    </row>
    <row r="2510" spans="1:10">
      <c r="A2510" t="s">
        <v>2509</v>
      </c>
      <c r="B2510" s="2">
        <v>42048.533000000003</v>
      </c>
      <c r="C2510" s="3" t="s">
        <v>5010</v>
      </c>
      <c r="D2510" t="s">
        <v>5013</v>
      </c>
      <c r="E2510" t="s">
        <v>5019</v>
      </c>
      <c r="F2510" t="s">
        <v>5019</v>
      </c>
      <c r="G2510" t="s">
        <v>5022</v>
      </c>
      <c r="H2510" s="5" t="s">
        <v>5022</v>
      </c>
      <c r="I2510" t="s">
        <v>5022</v>
      </c>
      <c r="J2510" t="b">
        <f>AND(CCData[[#This Row],[Date]]&gt;=Calculation!$E$3,CCData[[#This Row],[Date]]&lt;Calculation!$E$3+7)</f>
        <v>0</v>
      </c>
    </row>
    <row r="2511" spans="1:10">
      <c r="A2511" t="s">
        <v>2510</v>
      </c>
      <c r="B2511" s="2">
        <v>42048.533000000003</v>
      </c>
      <c r="C2511" s="3" t="s">
        <v>5006</v>
      </c>
      <c r="D2511" t="s">
        <v>5012</v>
      </c>
      <c r="E2511" t="s">
        <v>5018</v>
      </c>
      <c r="F2511" t="s">
        <v>5018</v>
      </c>
      <c r="G2511">
        <v>33</v>
      </c>
      <c r="H2511" s="5">
        <v>2.613404859188853E-3</v>
      </c>
      <c r="I2511">
        <v>1</v>
      </c>
      <c r="J2511" t="b">
        <f>AND(CCData[[#This Row],[Date]]&gt;=Calculation!$E$3,CCData[[#This Row],[Date]]&lt;Calculation!$E$3+7)</f>
        <v>0</v>
      </c>
    </row>
    <row r="2512" spans="1:10">
      <c r="A2512" t="s">
        <v>2511</v>
      </c>
      <c r="B2512" s="2">
        <v>42048.536999999997</v>
      </c>
      <c r="C2512" s="3" t="s">
        <v>5006</v>
      </c>
      <c r="D2512" t="s">
        <v>5012</v>
      </c>
      <c r="E2512" t="s">
        <v>5018</v>
      </c>
      <c r="F2512" t="s">
        <v>5018</v>
      </c>
      <c r="G2512">
        <v>63</v>
      </c>
      <c r="H2512" s="5">
        <v>3.6244971091773121E-3</v>
      </c>
      <c r="I2512">
        <v>5</v>
      </c>
      <c r="J2512" t="b">
        <f>AND(CCData[[#This Row],[Date]]&gt;=Calculation!$E$3,CCData[[#This Row],[Date]]&lt;Calculation!$E$3+7)</f>
        <v>0</v>
      </c>
    </row>
    <row r="2513" spans="1:10">
      <c r="A2513" t="s">
        <v>2512</v>
      </c>
      <c r="B2513" s="2">
        <v>42048.536999999997</v>
      </c>
      <c r="C2513" s="3" t="s">
        <v>5006</v>
      </c>
      <c r="D2513" t="s">
        <v>5013</v>
      </c>
      <c r="E2513" t="s">
        <v>5018</v>
      </c>
      <c r="F2513" t="s">
        <v>5018</v>
      </c>
      <c r="G2513">
        <v>54</v>
      </c>
      <c r="H2513" s="5">
        <v>2.0586625582175123E-3</v>
      </c>
      <c r="I2513">
        <v>1</v>
      </c>
      <c r="J2513" t="b">
        <f>AND(CCData[[#This Row],[Date]]&gt;=Calculation!$E$3,CCData[[#This Row],[Date]]&lt;Calculation!$E$3+7)</f>
        <v>0</v>
      </c>
    </row>
    <row r="2514" spans="1:10">
      <c r="A2514" t="s">
        <v>2513</v>
      </c>
      <c r="B2514" s="2">
        <v>42048.550999999999</v>
      </c>
      <c r="C2514" s="3" t="s">
        <v>5006</v>
      </c>
      <c r="D2514" t="s">
        <v>5015</v>
      </c>
      <c r="E2514" t="s">
        <v>5019</v>
      </c>
      <c r="F2514" t="s">
        <v>5019</v>
      </c>
      <c r="G2514" t="s">
        <v>5022</v>
      </c>
      <c r="H2514" s="5" t="s">
        <v>5022</v>
      </c>
      <c r="I2514" t="s">
        <v>5022</v>
      </c>
      <c r="J2514" t="b">
        <f>AND(CCData[[#This Row],[Date]]&gt;=Calculation!$E$3,CCData[[#This Row],[Date]]&lt;Calculation!$E$3+7)</f>
        <v>0</v>
      </c>
    </row>
    <row r="2515" spans="1:10">
      <c r="A2515" t="s">
        <v>2514</v>
      </c>
      <c r="B2515" s="2">
        <v>42048.550999999999</v>
      </c>
      <c r="C2515" s="3" t="s">
        <v>5006</v>
      </c>
      <c r="D2515" t="s">
        <v>5013</v>
      </c>
      <c r="E2515" t="s">
        <v>5018</v>
      </c>
      <c r="F2515" t="s">
        <v>5018</v>
      </c>
      <c r="G2515">
        <v>91</v>
      </c>
      <c r="H2515" s="5">
        <v>2.5703685683838126E-3</v>
      </c>
      <c r="I2515">
        <v>2</v>
      </c>
      <c r="J2515" t="b">
        <f>AND(CCData[[#This Row],[Date]]&gt;=Calculation!$E$3,CCData[[#This Row],[Date]]&lt;Calculation!$E$3+7)</f>
        <v>0</v>
      </c>
    </row>
    <row r="2516" spans="1:10">
      <c r="A2516" t="s">
        <v>2515</v>
      </c>
      <c r="B2516" s="2">
        <v>42048.553</v>
      </c>
      <c r="C2516" s="3" t="s">
        <v>5004</v>
      </c>
      <c r="D2516" t="s">
        <v>5014</v>
      </c>
      <c r="E2516" t="s">
        <v>5018</v>
      </c>
      <c r="F2516" t="s">
        <v>5018</v>
      </c>
      <c r="G2516">
        <v>89</v>
      </c>
      <c r="H2516" s="5">
        <v>2.9479979943602408E-3</v>
      </c>
      <c r="I2516">
        <v>4</v>
      </c>
      <c r="J2516" t="b">
        <f>AND(CCData[[#This Row],[Date]]&gt;=Calculation!$E$3,CCData[[#This Row],[Date]]&lt;Calculation!$E$3+7)</f>
        <v>0</v>
      </c>
    </row>
    <row r="2517" spans="1:10">
      <c r="A2517" t="s">
        <v>2516</v>
      </c>
      <c r="B2517" s="2">
        <v>42048.553</v>
      </c>
      <c r="C2517" s="3" t="s">
        <v>5008</v>
      </c>
      <c r="D2517" t="s">
        <v>5014</v>
      </c>
      <c r="E2517" t="s">
        <v>5018</v>
      </c>
      <c r="F2517" t="s">
        <v>5018</v>
      </c>
      <c r="G2517">
        <v>75</v>
      </c>
      <c r="H2517" s="5">
        <v>3.232357058009728E-3</v>
      </c>
      <c r="I2517">
        <v>5</v>
      </c>
      <c r="J2517" t="b">
        <f>AND(CCData[[#This Row],[Date]]&gt;=Calculation!$E$3,CCData[[#This Row],[Date]]&lt;Calculation!$E$3+7)</f>
        <v>0</v>
      </c>
    </row>
    <row r="2518" spans="1:10">
      <c r="A2518" t="s">
        <v>2517</v>
      </c>
      <c r="B2518" s="2">
        <v>42048.563000000002</v>
      </c>
      <c r="C2518" s="3" t="s">
        <v>5006</v>
      </c>
      <c r="D2518" t="s">
        <v>5016</v>
      </c>
      <c r="E2518" t="s">
        <v>5018</v>
      </c>
      <c r="F2518" t="s">
        <v>5018</v>
      </c>
      <c r="G2518">
        <v>54</v>
      </c>
      <c r="H2518" s="5">
        <v>4.0020548292692175E-4</v>
      </c>
      <c r="I2518">
        <v>4</v>
      </c>
      <c r="J2518" t="b">
        <f>AND(CCData[[#This Row],[Date]]&gt;=Calculation!$E$3,CCData[[#This Row],[Date]]&lt;Calculation!$E$3+7)</f>
        <v>0</v>
      </c>
    </row>
    <row r="2519" spans="1:10">
      <c r="A2519" t="s">
        <v>2518</v>
      </c>
      <c r="B2519" s="2">
        <v>42048.563000000002</v>
      </c>
      <c r="C2519" s="3" t="s">
        <v>5005</v>
      </c>
      <c r="D2519" t="s">
        <v>5014</v>
      </c>
      <c r="E2519" t="s">
        <v>5018</v>
      </c>
      <c r="F2519" t="s">
        <v>5018</v>
      </c>
      <c r="G2519">
        <v>43</v>
      </c>
      <c r="H2519" s="5">
        <v>2.1762868903131682E-3</v>
      </c>
      <c r="I2519">
        <v>3</v>
      </c>
      <c r="J2519" t="b">
        <f>AND(CCData[[#This Row],[Date]]&gt;=Calculation!$E$3,CCData[[#This Row],[Date]]&lt;Calculation!$E$3+7)</f>
        <v>0</v>
      </c>
    </row>
    <row r="2520" spans="1:10">
      <c r="A2520" t="s">
        <v>2519</v>
      </c>
      <c r="B2520" s="2">
        <v>42048.603000000003</v>
      </c>
      <c r="C2520" s="3" t="s">
        <v>5005</v>
      </c>
      <c r="D2520" t="s">
        <v>5015</v>
      </c>
      <c r="E2520" t="s">
        <v>5018</v>
      </c>
      <c r="F2520" t="s">
        <v>5018</v>
      </c>
      <c r="G2520">
        <v>45</v>
      </c>
      <c r="H2520" s="5">
        <v>4.7833469532817417E-3</v>
      </c>
      <c r="I2520">
        <v>4</v>
      </c>
      <c r="J2520" t="b">
        <f>AND(CCData[[#This Row],[Date]]&gt;=Calculation!$E$3,CCData[[#This Row],[Date]]&lt;Calculation!$E$3+7)</f>
        <v>0</v>
      </c>
    </row>
    <row r="2521" spans="1:10">
      <c r="A2521" t="s">
        <v>2520</v>
      </c>
      <c r="B2521" s="2">
        <v>42048.603000000003</v>
      </c>
      <c r="C2521" s="3" t="s">
        <v>5009</v>
      </c>
      <c r="D2521" t="s">
        <v>5014</v>
      </c>
      <c r="E2521" t="s">
        <v>5018</v>
      </c>
      <c r="F2521" t="s">
        <v>5018</v>
      </c>
      <c r="G2521">
        <v>79</v>
      </c>
      <c r="H2521" s="5">
        <v>3.5434129112031063E-4</v>
      </c>
      <c r="I2521">
        <v>5</v>
      </c>
      <c r="J2521" t="b">
        <f>AND(CCData[[#This Row],[Date]]&gt;=Calculation!$E$3,CCData[[#This Row],[Date]]&lt;Calculation!$E$3+7)</f>
        <v>0</v>
      </c>
    </row>
    <row r="2522" spans="1:10">
      <c r="A2522" t="s">
        <v>2521</v>
      </c>
      <c r="B2522" s="2">
        <v>42048.610999999997</v>
      </c>
      <c r="C2522" s="3" t="s">
        <v>5008</v>
      </c>
      <c r="D2522" t="s">
        <v>5013</v>
      </c>
      <c r="E2522" t="s">
        <v>5018</v>
      </c>
      <c r="F2522" t="s">
        <v>5018</v>
      </c>
      <c r="G2522">
        <v>27</v>
      </c>
      <c r="H2522" s="5">
        <v>2.2450968096132612E-3</v>
      </c>
      <c r="I2522">
        <v>3</v>
      </c>
      <c r="J2522" t="b">
        <f>AND(CCData[[#This Row],[Date]]&gt;=Calculation!$E$3,CCData[[#This Row],[Date]]&lt;Calculation!$E$3+7)</f>
        <v>0</v>
      </c>
    </row>
    <row r="2523" spans="1:10">
      <c r="A2523" t="s">
        <v>2522</v>
      </c>
      <c r="B2523" s="2">
        <v>42048.610999999997</v>
      </c>
      <c r="C2523" s="3" t="s">
        <v>5003</v>
      </c>
      <c r="D2523" t="s">
        <v>5014</v>
      </c>
      <c r="E2523" t="s">
        <v>5018</v>
      </c>
      <c r="F2523" t="s">
        <v>5018</v>
      </c>
      <c r="G2523">
        <v>59</v>
      </c>
      <c r="H2523" s="5">
        <v>3.8519368133410016E-3</v>
      </c>
      <c r="I2523">
        <v>3</v>
      </c>
      <c r="J2523" t="b">
        <f>AND(CCData[[#This Row],[Date]]&gt;=Calculation!$E$3,CCData[[#This Row],[Date]]&lt;Calculation!$E$3+7)</f>
        <v>0</v>
      </c>
    </row>
    <row r="2524" spans="1:10">
      <c r="A2524" t="s">
        <v>2523</v>
      </c>
      <c r="B2524" s="2">
        <v>42048.635000000002</v>
      </c>
      <c r="C2524" s="3" t="s">
        <v>5005</v>
      </c>
      <c r="D2524" t="s">
        <v>5012</v>
      </c>
      <c r="E2524" t="s">
        <v>5018</v>
      </c>
      <c r="F2524" t="s">
        <v>5019</v>
      </c>
      <c r="G2524">
        <v>70</v>
      </c>
      <c r="H2524" s="5">
        <v>6.0404091406176174E-4</v>
      </c>
      <c r="I2524">
        <v>4</v>
      </c>
      <c r="J2524" t="b">
        <f>AND(CCData[[#This Row],[Date]]&gt;=Calculation!$E$3,CCData[[#This Row],[Date]]&lt;Calculation!$E$3+7)</f>
        <v>0</v>
      </c>
    </row>
    <row r="2525" spans="1:10">
      <c r="A2525" t="s">
        <v>2524</v>
      </c>
      <c r="B2525" s="2">
        <v>42048.635000000002</v>
      </c>
      <c r="C2525" s="3" t="s">
        <v>5010</v>
      </c>
      <c r="D2525" t="s">
        <v>5014</v>
      </c>
      <c r="E2525" t="s">
        <v>5018</v>
      </c>
      <c r="F2525" t="s">
        <v>5019</v>
      </c>
      <c r="G2525">
        <v>92</v>
      </c>
      <c r="H2525" s="5">
        <v>9.92828724712954E-4</v>
      </c>
      <c r="I2525">
        <v>5</v>
      </c>
      <c r="J2525" t="b">
        <f>AND(CCData[[#This Row],[Date]]&gt;=Calculation!$E$3,CCData[[#This Row],[Date]]&lt;Calculation!$E$3+7)</f>
        <v>0</v>
      </c>
    </row>
    <row r="2526" spans="1:10">
      <c r="A2526" t="s">
        <v>2525</v>
      </c>
      <c r="B2526" s="2">
        <v>42048.648000000001</v>
      </c>
      <c r="C2526" s="3" t="s">
        <v>5006</v>
      </c>
      <c r="D2526" t="s">
        <v>5013</v>
      </c>
      <c r="E2526" t="s">
        <v>5018</v>
      </c>
      <c r="F2526" t="s">
        <v>5018</v>
      </c>
      <c r="G2526">
        <v>96</v>
      </c>
      <c r="H2526" s="5">
        <v>3.1836961374520569E-3</v>
      </c>
      <c r="I2526">
        <v>2</v>
      </c>
      <c r="J2526" t="b">
        <f>AND(CCData[[#This Row],[Date]]&gt;=Calculation!$E$3,CCData[[#This Row],[Date]]&lt;Calculation!$E$3+7)</f>
        <v>0</v>
      </c>
    </row>
    <row r="2527" spans="1:10">
      <c r="A2527" t="s">
        <v>2526</v>
      </c>
      <c r="B2527" s="2">
        <v>42048.648000000001</v>
      </c>
      <c r="C2527" s="3" t="s">
        <v>5004</v>
      </c>
      <c r="D2527" t="s">
        <v>5016</v>
      </c>
      <c r="E2527" t="s">
        <v>5018</v>
      </c>
      <c r="F2527" t="s">
        <v>5018</v>
      </c>
      <c r="G2527">
        <v>79</v>
      </c>
      <c r="H2527" s="5">
        <v>3.5875470463235058E-3</v>
      </c>
      <c r="I2527">
        <v>5</v>
      </c>
      <c r="J2527" t="b">
        <f>AND(CCData[[#This Row],[Date]]&gt;=Calculation!$E$3,CCData[[#This Row],[Date]]&lt;Calculation!$E$3+7)</f>
        <v>0</v>
      </c>
    </row>
    <row r="2528" spans="1:10">
      <c r="A2528" t="s">
        <v>2527</v>
      </c>
      <c r="B2528" s="2">
        <v>42048.665000000001</v>
      </c>
      <c r="C2528" s="3" t="s">
        <v>5006</v>
      </c>
      <c r="D2528" t="s">
        <v>5015</v>
      </c>
      <c r="E2528" t="s">
        <v>5018</v>
      </c>
      <c r="F2528" t="s">
        <v>5018</v>
      </c>
      <c r="G2528">
        <v>115</v>
      </c>
      <c r="H2528" s="5">
        <v>7.4989372389003012E-4</v>
      </c>
      <c r="I2528">
        <v>5</v>
      </c>
      <c r="J2528" t="b">
        <f>AND(CCData[[#This Row],[Date]]&gt;=Calculation!$E$3,CCData[[#This Row],[Date]]&lt;Calculation!$E$3+7)</f>
        <v>0</v>
      </c>
    </row>
    <row r="2529" spans="1:10">
      <c r="A2529" t="s">
        <v>2528</v>
      </c>
      <c r="B2529" s="2">
        <v>42048.665000000001</v>
      </c>
      <c r="C2529" s="3" t="s">
        <v>5007</v>
      </c>
      <c r="D2529" t="s">
        <v>5014</v>
      </c>
      <c r="E2529" t="s">
        <v>5018</v>
      </c>
      <c r="F2529" t="s">
        <v>5018</v>
      </c>
      <c r="G2529">
        <v>71</v>
      </c>
      <c r="H2529" s="5">
        <v>3.9998354842956593E-3</v>
      </c>
      <c r="I2529">
        <v>3</v>
      </c>
      <c r="J2529" t="b">
        <f>AND(CCData[[#This Row],[Date]]&gt;=Calculation!$E$3,CCData[[#This Row],[Date]]&lt;Calculation!$E$3+7)</f>
        <v>0</v>
      </c>
    </row>
    <row r="2530" spans="1:10">
      <c r="A2530" t="s">
        <v>2529</v>
      </c>
      <c r="B2530" s="2">
        <v>42048.678</v>
      </c>
      <c r="C2530" s="3" t="s">
        <v>5009</v>
      </c>
      <c r="D2530" t="s">
        <v>5016</v>
      </c>
      <c r="E2530" t="s">
        <v>5019</v>
      </c>
      <c r="F2530" t="s">
        <v>5019</v>
      </c>
      <c r="G2530" t="s">
        <v>5022</v>
      </c>
      <c r="H2530" s="5" t="s">
        <v>5022</v>
      </c>
      <c r="I2530" t="s">
        <v>5022</v>
      </c>
      <c r="J2530" t="b">
        <f>AND(CCData[[#This Row],[Date]]&gt;=Calculation!$E$3,CCData[[#This Row],[Date]]&lt;Calculation!$E$3+7)</f>
        <v>0</v>
      </c>
    </row>
    <row r="2531" spans="1:10">
      <c r="A2531" t="s">
        <v>2530</v>
      </c>
      <c r="B2531" s="2">
        <v>42048.678</v>
      </c>
      <c r="C2531" s="3" t="s">
        <v>5005</v>
      </c>
      <c r="D2531" t="s">
        <v>5014</v>
      </c>
      <c r="E2531" t="s">
        <v>5018</v>
      </c>
      <c r="F2531" t="s">
        <v>5019</v>
      </c>
      <c r="G2531">
        <v>124</v>
      </c>
      <c r="H2531" s="5">
        <v>3.9479820152081967E-3</v>
      </c>
      <c r="I2531">
        <v>4</v>
      </c>
      <c r="J2531" t="b">
        <f>AND(CCData[[#This Row],[Date]]&gt;=Calculation!$E$3,CCData[[#This Row],[Date]]&lt;Calculation!$E$3+7)</f>
        <v>0</v>
      </c>
    </row>
    <row r="2532" spans="1:10">
      <c r="A2532" t="s">
        <v>2531</v>
      </c>
      <c r="B2532" s="2">
        <v>42048.701999999997</v>
      </c>
      <c r="C2532" s="3" t="s">
        <v>5003</v>
      </c>
      <c r="D2532" t="s">
        <v>5014</v>
      </c>
      <c r="E2532" t="s">
        <v>5019</v>
      </c>
      <c r="F2532" t="s">
        <v>5019</v>
      </c>
      <c r="G2532" t="s">
        <v>5022</v>
      </c>
      <c r="H2532" s="5" t="s">
        <v>5022</v>
      </c>
      <c r="I2532" t="s">
        <v>5022</v>
      </c>
      <c r="J2532" t="b">
        <f>AND(CCData[[#This Row],[Date]]&gt;=Calculation!$E$3,CCData[[#This Row],[Date]]&lt;Calculation!$E$3+7)</f>
        <v>0</v>
      </c>
    </row>
    <row r="2533" spans="1:10">
      <c r="A2533" t="s">
        <v>2532</v>
      </c>
      <c r="B2533" s="2">
        <v>42048.701999999997</v>
      </c>
      <c r="C2533" s="3" t="s">
        <v>5008</v>
      </c>
      <c r="D2533" t="s">
        <v>5012</v>
      </c>
      <c r="E2533" t="s">
        <v>5018</v>
      </c>
      <c r="F2533" t="s">
        <v>5018</v>
      </c>
      <c r="G2533">
        <v>35</v>
      </c>
      <c r="H2533" s="5">
        <v>3.6174748635062312E-4</v>
      </c>
      <c r="I2533">
        <v>5</v>
      </c>
      <c r="J2533" t="b">
        <f>AND(CCData[[#This Row],[Date]]&gt;=Calculation!$E$3,CCData[[#This Row],[Date]]&lt;Calculation!$E$3+7)</f>
        <v>0</v>
      </c>
    </row>
    <row r="2534" spans="1:10">
      <c r="A2534" t="s">
        <v>2533</v>
      </c>
      <c r="B2534" s="2">
        <v>42048.720999999998</v>
      </c>
      <c r="C2534" s="3" t="s">
        <v>5010</v>
      </c>
      <c r="D2534" t="s">
        <v>5012</v>
      </c>
      <c r="E2534" t="s">
        <v>5018</v>
      </c>
      <c r="F2534" t="s">
        <v>5018</v>
      </c>
      <c r="G2534">
        <v>106</v>
      </c>
      <c r="H2534" s="5">
        <v>2.3368158712766362E-3</v>
      </c>
      <c r="I2534">
        <v>3</v>
      </c>
      <c r="J2534" t="b">
        <f>AND(CCData[[#This Row],[Date]]&gt;=Calculation!$E$3,CCData[[#This Row],[Date]]&lt;Calculation!$E$3+7)</f>
        <v>0</v>
      </c>
    </row>
    <row r="2535" spans="1:10">
      <c r="A2535" t="s">
        <v>2534</v>
      </c>
      <c r="B2535" s="2">
        <v>42048.720999999998</v>
      </c>
      <c r="C2535" s="3" t="s">
        <v>5010</v>
      </c>
      <c r="D2535" t="s">
        <v>5012</v>
      </c>
      <c r="E2535" t="s">
        <v>5018</v>
      </c>
      <c r="F2535" t="s">
        <v>5018</v>
      </c>
      <c r="G2535">
        <v>32</v>
      </c>
      <c r="H2535" s="5">
        <v>2.4667518290310284E-3</v>
      </c>
      <c r="I2535">
        <v>4</v>
      </c>
      <c r="J2535" t="b">
        <f>AND(CCData[[#This Row],[Date]]&gt;=Calculation!$E$3,CCData[[#This Row],[Date]]&lt;Calculation!$E$3+7)</f>
        <v>0</v>
      </c>
    </row>
    <row r="2536" spans="1:10">
      <c r="A2536" t="s">
        <v>2535</v>
      </c>
      <c r="B2536" s="2">
        <v>42049.38</v>
      </c>
      <c r="C2536" s="3" t="s">
        <v>5007</v>
      </c>
      <c r="D2536" t="s">
        <v>5014</v>
      </c>
      <c r="E2536" t="s">
        <v>5018</v>
      </c>
      <c r="F2536" t="s">
        <v>5018</v>
      </c>
      <c r="G2536">
        <v>119</v>
      </c>
      <c r="H2536" s="5">
        <v>2.9890684121407578E-3</v>
      </c>
      <c r="I2536">
        <v>4</v>
      </c>
      <c r="J2536" t="b">
        <f>AND(CCData[[#This Row],[Date]]&gt;=Calculation!$E$3,CCData[[#This Row],[Date]]&lt;Calculation!$E$3+7)</f>
        <v>0</v>
      </c>
    </row>
    <row r="2537" spans="1:10">
      <c r="A2537" t="s">
        <v>2536</v>
      </c>
      <c r="B2537" s="2">
        <v>42049.38</v>
      </c>
      <c r="C2537" s="3" t="s">
        <v>5006</v>
      </c>
      <c r="D2537" t="s">
        <v>5012</v>
      </c>
      <c r="E2537" t="s">
        <v>5018</v>
      </c>
      <c r="F2537" t="s">
        <v>5018</v>
      </c>
      <c r="G2537">
        <v>112</v>
      </c>
      <c r="H2537" s="5">
        <v>3.1078054582183352E-3</v>
      </c>
      <c r="I2537">
        <v>2</v>
      </c>
      <c r="J2537" t="b">
        <f>AND(CCData[[#This Row],[Date]]&gt;=Calculation!$E$3,CCData[[#This Row],[Date]]&lt;Calculation!$E$3+7)</f>
        <v>0</v>
      </c>
    </row>
    <row r="2538" spans="1:10">
      <c r="A2538" t="s">
        <v>2537</v>
      </c>
      <c r="B2538" s="2">
        <v>42049.402000000002</v>
      </c>
      <c r="C2538" s="3" t="s">
        <v>5005</v>
      </c>
      <c r="D2538" t="s">
        <v>5013</v>
      </c>
      <c r="E2538" t="s">
        <v>5018</v>
      </c>
      <c r="F2538" t="s">
        <v>5018</v>
      </c>
      <c r="G2538">
        <v>49</v>
      </c>
      <c r="H2538" s="5">
        <v>2.8905627795941676E-3</v>
      </c>
      <c r="I2538">
        <v>1</v>
      </c>
      <c r="J2538" t="b">
        <f>AND(CCData[[#This Row],[Date]]&gt;=Calculation!$E$3,CCData[[#This Row],[Date]]&lt;Calculation!$E$3+7)</f>
        <v>0</v>
      </c>
    </row>
    <row r="2539" spans="1:10">
      <c r="A2539" t="s">
        <v>2538</v>
      </c>
      <c r="B2539" s="2">
        <v>42049.402000000002</v>
      </c>
      <c r="C2539" s="3" t="s">
        <v>5005</v>
      </c>
      <c r="D2539" t="s">
        <v>5012</v>
      </c>
      <c r="E2539" t="s">
        <v>5019</v>
      </c>
      <c r="F2539" t="s">
        <v>5019</v>
      </c>
      <c r="G2539" t="s">
        <v>5022</v>
      </c>
      <c r="H2539" s="5" t="s">
        <v>5022</v>
      </c>
      <c r="I2539" t="s">
        <v>5022</v>
      </c>
      <c r="J2539" t="b">
        <f>AND(CCData[[#This Row],[Date]]&gt;=Calculation!$E$3,CCData[[#This Row],[Date]]&lt;Calculation!$E$3+7)</f>
        <v>0</v>
      </c>
    </row>
    <row r="2540" spans="1:10">
      <c r="A2540" t="s">
        <v>2539</v>
      </c>
      <c r="B2540" s="2">
        <v>42049.406999999999</v>
      </c>
      <c r="C2540" s="3" t="s">
        <v>5008</v>
      </c>
      <c r="D2540" t="s">
        <v>5015</v>
      </c>
      <c r="E2540" t="s">
        <v>5018</v>
      </c>
      <c r="F2540" t="s">
        <v>5018</v>
      </c>
      <c r="G2540">
        <v>74</v>
      </c>
      <c r="H2540" s="5">
        <v>3.4067490877048696E-3</v>
      </c>
      <c r="I2540">
        <v>3</v>
      </c>
      <c r="J2540" t="b">
        <f>AND(CCData[[#This Row],[Date]]&gt;=Calculation!$E$3,CCData[[#This Row],[Date]]&lt;Calculation!$E$3+7)</f>
        <v>0</v>
      </c>
    </row>
    <row r="2541" spans="1:10">
      <c r="A2541" t="s">
        <v>2540</v>
      </c>
      <c r="B2541" s="2">
        <v>42049.406999999999</v>
      </c>
      <c r="C2541" s="3" t="s">
        <v>5006</v>
      </c>
      <c r="D2541" t="s">
        <v>5016</v>
      </c>
      <c r="E2541" t="s">
        <v>5018</v>
      </c>
      <c r="F2541" t="s">
        <v>5019</v>
      </c>
      <c r="G2541">
        <v>117</v>
      </c>
      <c r="H2541" s="5">
        <v>1.9113787637052863E-3</v>
      </c>
      <c r="I2541">
        <v>4</v>
      </c>
      <c r="J2541" t="b">
        <f>AND(CCData[[#This Row],[Date]]&gt;=Calculation!$E$3,CCData[[#This Row],[Date]]&lt;Calculation!$E$3+7)</f>
        <v>0</v>
      </c>
    </row>
    <row r="2542" spans="1:10">
      <c r="A2542" t="s">
        <v>2541</v>
      </c>
      <c r="B2542" s="2">
        <v>42049.409</v>
      </c>
      <c r="C2542" s="3" t="s">
        <v>5007</v>
      </c>
      <c r="D2542" t="s">
        <v>5012</v>
      </c>
      <c r="E2542" t="s">
        <v>5019</v>
      </c>
      <c r="F2542" t="s">
        <v>5019</v>
      </c>
      <c r="G2542" t="s">
        <v>5022</v>
      </c>
      <c r="H2542" s="5" t="s">
        <v>5022</v>
      </c>
      <c r="I2542" t="s">
        <v>5022</v>
      </c>
      <c r="J2542" t="b">
        <f>AND(CCData[[#This Row],[Date]]&gt;=Calculation!$E$3,CCData[[#This Row],[Date]]&lt;Calculation!$E$3+7)</f>
        <v>0</v>
      </c>
    </row>
    <row r="2543" spans="1:10">
      <c r="A2543" t="s">
        <v>2542</v>
      </c>
      <c r="B2543" s="2">
        <v>42049.409</v>
      </c>
      <c r="C2543" s="3" t="s">
        <v>5003</v>
      </c>
      <c r="D2543" t="s">
        <v>5015</v>
      </c>
      <c r="E2543" t="s">
        <v>5018</v>
      </c>
      <c r="F2543" t="s">
        <v>5018</v>
      </c>
      <c r="G2543">
        <v>40</v>
      </c>
      <c r="H2543" s="5">
        <v>4.7532606136205793E-3</v>
      </c>
      <c r="I2543">
        <v>1</v>
      </c>
      <c r="J2543" t="b">
        <f>AND(CCData[[#This Row],[Date]]&gt;=Calculation!$E$3,CCData[[#This Row],[Date]]&lt;Calculation!$E$3+7)</f>
        <v>0</v>
      </c>
    </row>
    <row r="2544" spans="1:10">
      <c r="A2544" t="s">
        <v>2543</v>
      </c>
      <c r="B2544" s="2">
        <v>42049.434000000001</v>
      </c>
      <c r="C2544" s="3" t="s">
        <v>5009</v>
      </c>
      <c r="D2544" t="s">
        <v>5012</v>
      </c>
      <c r="E2544" t="s">
        <v>5018</v>
      </c>
      <c r="F2544" t="s">
        <v>5018</v>
      </c>
      <c r="G2544">
        <v>87</v>
      </c>
      <c r="H2544" s="5">
        <v>3.3968722205206278E-3</v>
      </c>
      <c r="I2544">
        <v>5</v>
      </c>
      <c r="J2544" t="b">
        <f>AND(CCData[[#This Row],[Date]]&gt;=Calculation!$E$3,CCData[[#This Row],[Date]]&lt;Calculation!$E$3+7)</f>
        <v>0</v>
      </c>
    </row>
    <row r="2545" spans="1:10">
      <c r="A2545" t="s">
        <v>2544</v>
      </c>
      <c r="B2545" s="2">
        <v>42049.434000000001</v>
      </c>
      <c r="C2545" s="3" t="s">
        <v>5009</v>
      </c>
      <c r="D2545" t="s">
        <v>5016</v>
      </c>
      <c r="E2545" t="s">
        <v>5018</v>
      </c>
      <c r="F2545" t="s">
        <v>5018</v>
      </c>
      <c r="G2545">
        <v>58</v>
      </c>
      <c r="H2545" s="5">
        <v>9.7105005656498403E-4</v>
      </c>
      <c r="I2545">
        <v>4</v>
      </c>
      <c r="J2545" t="b">
        <f>AND(CCData[[#This Row],[Date]]&gt;=Calculation!$E$3,CCData[[#This Row],[Date]]&lt;Calculation!$E$3+7)</f>
        <v>0</v>
      </c>
    </row>
    <row r="2546" spans="1:10">
      <c r="A2546" t="s">
        <v>2545</v>
      </c>
      <c r="B2546" s="2">
        <v>42049.438000000002</v>
      </c>
      <c r="C2546" s="3" t="s">
        <v>5004</v>
      </c>
      <c r="D2546" t="s">
        <v>5013</v>
      </c>
      <c r="E2546" t="s">
        <v>5018</v>
      </c>
      <c r="F2546" t="s">
        <v>5018</v>
      </c>
      <c r="G2546">
        <v>84</v>
      </c>
      <c r="H2546" s="5">
        <v>4.1694686644636091E-3</v>
      </c>
      <c r="I2546">
        <v>4</v>
      </c>
      <c r="J2546" t="b">
        <f>AND(CCData[[#This Row],[Date]]&gt;=Calculation!$E$3,CCData[[#This Row],[Date]]&lt;Calculation!$E$3+7)</f>
        <v>0</v>
      </c>
    </row>
    <row r="2547" spans="1:10">
      <c r="A2547" t="s">
        <v>2546</v>
      </c>
      <c r="B2547" s="2">
        <v>42049.438000000002</v>
      </c>
      <c r="C2547" s="3" t="s">
        <v>5007</v>
      </c>
      <c r="D2547" t="s">
        <v>5014</v>
      </c>
      <c r="E2547" t="s">
        <v>5018</v>
      </c>
      <c r="F2547" t="s">
        <v>5018</v>
      </c>
      <c r="G2547">
        <v>54</v>
      </c>
      <c r="H2547" s="5">
        <v>1.5826867890630458E-3</v>
      </c>
      <c r="I2547">
        <v>2</v>
      </c>
      <c r="J2547" t="b">
        <f>AND(CCData[[#This Row],[Date]]&gt;=Calculation!$E$3,CCData[[#This Row],[Date]]&lt;Calculation!$E$3+7)</f>
        <v>0</v>
      </c>
    </row>
    <row r="2548" spans="1:10">
      <c r="A2548" t="s">
        <v>2547</v>
      </c>
      <c r="B2548" s="2">
        <v>42049.453000000001</v>
      </c>
      <c r="C2548" s="3" t="s">
        <v>5010</v>
      </c>
      <c r="D2548" t="s">
        <v>5012</v>
      </c>
      <c r="E2548" t="s">
        <v>5018</v>
      </c>
      <c r="F2548" t="s">
        <v>5018</v>
      </c>
      <c r="G2548">
        <v>13</v>
      </c>
      <c r="H2548" s="5">
        <v>3.8888397392671061E-3</v>
      </c>
      <c r="I2548">
        <v>5</v>
      </c>
      <c r="J2548" t="b">
        <f>AND(CCData[[#This Row],[Date]]&gt;=Calculation!$E$3,CCData[[#This Row],[Date]]&lt;Calculation!$E$3+7)</f>
        <v>0</v>
      </c>
    </row>
    <row r="2549" spans="1:10">
      <c r="A2549" t="s">
        <v>2548</v>
      </c>
      <c r="B2549" s="2">
        <v>42049.453000000001</v>
      </c>
      <c r="C2549" s="3" t="s">
        <v>5003</v>
      </c>
      <c r="D2549" t="s">
        <v>5013</v>
      </c>
      <c r="E2549" t="s">
        <v>5019</v>
      </c>
      <c r="F2549" t="s">
        <v>5019</v>
      </c>
      <c r="G2549" t="s">
        <v>5022</v>
      </c>
      <c r="H2549" s="5" t="s">
        <v>5022</v>
      </c>
      <c r="I2549" t="s">
        <v>5022</v>
      </c>
      <c r="J2549" t="b">
        <f>AND(CCData[[#This Row],[Date]]&gt;=Calculation!$E$3,CCData[[#This Row],[Date]]&lt;Calculation!$E$3+7)</f>
        <v>0</v>
      </c>
    </row>
    <row r="2550" spans="1:10">
      <c r="A2550" t="s">
        <v>2549</v>
      </c>
      <c r="B2550" s="2">
        <v>42049.495999999999</v>
      </c>
      <c r="C2550" s="3" t="s">
        <v>5007</v>
      </c>
      <c r="D2550" t="s">
        <v>5013</v>
      </c>
      <c r="E2550" t="s">
        <v>5018</v>
      </c>
      <c r="F2550" t="s">
        <v>5018</v>
      </c>
      <c r="G2550">
        <v>42</v>
      </c>
      <c r="H2550" s="5">
        <v>4.1750834188620378E-4</v>
      </c>
      <c r="I2550">
        <v>4</v>
      </c>
      <c r="J2550" t="b">
        <f>AND(CCData[[#This Row],[Date]]&gt;=Calculation!$E$3,CCData[[#This Row],[Date]]&lt;Calculation!$E$3+7)</f>
        <v>0</v>
      </c>
    </row>
    <row r="2551" spans="1:10">
      <c r="A2551" t="s">
        <v>2550</v>
      </c>
      <c r="B2551" s="2">
        <v>42049.495999999999</v>
      </c>
      <c r="C2551" s="3" t="s">
        <v>5005</v>
      </c>
      <c r="D2551" t="s">
        <v>5014</v>
      </c>
      <c r="E2551" t="s">
        <v>5018</v>
      </c>
      <c r="F2551" t="s">
        <v>5018</v>
      </c>
      <c r="G2551">
        <v>12</v>
      </c>
      <c r="H2551" s="5">
        <v>1.8009827171097958E-3</v>
      </c>
      <c r="I2551">
        <v>1</v>
      </c>
      <c r="J2551" t="b">
        <f>AND(CCData[[#This Row],[Date]]&gt;=Calculation!$E$3,CCData[[#This Row],[Date]]&lt;Calculation!$E$3+7)</f>
        <v>0</v>
      </c>
    </row>
    <row r="2552" spans="1:10">
      <c r="A2552" t="s">
        <v>2551</v>
      </c>
      <c r="B2552" s="2">
        <v>42049.521999999997</v>
      </c>
      <c r="C2552" s="3" t="s">
        <v>5003</v>
      </c>
      <c r="D2552" t="s">
        <v>5015</v>
      </c>
      <c r="E2552" t="s">
        <v>5018</v>
      </c>
      <c r="F2552" t="s">
        <v>5018</v>
      </c>
      <c r="G2552">
        <v>13</v>
      </c>
      <c r="H2552" s="5">
        <v>3.2404180451832084E-3</v>
      </c>
      <c r="I2552">
        <v>3</v>
      </c>
      <c r="J2552" t="b">
        <f>AND(CCData[[#This Row],[Date]]&gt;=Calculation!$E$3,CCData[[#This Row],[Date]]&lt;Calculation!$E$3+7)</f>
        <v>0</v>
      </c>
    </row>
    <row r="2553" spans="1:10">
      <c r="A2553" t="s">
        <v>2552</v>
      </c>
      <c r="B2553" s="2">
        <v>42049.521999999997</v>
      </c>
      <c r="C2553" s="3" t="s">
        <v>5006</v>
      </c>
      <c r="D2553" t="s">
        <v>5012</v>
      </c>
      <c r="E2553" t="s">
        <v>5019</v>
      </c>
      <c r="F2553" t="s">
        <v>5019</v>
      </c>
      <c r="G2553" t="s">
        <v>5022</v>
      </c>
      <c r="H2553" s="5" t="s">
        <v>5022</v>
      </c>
      <c r="I2553" t="s">
        <v>5022</v>
      </c>
      <c r="J2553" t="b">
        <f>AND(CCData[[#This Row],[Date]]&gt;=Calculation!$E$3,CCData[[#This Row],[Date]]&lt;Calculation!$E$3+7)</f>
        <v>0</v>
      </c>
    </row>
    <row r="2554" spans="1:10">
      <c r="A2554" t="s">
        <v>2553</v>
      </c>
      <c r="B2554" s="2">
        <v>42049.529000000002</v>
      </c>
      <c r="C2554" s="3" t="s">
        <v>5003</v>
      </c>
      <c r="D2554" t="s">
        <v>5016</v>
      </c>
      <c r="E2554" t="s">
        <v>5018</v>
      </c>
      <c r="F2554" t="s">
        <v>5018</v>
      </c>
      <c r="G2554">
        <v>100</v>
      </c>
      <c r="H2554" s="5">
        <v>2.2152043108926264E-3</v>
      </c>
      <c r="I2554">
        <v>5</v>
      </c>
      <c r="J2554" t="b">
        <f>AND(CCData[[#This Row],[Date]]&gt;=Calculation!$E$3,CCData[[#This Row],[Date]]&lt;Calculation!$E$3+7)</f>
        <v>0</v>
      </c>
    </row>
    <row r="2555" spans="1:10">
      <c r="A2555" t="s">
        <v>2554</v>
      </c>
      <c r="B2555" s="2">
        <v>42049.529000000002</v>
      </c>
      <c r="C2555" s="3" t="s">
        <v>5008</v>
      </c>
      <c r="D2555" t="s">
        <v>5014</v>
      </c>
      <c r="E2555" t="s">
        <v>5018</v>
      </c>
      <c r="F2555" t="s">
        <v>5018</v>
      </c>
      <c r="G2555">
        <v>70</v>
      </c>
      <c r="H2555" s="5">
        <v>8.1201456351063421E-4</v>
      </c>
      <c r="I2555">
        <v>2</v>
      </c>
      <c r="J2555" t="b">
        <f>AND(CCData[[#This Row],[Date]]&gt;=Calculation!$E$3,CCData[[#This Row],[Date]]&lt;Calculation!$E$3+7)</f>
        <v>0</v>
      </c>
    </row>
    <row r="2556" spans="1:10">
      <c r="A2556" t="s">
        <v>2555</v>
      </c>
      <c r="B2556" s="2">
        <v>42049.54</v>
      </c>
      <c r="C2556" s="3" t="s">
        <v>5005</v>
      </c>
      <c r="D2556" t="s">
        <v>5016</v>
      </c>
      <c r="E2556" t="s">
        <v>5019</v>
      </c>
      <c r="F2556" t="s">
        <v>5019</v>
      </c>
      <c r="G2556" t="s">
        <v>5022</v>
      </c>
      <c r="H2556" s="5" t="s">
        <v>5022</v>
      </c>
      <c r="I2556" t="s">
        <v>5022</v>
      </c>
      <c r="J2556" t="b">
        <f>AND(CCData[[#This Row],[Date]]&gt;=Calculation!$E$3,CCData[[#This Row],[Date]]&lt;Calculation!$E$3+7)</f>
        <v>0</v>
      </c>
    </row>
    <row r="2557" spans="1:10">
      <c r="A2557" t="s">
        <v>2556</v>
      </c>
      <c r="B2557" s="2">
        <v>42049.54</v>
      </c>
      <c r="C2557" s="3" t="s">
        <v>5007</v>
      </c>
      <c r="D2557" t="s">
        <v>5013</v>
      </c>
      <c r="E2557" t="s">
        <v>5019</v>
      </c>
      <c r="F2557" t="s">
        <v>5019</v>
      </c>
      <c r="G2557" t="s">
        <v>5022</v>
      </c>
      <c r="H2557" s="5" t="s">
        <v>5022</v>
      </c>
      <c r="I2557" t="s">
        <v>5022</v>
      </c>
      <c r="J2557" t="b">
        <f>AND(CCData[[#This Row],[Date]]&gt;=Calculation!$E$3,CCData[[#This Row],[Date]]&lt;Calculation!$E$3+7)</f>
        <v>0</v>
      </c>
    </row>
    <row r="2558" spans="1:10">
      <c r="A2558" t="s">
        <v>2557</v>
      </c>
      <c r="B2558" s="2">
        <v>42049.550999999999</v>
      </c>
      <c r="C2558" s="3" t="s">
        <v>5004</v>
      </c>
      <c r="D2558" t="s">
        <v>5013</v>
      </c>
      <c r="E2558" t="s">
        <v>5018</v>
      </c>
      <c r="F2558" t="s">
        <v>5018</v>
      </c>
      <c r="G2558">
        <v>102</v>
      </c>
      <c r="H2558" s="5">
        <v>4.0889453920552573E-3</v>
      </c>
      <c r="I2558">
        <v>4</v>
      </c>
      <c r="J2558" t="b">
        <f>AND(CCData[[#This Row],[Date]]&gt;=Calculation!$E$3,CCData[[#This Row],[Date]]&lt;Calculation!$E$3+7)</f>
        <v>0</v>
      </c>
    </row>
    <row r="2559" spans="1:10">
      <c r="A2559" t="s">
        <v>2558</v>
      </c>
      <c r="B2559" s="2">
        <v>42049.550999999999</v>
      </c>
      <c r="C2559" s="3" t="s">
        <v>5004</v>
      </c>
      <c r="D2559" t="s">
        <v>5013</v>
      </c>
      <c r="E2559" t="s">
        <v>5018</v>
      </c>
      <c r="F2559" t="s">
        <v>5018</v>
      </c>
      <c r="G2559">
        <v>82</v>
      </c>
      <c r="H2559" s="5">
        <v>2.3009699779519134E-3</v>
      </c>
      <c r="I2559">
        <v>3</v>
      </c>
      <c r="J2559" t="b">
        <f>AND(CCData[[#This Row],[Date]]&gt;=Calculation!$E$3,CCData[[#This Row],[Date]]&lt;Calculation!$E$3+7)</f>
        <v>0</v>
      </c>
    </row>
    <row r="2560" spans="1:10">
      <c r="A2560" t="s">
        <v>2559</v>
      </c>
      <c r="B2560" s="2">
        <v>42049.56</v>
      </c>
      <c r="C2560" s="3" t="s">
        <v>5008</v>
      </c>
      <c r="D2560" t="s">
        <v>5016</v>
      </c>
      <c r="E2560" t="s">
        <v>5018</v>
      </c>
      <c r="F2560" t="s">
        <v>5019</v>
      </c>
      <c r="G2560">
        <v>24</v>
      </c>
      <c r="H2560" s="5">
        <v>2.8619406823890341E-3</v>
      </c>
      <c r="I2560">
        <v>5</v>
      </c>
      <c r="J2560" t="b">
        <f>AND(CCData[[#This Row],[Date]]&gt;=Calculation!$E$3,CCData[[#This Row],[Date]]&lt;Calculation!$E$3+7)</f>
        <v>0</v>
      </c>
    </row>
    <row r="2561" spans="1:10">
      <c r="A2561" t="s">
        <v>2560</v>
      </c>
      <c r="B2561" s="2">
        <v>42049.56</v>
      </c>
      <c r="C2561" s="3" t="s">
        <v>5005</v>
      </c>
      <c r="D2561" t="s">
        <v>5015</v>
      </c>
      <c r="E2561" t="s">
        <v>5018</v>
      </c>
      <c r="F2561" t="s">
        <v>5018</v>
      </c>
      <c r="G2561">
        <v>10</v>
      </c>
      <c r="H2561" s="5">
        <v>1.1433117882389092E-3</v>
      </c>
      <c r="I2561">
        <v>5</v>
      </c>
      <c r="J2561" t="b">
        <f>AND(CCData[[#This Row],[Date]]&gt;=Calculation!$E$3,CCData[[#This Row],[Date]]&lt;Calculation!$E$3+7)</f>
        <v>0</v>
      </c>
    </row>
    <row r="2562" spans="1:10">
      <c r="A2562" t="s">
        <v>2561</v>
      </c>
      <c r="B2562" s="2">
        <v>42049.574000000001</v>
      </c>
      <c r="C2562" s="3" t="s">
        <v>5007</v>
      </c>
      <c r="D2562" t="s">
        <v>5014</v>
      </c>
      <c r="E2562" t="s">
        <v>5019</v>
      </c>
      <c r="F2562" t="s">
        <v>5019</v>
      </c>
      <c r="G2562" t="s">
        <v>5022</v>
      </c>
      <c r="H2562" s="5" t="s">
        <v>5022</v>
      </c>
      <c r="I2562" t="s">
        <v>5022</v>
      </c>
      <c r="J2562" t="b">
        <f>AND(CCData[[#This Row],[Date]]&gt;=Calculation!$E$3,CCData[[#This Row],[Date]]&lt;Calculation!$E$3+7)</f>
        <v>0</v>
      </c>
    </row>
    <row r="2563" spans="1:10">
      <c r="A2563" t="s">
        <v>2562</v>
      </c>
      <c r="B2563" s="2">
        <v>42049.574000000001</v>
      </c>
      <c r="C2563" s="3" t="s">
        <v>5005</v>
      </c>
      <c r="D2563" t="s">
        <v>5016</v>
      </c>
      <c r="E2563" t="s">
        <v>5018</v>
      </c>
      <c r="F2563" t="s">
        <v>5018</v>
      </c>
      <c r="G2563">
        <v>80</v>
      </c>
      <c r="H2563" s="5">
        <v>3.4803344266232327E-3</v>
      </c>
      <c r="I2563">
        <v>1</v>
      </c>
      <c r="J2563" t="b">
        <f>AND(CCData[[#This Row],[Date]]&gt;=Calculation!$E$3,CCData[[#This Row],[Date]]&lt;Calculation!$E$3+7)</f>
        <v>0</v>
      </c>
    </row>
    <row r="2564" spans="1:10">
      <c r="A2564" t="s">
        <v>2563</v>
      </c>
      <c r="B2564" s="2">
        <v>42049.576999999997</v>
      </c>
      <c r="C2564" s="3" t="s">
        <v>5005</v>
      </c>
      <c r="D2564" t="s">
        <v>5013</v>
      </c>
      <c r="E2564" t="s">
        <v>5018</v>
      </c>
      <c r="F2564" t="s">
        <v>5018</v>
      </c>
      <c r="G2564">
        <v>63</v>
      </c>
      <c r="H2564" s="5">
        <v>4.3310996482561395E-3</v>
      </c>
      <c r="I2564">
        <v>4</v>
      </c>
      <c r="J2564" t="b">
        <f>AND(CCData[[#This Row],[Date]]&gt;=Calculation!$E$3,CCData[[#This Row],[Date]]&lt;Calculation!$E$3+7)</f>
        <v>0</v>
      </c>
    </row>
    <row r="2565" spans="1:10">
      <c r="A2565" t="s">
        <v>2564</v>
      </c>
      <c r="B2565" s="2">
        <v>42049.576999999997</v>
      </c>
      <c r="C2565" s="3" t="s">
        <v>5006</v>
      </c>
      <c r="D2565" t="s">
        <v>5012</v>
      </c>
      <c r="E2565" t="s">
        <v>5018</v>
      </c>
      <c r="F2565" t="s">
        <v>5018</v>
      </c>
      <c r="G2565">
        <v>43</v>
      </c>
      <c r="H2565" s="5">
        <v>4.7852755955474988E-3</v>
      </c>
      <c r="I2565">
        <v>4</v>
      </c>
      <c r="J2565" t="b">
        <f>AND(CCData[[#This Row],[Date]]&gt;=Calculation!$E$3,CCData[[#This Row],[Date]]&lt;Calculation!$E$3+7)</f>
        <v>0</v>
      </c>
    </row>
    <row r="2566" spans="1:10">
      <c r="A2566" t="s">
        <v>2565</v>
      </c>
      <c r="B2566" s="2">
        <v>42049.597999999998</v>
      </c>
      <c r="C2566" s="3" t="s">
        <v>5010</v>
      </c>
      <c r="D2566" t="s">
        <v>5014</v>
      </c>
      <c r="E2566" t="s">
        <v>5019</v>
      </c>
      <c r="F2566" t="s">
        <v>5019</v>
      </c>
      <c r="G2566" t="s">
        <v>5022</v>
      </c>
      <c r="H2566" s="5" t="s">
        <v>5022</v>
      </c>
      <c r="I2566" t="s">
        <v>5022</v>
      </c>
      <c r="J2566" t="b">
        <f>AND(CCData[[#This Row],[Date]]&gt;=Calculation!$E$3,CCData[[#This Row],[Date]]&lt;Calculation!$E$3+7)</f>
        <v>0</v>
      </c>
    </row>
    <row r="2567" spans="1:10">
      <c r="A2567" t="s">
        <v>2566</v>
      </c>
      <c r="B2567" s="2">
        <v>42049.597999999998</v>
      </c>
      <c r="C2567" s="3" t="s">
        <v>5003</v>
      </c>
      <c r="D2567" t="s">
        <v>5014</v>
      </c>
      <c r="E2567" t="s">
        <v>5018</v>
      </c>
      <c r="F2567" t="s">
        <v>5018</v>
      </c>
      <c r="G2567">
        <v>87</v>
      </c>
      <c r="H2567" s="5">
        <v>1.4137458901371345E-3</v>
      </c>
      <c r="I2567">
        <v>4</v>
      </c>
      <c r="J2567" t="b">
        <f>AND(CCData[[#This Row],[Date]]&gt;=Calculation!$E$3,CCData[[#This Row],[Date]]&lt;Calculation!$E$3+7)</f>
        <v>0</v>
      </c>
    </row>
    <row r="2568" spans="1:10">
      <c r="A2568" t="s">
        <v>2567</v>
      </c>
      <c r="B2568" s="2">
        <v>42049.599999999999</v>
      </c>
      <c r="C2568" s="3" t="s">
        <v>5008</v>
      </c>
      <c r="D2568" t="s">
        <v>5013</v>
      </c>
      <c r="E2568" t="s">
        <v>5018</v>
      </c>
      <c r="F2568" t="s">
        <v>5018</v>
      </c>
      <c r="G2568">
        <v>125</v>
      </c>
      <c r="H2568" s="5">
        <v>4.2167266106141891E-3</v>
      </c>
      <c r="I2568">
        <v>4</v>
      </c>
      <c r="J2568" t="b">
        <f>AND(CCData[[#This Row],[Date]]&gt;=Calculation!$E$3,CCData[[#This Row],[Date]]&lt;Calculation!$E$3+7)</f>
        <v>0</v>
      </c>
    </row>
    <row r="2569" spans="1:10">
      <c r="A2569" t="s">
        <v>2568</v>
      </c>
      <c r="B2569" s="2">
        <v>42049.599999999999</v>
      </c>
      <c r="C2569" s="3" t="s">
        <v>5005</v>
      </c>
      <c r="D2569" t="s">
        <v>5014</v>
      </c>
      <c r="E2569" t="s">
        <v>5018</v>
      </c>
      <c r="F2569" t="s">
        <v>5018</v>
      </c>
      <c r="G2569">
        <v>56</v>
      </c>
      <c r="H2569" s="5">
        <v>2.681763289105403E-3</v>
      </c>
      <c r="I2569">
        <v>1</v>
      </c>
      <c r="J2569" t="b">
        <f>AND(CCData[[#This Row],[Date]]&gt;=Calculation!$E$3,CCData[[#This Row],[Date]]&lt;Calculation!$E$3+7)</f>
        <v>0</v>
      </c>
    </row>
    <row r="2570" spans="1:10">
      <c r="A2570" t="s">
        <v>2569</v>
      </c>
      <c r="B2570" s="2">
        <v>42049.618000000002</v>
      </c>
      <c r="C2570" s="3" t="s">
        <v>5006</v>
      </c>
      <c r="D2570" t="s">
        <v>5014</v>
      </c>
      <c r="E2570" t="s">
        <v>5018</v>
      </c>
      <c r="F2570" t="s">
        <v>5018</v>
      </c>
      <c r="G2570">
        <v>88</v>
      </c>
      <c r="H2570" s="5">
        <v>2.6211520478047231E-3</v>
      </c>
      <c r="I2570">
        <v>3</v>
      </c>
      <c r="J2570" t="b">
        <f>AND(CCData[[#This Row],[Date]]&gt;=Calculation!$E$3,CCData[[#This Row],[Date]]&lt;Calculation!$E$3+7)</f>
        <v>0</v>
      </c>
    </row>
    <row r="2571" spans="1:10">
      <c r="A2571" t="s">
        <v>2570</v>
      </c>
      <c r="B2571" s="2">
        <v>42049.618000000002</v>
      </c>
      <c r="C2571" s="3" t="s">
        <v>5007</v>
      </c>
      <c r="D2571" t="s">
        <v>5014</v>
      </c>
      <c r="E2571" t="s">
        <v>5018</v>
      </c>
      <c r="F2571" t="s">
        <v>5018</v>
      </c>
      <c r="G2571">
        <v>45</v>
      </c>
      <c r="H2571" s="5">
        <v>8.8859966875686597E-4</v>
      </c>
      <c r="I2571">
        <v>4</v>
      </c>
      <c r="J2571" t="b">
        <f>AND(CCData[[#This Row],[Date]]&gt;=Calculation!$E$3,CCData[[#This Row],[Date]]&lt;Calculation!$E$3+7)</f>
        <v>0</v>
      </c>
    </row>
    <row r="2572" spans="1:10">
      <c r="A2572" t="s">
        <v>2571</v>
      </c>
      <c r="B2572" s="2">
        <v>42049.618999999999</v>
      </c>
      <c r="C2572" s="3" t="s">
        <v>5010</v>
      </c>
      <c r="D2572" t="s">
        <v>5013</v>
      </c>
      <c r="E2572" t="s">
        <v>5018</v>
      </c>
      <c r="F2572" t="s">
        <v>5018</v>
      </c>
      <c r="G2572">
        <v>24</v>
      </c>
      <c r="H2572" s="5">
        <v>1.3988546913106896E-3</v>
      </c>
      <c r="I2572">
        <v>4</v>
      </c>
      <c r="J2572" t="b">
        <f>AND(CCData[[#This Row],[Date]]&gt;=Calculation!$E$3,CCData[[#This Row],[Date]]&lt;Calculation!$E$3+7)</f>
        <v>0</v>
      </c>
    </row>
    <row r="2573" spans="1:10">
      <c r="A2573" t="s">
        <v>2572</v>
      </c>
      <c r="B2573" s="2">
        <v>42049.618999999999</v>
      </c>
      <c r="C2573" s="3" t="s">
        <v>5007</v>
      </c>
      <c r="D2573" t="s">
        <v>5012</v>
      </c>
      <c r="E2573" t="s">
        <v>5018</v>
      </c>
      <c r="F2573" t="s">
        <v>5018</v>
      </c>
      <c r="G2573">
        <v>23</v>
      </c>
      <c r="H2573" s="5">
        <v>2.9170222059876653E-3</v>
      </c>
      <c r="I2573">
        <v>5</v>
      </c>
      <c r="J2573" t="b">
        <f>AND(CCData[[#This Row],[Date]]&gt;=Calculation!$E$3,CCData[[#This Row],[Date]]&lt;Calculation!$E$3+7)</f>
        <v>0</v>
      </c>
    </row>
    <row r="2574" spans="1:10">
      <c r="A2574" t="s">
        <v>2573</v>
      </c>
      <c r="B2574" s="2">
        <v>42049.648999999998</v>
      </c>
      <c r="C2574" s="3" t="s">
        <v>5004</v>
      </c>
      <c r="D2574" t="s">
        <v>5014</v>
      </c>
      <c r="E2574" t="s">
        <v>5018</v>
      </c>
      <c r="F2574" t="s">
        <v>5018</v>
      </c>
      <c r="G2574">
        <v>66</v>
      </c>
      <c r="H2574" s="5">
        <v>4.711219320224733E-3</v>
      </c>
      <c r="I2574">
        <v>5</v>
      </c>
      <c r="J2574" t="b">
        <f>AND(CCData[[#This Row],[Date]]&gt;=Calculation!$E$3,CCData[[#This Row],[Date]]&lt;Calculation!$E$3+7)</f>
        <v>0</v>
      </c>
    </row>
    <row r="2575" spans="1:10">
      <c r="A2575" t="s">
        <v>2574</v>
      </c>
      <c r="B2575" s="2">
        <v>42049.648999999998</v>
      </c>
      <c r="C2575" s="3" t="s">
        <v>5009</v>
      </c>
      <c r="D2575" t="s">
        <v>5015</v>
      </c>
      <c r="E2575" t="s">
        <v>5019</v>
      </c>
      <c r="F2575" t="s">
        <v>5019</v>
      </c>
      <c r="G2575" t="s">
        <v>5022</v>
      </c>
      <c r="H2575" s="5" t="s">
        <v>5022</v>
      </c>
      <c r="I2575" t="s">
        <v>5022</v>
      </c>
      <c r="J2575" t="b">
        <f>AND(CCData[[#This Row],[Date]]&gt;=Calculation!$E$3,CCData[[#This Row],[Date]]&lt;Calculation!$E$3+7)</f>
        <v>0</v>
      </c>
    </row>
    <row r="2576" spans="1:10">
      <c r="A2576" t="s">
        <v>2575</v>
      </c>
      <c r="B2576" s="2">
        <v>42049.686000000002</v>
      </c>
      <c r="C2576" s="3" t="s">
        <v>5008</v>
      </c>
      <c r="D2576" t="s">
        <v>5016</v>
      </c>
      <c r="E2576" t="s">
        <v>5018</v>
      </c>
      <c r="F2576" t="s">
        <v>5018</v>
      </c>
      <c r="G2576">
        <v>67</v>
      </c>
      <c r="H2576" s="5">
        <v>1.0971588674617788E-3</v>
      </c>
      <c r="I2576">
        <v>4</v>
      </c>
      <c r="J2576" t="b">
        <f>AND(CCData[[#This Row],[Date]]&gt;=Calculation!$E$3,CCData[[#This Row],[Date]]&lt;Calculation!$E$3+7)</f>
        <v>0</v>
      </c>
    </row>
    <row r="2577" spans="1:10">
      <c r="A2577" t="s">
        <v>2576</v>
      </c>
      <c r="B2577" s="2">
        <v>42049.686000000002</v>
      </c>
      <c r="C2577" s="3" t="s">
        <v>5004</v>
      </c>
      <c r="D2577" t="s">
        <v>5013</v>
      </c>
      <c r="E2577" t="s">
        <v>5018</v>
      </c>
      <c r="F2577" t="s">
        <v>5018</v>
      </c>
      <c r="G2577">
        <v>39</v>
      </c>
      <c r="H2577" s="5">
        <v>3.6321486837010701E-3</v>
      </c>
      <c r="I2577">
        <v>1</v>
      </c>
      <c r="J2577" t="b">
        <f>AND(CCData[[#This Row],[Date]]&gt;=Calculation!$E$3,CCData[[#This Row],[Date]]&lt;Calculation!$E$3+7)</f>
        <v>0</v>
      </c>
    </row>
    <row r="2578" spans="1:10">
      <c r="A2578" t="s">
        <v>2577</v>
      </c>
      <c r="B2578" s="2">
        <v>42049.692999999999</v>
      </c>
      <c r="C2578" s="3" t="s">
        <v>5004</v>
      </c>
      <c r="D2578" t="s">
        <v>5016</v>
      </c>
      <c r="E2578" t="s">
        <v>5018</v>
      </c>
      <c r="F2578" t="s">
        <v>5018</v>
      </c>
      <c r="G2578">
        <v>70</v>
      </c>
      <c r="H2578" s="5">
        <v>4.5375655719319039E-4</v>
      </c>
      <c r="I2578">
        <v>1</v>
      </c>
      <c r="J2578" t="b">
        <f>AND(CCData[[#This Row],[Date]]&gt;=Calculation!$E$3,CCData[[#This Row],[Date]]&lt;Calculation!$E$3+7)</f>
        <v>0</v>
      </c>
    </row>
    <row r="2579" spans="1:10">
      <c r="A2579" t="s">
        <v>2578</v>
      </c>
      <c r="B2579" s="2">
        <v>42049.692999999999</v>
      </c>
      <c r="C2579" s="3" t="s">
        <v>5007</v>
      </c>
      <c r="D2579" t="s">
        <v>5015</v>
      </c>
      <c r="E2579" t="s">
        <v>5018</v>
      </c>
      <c r="F2579" t="s">
        <v>5018</v>
      </c>
      <c r="G2579">
        <v>40</v>
      </c>
      <c r="H2579" s="5">
        <v>4.6211373569080118E-3</v>
      </c>
      <c r="I2579">
        <v>5</v>
      </c>
      <c r="J2579" t="b">
        <f>AND(CCData[[#This Row],[Date]]&gt;=Calculation!$E$3,CCData[[#This Row],[Date]]&lt;Calculation!$E$3+7)</f>
        <v>0</v>
      </c>
    </row>
    <row r="2580" spans="1:10">
      <c r="A2580" t="s">
        <v>2579</v>
      </c>
      <c r="B2580" s="2">
        <v>42049.692999999999</v>
      </c>
      <c r="C2580" s="3" t="s">
        <v>5005</v>
      </c>
      <c r="D2580" t="s">
        <v>5012</v>
      </c>
      <c r="E2580" t="s">
        <v>5019</v>
      </c>
      <c r="F2580" t="s">
        <v>5019</v>
      </c>
      <c r="G2580" t="s">
        <v>5022</v>
      </c>
      <c r="H2580" s="5" t="s">
        <v>5022</v>
      </c>
      <c r="I2580" t="s">
        <v>5022</v>
      </c>
      <c r="J2580" t="b">
        <f>AND(CCData[[#This Row],[Date]]&gt;=Calculation!$E$3,CCData[[#This Row],[Date]]&lt;Calculation!$E$3+7)</f>
        <v>0</v>
      </c>
    </row>
    <row r="2581" spans="1:10">
      <c r="A2581" t="s">
        <v>2580</v>
      </c>
      <c r="B2581" s="2">
        <v>42049.692999999999</v>
      </c>
      <c r="C2581" s="3" t="s">
        <v>5009</v>
      </c>
      <c r="D2581" t="s">
        <v>5015</v>
      </c>
      <c r="E2581" t="s">
        <v>5018</v>
      </c>
      <c r="F2581" t="s">
        <v>5018</v>
      </c>
      <c r="G2581">
        <v>28</v>
      </c>
      <c r="H2581" s="5">
        <v>4.466494666292984E-3</v>
      </c>
      <c r="I2581">
        <v>3</v>
      </c>
      <c r="J2581" t="b">
        <f>AND(CCData[[#This Row],[Date]]&gt;=Calculation!$E$3,CCData[[#This Row],[Date]]&lt;Calculation!$E$3+7)</f>
        <v>0</v>
      </c>
    </row>
    <row r="2582" spans="1:10">
      <c r="A2582" t="s">
        <v>2581</v>
      </c>
      <c r="B2582" s="2">
        <v>42049.701999999997</v>
      </c>
      <c r="C2582" s="3" t="s">
        <v>5008</v>
      </c>
      <c r="D2582" t="s">
        <v>5013</v>
      </c>
      <c r="E2582" t="s">
        <v>5018</v>
      </c>
      <c r="F2582" t="s">
        <v>5018</v>
      </c>
      <c r="G2582">
        <v>107</v>
      </c>
      <c r="H2582" s="5">
        <v>2.5396198635912709E-3</v>
      </c>
      <c r="I2582">
        <v>2</v>
      </c>
      <c r="J2582" t="b">
        <f>AND(CCData[[#This Row],[Date]]&gt;=Calculation!$E$3,CCData[[#This Row],[Date]]&lt;Calculation!$E$3+7)</f>
        <v>0</v>
      </c>
    </row>
    <row r="2583" spans="1:10">
      <c r="A2583" t="s">
        <v>2582</v>
      </c>
      <c r="B2583" s="2">
        <v>42049.701999999997</v>
      </c>
      <c r="C2583" s="3" t="s">
        <v>5005</v>
      </c>
      <c r="D2583" t="s">
        <v>5014</v>
      </c>
      <c r="E2583" t="s">
        <v>5018</v>
      </c>
      <c r="F2583" t="s">
        <v>5018</v>
      </c>
      <c r="G2583">
        <v>62</v>
      </c>
      <c r="H2583" s="5">
        <v>3.2604715955094183E-3</v>
      </c>
      <c r="I2583">
        <v>4</v>
      </c>
      <c r="J2583" t="b">
        <f>AND(CCData[[#This Row],[Date]]&gt;=Calculation!$E$3,CCData[[#This Row],[Date]]&lt;Calculation!$E$3+7)</f>
        <v>0</v>
      </c>
    </row>
    <row r="2584" spans="1:10">
      <c r="A2584" t="s">
        <v>2583</v>
      </c>
      <c r="B2584" s="2">
        <v>42049.703999999998</v>
      </c>
      <c r="C2584" s="3" t="s">
        <v>5003</v>
      </c>
      <c r="D2584" t="s">
        <v>5013</v>
      </c>
      <c r="E2584" t="s">
        <v>5018</v>
      </c>
      <c r="F2584" t="s">
        <v>5018</v>
      </c>
      <c r="G2584">
        <v>80</v>
      </c>
      <c r="H2584" s="5">
        <v>3.0062507909376299E-3</v>
      </c>
      <c r="I2584">
        <v>4</v>
      </c>
      <c r="J2584" t="b">
        <f>AND(CCData[[#This Row],[Date]]&gt;=Calculation!$E$3,CCData[[#This Row],[Date]]&lt;Calculation!$E$3+7)</f>
        <v>0</v>
      </c>
    </row>
    <row r="2585" spans="1:10">
      <c r="A2585" t="s">
        <v>2584</v>
      </c>
      <c r="B2585" s="2">
        <v>42049.703999999998</v>
      </c>
      <c r="C2585" s="3" t="s">
        <v>5005</v>
      </c>
      <c r="D2585" t="s">
        <v>5012</v>
      </c>
      <c r="E2585" t="s">
        <v>5018</v>
      </c>
      <c r="F2585" t="s">
        <v>5018</v>
      </c>
      <c r="G2585">
        <v>63</v>
      </c>
      <c r="H2585" s="5">
        <v>2.1480598023078728E-3</v>
      </c>
      <c r="I2585">
        <v>3</v>
      </c>
      <c r="J2585" t="b">
        <f>AND(CCData[[#This Row],[Date]]&gt;=Calculation!$E$3,CCData[[#This Row],[Date]]&lt;Calculation!$E$3+7)</f>
        <v>0</v>
      </c>
    </row>
    <row r="2586" spans="1:10">
      <c r="A2586" t="s">
        <v>2585</v>
      </c>
      <c r="B2586" s="2">
        <v>42049.714999999997</v>
      </c>
      <c r="C2586" s="3" t="s">
        <v>5004</v>
      </c>
      <c r="D2586" t="s">
        <v>5013</v>
      </c>
      <c r="E2586" t="s">
        <v>5018</v>
      </c>
      <c r="F2586" t="s">
        <v>5018</v>
      </c>
      <c r="G2586">
        <v>36</v>
      </c>
      <c r="H2586" s="5">
        <v>3.6815543451999507E-3</v>
      </c>
      <c r="I2586">
        <v>3</v>
      </c>
      <c r="J2586" t="b">
        <f>AND(CCData[[#This Row],[Date]]&gt;=Calculation!$E$3,CCData[[#This Row],[Date]]&lt;Calculation!$E$3+7)</f>
        <v>0</v>
      </c>
    </row>
    <row r="2587" spans="1:10">
      <c r="A2587" t="s">
        <v>2586</v>
      </c>
      <c r="B2587" s="2">
        <v>42049.714999999997</v>
      </c>
      <c r="C2587" s="3" t="s">
        <v>5010</v>
      </c>
      <c r="D2587" t="s">
        <v>5012</v>
      </c>
      <c r="E2587" t="s">
        <v>5018</v>
      </c>
      <c r="F2587" t="s">
        <v>5018</v>
      </c>
      <c r="G2587">
        <v>64</v>
      </c>
      <c r="H2587" s="5">
        <v>1.4438091786150337E-3</v>
      </c>
      <c r="I2587">
        <v>3</v>
      </c>
      <c r="J2587" t="b">
        <f>AND(CCData[[#This Row],[Date]]&gt;=Calculation!$E$3,CCData[[#This Row],[Date]]&lt;Calculation!$E$3+7)</f>
        <v>0</v>
      </c>
    </row>
    <row r="2588" spans="1:10">
      <c r="A2588" t="s">
        <v>2587</v>
      </c>
      <c r="B2588" s="2">
        <v>42049.714999999997</v>
      </c>
      <c r="C2588" s="3" t="s">
        <v>5006</v>
      </c>
      <c r="D2588" t="s">
        <v>5012</v>
      </c>
      <c r="E2588" t="s">
        <v>5018</v>
      </c>
      <c r="F2588" t="s">
        <v>5018</v>
      </c>
      <c r="G2588">
        <v>110</v>
      </c>
      <c r="H2588" s="5">
        <v>3.9658634371082324E-3</v>
      </c>
      <c r="I2588">
        <v>3</v>
      </c>
      <c r="J2588" t="b">
        <f>AND(CCData[[#This Row],[Date]]&gt;=Calculation!$E$3,CCData[[#This Row],[Date]]&lt;Calculation!$E$3+7)</f>
        <v>0</v>
      </c>
    </row>
    <row r="2589" spans="1:10">
      <c r="A2589" t="s">
        <v>2588</v>
      </c>
      <c r="B2589" s="2">
        <v>42049.714999999997</v>
      </c>
      <c r="C2589" s="3" t="s">
        <v>5007</v>
      </c>
      <c r="D2589" t="s">
        <v>5015</v>
      </c>
      <c r="E2589" t="s">
        <v>5018</v>
      </c>
      <c r="F2589" t="s">
        <v>5018</v>
      </c>
      <c r="G2589">
        <v>43</v>
      </c>
      <c r="H2589" s="5">
        <v>4.4166049709529883E-3</v>
      </c>
      <c r="I2589">
        <v>3</v>
      </c>
      <c r="J2589" t="b">
        <f>AND(CCData[[#This Row],[Date]]&gt;=Calculation!$E$3,CCData[[#This Row],[Date]]&lt;Calculation!$E$3+7)</f>
        <v>0</v>
      </c>
    </row>
    <row r="2590" spans="1:10">
      <c r="A2590" t="s">
        <v>2589</v>
      </c>
      <c r="B2590" s="2">
        <v>42049.716</v>
      </c>
      <c r="C2590" s="3" t="s">
        <v>5007</v>
      </c>
      <c r="D2590" t="s">
        <v>5013</v>
      </c>
      <c r="E2590" t="s">
        <v>5018</v>
      </c>
      <c r="F2590" t="s">
        <v>5018</v>
      </c>
      <c r="G2590">
        <v>76</v>
      </c>
      <c r="H2590" s="5">
        <v>3.2900002025362317E-3</v>
      </c>
      <c r="I2590">
        <v>5</v>
      </c>
      <c r="J2590" t="b">
        <f>AND(CCData[[#This Row],[Date]]&gt;=Calculation!$E$3,CCData[[#This Row],[Date]]&lt;Calculation!$E$3+7)</f>
        <v>0</v>
      </c>
    </row>
    <row r="2591" spans="1:10">
      <c r="A2591" t="s">
        <v>2590</v>
      </c>
      <c r="B2591" s="2">
        <v>42049.716</v>
      </c>
      <c r="C2591" s="3" t="s">
        <v>5008</v>
      </c>
      <c r="D2591" t="s">
        <v>5013</v>
      </c>
      <c r="E2591" t="s">
        <v>5018</v>
      </c>
      <c r="F2591" t="s">
        <v>5018</v>
      </c>
      <c r="G2591">
        <v>45</v>
      </c>
      <c r="H2591" s="5">
        <v>1.7293113786441287E-3</v>
      </c>
      <c r="I2591">
        <v>2</v>
      </c>
      <c r="J2591" t="b">
        <f>AND(CCData[[#This Row],[Date]]&gt;=Calculation!$E$3,CCData[[#This Row],[Date]]&lt;Calculation!$E$3+7)</f>
        <v>0</v>
      </c>
    </row>
    <row r="2592" spans="1:10">
      <c r="A2592" t="s">
        <v>2591</v>
      </c>
      <c r="B2592" s="2">
        <v>42049.733999999997</v>
      </c>
      <c r="C2592" s="3" t="s">
        <v>5009</v>
      </c>
      <c r="D2592" t="s">
        <v>5016</v>
      </c>
      <c r="E2592" t="s">
        <v>5018</v>
      </c>
      <c r="F2592" t="s">
        <v>5019</v>
      </c>
      <c r="G2592">
        <v>109</v>
      </c>
      <c r="H2592" s="5">
        <v>8.3231223572122085E-4</v>
      </c>
      <c r="I2592">
        <v>3</v>
      </c>
      <c r="J2592" t="b">
        <f>AND(CCData[[#This Row],[Date]]&gt;=Calculation!$E$3,CCData[[#This Row],[Date]]&lt;Calculation!$E$3+7)</f>
        <v>0</v>
      </c>
    </row>
    <row r="2593" spans="1:10">
      <c r="A2593" t="s">
        <v>2592</v>
      </c>
      <c r="B2593" s="2">
        <v>42049.733999999997</v>
      </c>
      <c r="C2593" s="3" t="s">
        <v>5008</v>
      </c>
      <c r="D2593" t="s">
        <v>5016</v>
      </c>
      <c r="E2593" t="s">
        <v>5018</v>
      </c>
      <c r="F2593" t="s">
        <v>5018</v>
      </c>
      <c r="G2593">
        <v>68</v>
      </c>
      <c r="H2593" s="5">
        <v>4.7867953579593262E-3</v>
      </c>
      <c r="I2593">
        <v>4</v>
      </c>
      <c r="J2593" t="b">
        <f>AND(CCData[[#This Row],[Date]]&gt;=Calculation!$E$3,CCData[[#This Row],[Date]]&lt;Calculation!$E$3+7)</f>
        <v>0</v>
      </c>
    </row>
    <row r="2594" spans="1:10">
      <c r="A2594" t="s">
        <v>2593</v>
      </c>
      <c r="B2594" s="2">
        <v>42049.737999999998</v>
      </c>
      <c r="C2594" s="3" t="s">
        <v>5006</v>
      </c>
      <c r="D2594" t="s">
        <v>5012</v>
      </c>
      <c r="E2594" t="s">
        <v>5018</v>
      </c>
      <c r="F2594" t="s">
        <v>5019</v>
      </c>
      <c r="G2594">
        <v>99</v>
      </c>
      <c r="H2594" s="5">
        <v>4.7956931537927027E-3</v>
      </c>
      <c r="I2594">
        <v>1</v>
      </c>
      <c r="J2594" t="b">
        <f>AND(CCData[[#This Row],[Date]]&gt;=Calculation!$E$3,CCData[[#This Row],[Date]]&lt;Calculation!$E$3+7)</f>
        <v>0</v>
      </c>
    </row>
    <row r="2595" spans="1:10">
      <c r="A2595" t="s">
        <v>2594</v>
      </c>
      <c r="B2595" s="2">
        <v>42049.737999999998</v>
      </c>
      <c r="C2595" s="3" t="s">
        <v>5010</v>
      </c>
      <c r="D2595" t="s">
        <v>5012</v>
      </c>
      <c r="E2595" t="s">
        <v>5018</v>
      </c>
      <c r="F2595" t="s">
        <v>5018</v>
      </c>
      <c r="G2595">
        <v>27</v>
      </c>
      <c r="H2595" s="5">
        <v>2.8349923453320244E-3</v>
      </c>
      <c r="I2595">
        <v>4</v>
      </c>
      <c r="J2595" t="b">
        <f>AND(CCData[[#This Row],[Date]]&gt;=Calculation!$E$3,CCData[[#This Row],[Date]]&lt;Calculation!$E$3+7)</f>
        <v>0</v>
      </c>
    </row>
    <row r="2596" spans="1:10">
      <c r="A2596" t="s">
        <v>2595</v>
      </c>
      <c r="B2596" s="2">
        <v>42050.375</v>
      </c>
      <c r="C2596" s="3" t="s">
        <v>5006</v>
      </c>
      <c r="D2596" t="s">
        <v>5016</v>
      </c>
      <c r="E2596" t="s">
        <v>5018</v>
      </c>
      <c r="F2596" t="s">
        <v>5018</v>
      </c>
      <c r="G2596">
        <v>14</v>
      </c>
      <c r="H2596" s="5">
        <v>6.667155339234042E-4</v>
      </c>
      <c r="I2596">
        <v>3</v>
      </c>
      <c r="J2596" t="b">
        <f>AND(CCData[[#This Row],[Date]]&gt;=Calculation!$E$3,CCData[[#This Row],[Date]]&lt;Calculation!$E$3+7)</f>
        <v>0</v>
      </c>
    </row>
    <row r="2597" spans="1:10">
      <c r="A2597" t="s">
        <v>2596</v>
      </c>
      <c r="B2597" s="2">
        <v>42050.375</v>
      </c>
      <c r="C2597" s="3" t="s">
        <v>5006</v>
      </c>
      <c r="D2597" t="s">
        <v>5015</v>
      </c>
      <c r="E2597" t="s">
        <v>5018</v>
      </c>
      <c r="F2597" t="s">
        <v>5018</v>
      </c>
      <c r="G2597">
        <v>81</v>
      </c>
      <c r="H2597" s="5">
        <v>3.025044171083892E-3</v>
      </c>
      <c r="I2597">
        <v>3</v>
      </c>
      <c r="J2597" t="b">
        <f>AND(CCData[[#This Row],[Date]]&gt;=Calculation!$E$3,CCData[[#This Row],[Date]]&lt;Calculation!$E$3+7)</f>
        <v>0</v>
      </c>
    </row>
    <row r="2598" spans="1:10">
      <c r="A2598" t="s">
        <v>2597</v>
      </c>
      <c r="B2598" s="2">
        <v>42050.398000000001</v>
      </c>
      <c r="C2598" s="3" t="s">
        <v>5010</v>
      </c>
      <c r="D2598" t="s">
        <v>5015</v>
      </c>
      <c r="E2598" t="s">
        <v>5018</v>
      </c>
      <c r="F2598" t="s">
        <v>5018</v>
      </c>
      <c r="G2598">
        <v>24</v>
      </c>
      <c r="H2598" s="5">
        <v>2.1662143188840985E-3</v>
      </c>
      <c r="I2598">
        <v>3</v>
      </c>
      <c r="J2598" t="b">
        <f>AND(CCData[[#This Row],[Date]]&gt;=Calculation!$E$3,CCData[[#This Row],[Date]]&lt;Calculation!$E$3+7)</f>
        <v>0</v>
      </c>
    </row>
    <row r="2599" spans="1:10">
      <c r="A2599" t="s">
        <v>2598</v>
      </c>
      <c r="B2599" s="2">
        <v>42050.398000000001</v>
      </c>
      <c r="C2599" s="3" t="s">
        <v>5010</v>
      </c>
      <c r="D2599" t="s">
        <v>5012</v>
      </c>
      <c r="E2599" t="s">
        <v>5018</v>
      </c>
      <c r="F2599" t="s">
        <v>5018</v>
      </c>
      <c r="G2599">
        <v>13</v>
      </c>
      <c r="H2599" s="5">
        <v>4.030312264598524E-3</v>
      </c>
      <c r="I2599">
        <v>1</v>
      </c>
      <c r="J2599" t="b">
        <f>AND(CCData[[#This Row],[Date]]&gt;=Calculation!$E$3,CCData[[#This Row],[Date]]&lt;Calculation!$E$3+7)</f>
        <v>0</v>
      </c>
    </row>
    <row r="2600" spans="1:10">
      <c r="A2600" t="s">
        <v>2599</v>
      </c>
      <c r="B2600" s="2">
        <v>42050.417999999998</v>
      </c>
      <c r="C2600" s="3" t="s">
        <v>5004</v>
      </c>
      <c r="D2600" t="s">
        <v>5013</v>
      </c>
      <c r="E2600" t="s">
        <v>5018</v>
      </c>
      <c r="F2600" t="s">
        <v>5018</v>
      </c>
      <c r="G2600">
        <v>89</v>
      </c>
      <c r="H2600" s="5">
        <v>6.1888439247876573E-4</v>
      </c>
      <c r="I2600">
        <v>1</v>
      </c>
      <c r="J2600" t="b">
        <f>AND(CCData[[#This Row],[Date]]&gt;=Calculation!$E$3,CCData[[#This Row],[Date]]&lt;Calculation!$E$3+7)</f>
        <v>0</v>
      </c>
    </row>
    <row r="2601" spans="1:10">
      <c r="A2601" t="s">
        <v>2600</v>
      </c>
      <c r="B2601" s="2">
        <v>42050.417999999998</v>
      </c>
      <c r="C2601" s="3" t="s">
        <v>5004</v>
      </c>
      <c r="D2601" t="s">
        <v>5016</v>
      </c>
      <c r="E2601" t="s">
        <v>5018</v>
      </c>
      <c r="F2601" t="s">
        <v>5018</v>
      </c>
      <c r="G2601">
        <v>103</v>
      </c>
      <c r="H2601" s="5">
        <v>4.1322668326792119E-3</v>
      </c>
      <c r="I2601">
        <v>4</v>
      </c>
      <c r="J2601" t="b">
        <f>AND(CCData[[#This Row],[Date]]&gt;=Calculation!$E$3,CCData[[#This Row],[Date]]&lt;Calculation!$E$3+7)</f>
        <v>0</v>
      </c>
    </row>
    <row r="2602" spans="1:10">
      <c r="A2602" t="s">
        <v>2601</v>
      </c>
      <c r="B2602" s="2">
        <v>42050.417999999998</v>
      </c>
      <c r="C2602" s="3" t="s">
        <v>5007</v>
      </c>
      <c r="D2602" t="s">
        <v>5014</v>
      </c>
      <c r="E2602" t="s">
        <v>5018</v>
      </c>
      <c r="F2602" t="s">
        <v>5018</v>
      </c>
      <c r="G2602">
        <v>103</v>
      </c>
      <c r="H2602" s="5">
        <v>2.6411041472646488E-3</v>
      </c>
      <c r="I2602">
        <v>3</v>
      </c>
      <c r="J2602" t="b">
        <f>AND(CCData[[#This Row],[Date]]&gt;=Calculation!$E$3,CCData[[#This Row],[Date]]&lt;Calculation!$E$3+7)</f>
        <v>0</v>
      </c>
    </row>
    <row r="2603" spans="1:10">
      <c r="A2603" t="s">
        <v>2602</v>
      </c>
      <c r="B2603" s="2">
        <v>42050.417999999998</v>
      </c>
      <c r="C2603" s="3" t="s">
        <v>5006</v>
      </c>
      <c r="D2603" t="s">
        <v>5014</v>
      </c>
      <c r="E2603" t="s">
        <v>5019</v>
      </c>
      <c r="F2603" t="s">
        <v>5019</v>
      </c>
      <c r="G2603" t="s">
        <v>5022</v>
      </c>
      <c r="H2603" s="5" t="s">
        <v>5022</v>
      </c>
      <c r="I2603" t="s">
        <v>5022</v>
      </c>
      <c r="J2603" t="b">
        <f>AND(CCData[[#This Row],[Date]]&gt;=Calculation!$E$3,CCData[[#This Row],[Date]]&lt;Calculation!$E$3+7)</f>
        <v>0</v>
      </c>
    </row>
    <row r="2604" spans="1:10">
      <c r="A2604" t="s">
        <v>2603</v>
      </c>
      <c r="B2604" s="2">
        <v>42050.430999999997</v>
      </c>
      <c r="C2604" s="3" t="s">
        <v>5005</v>
      </c>
      <c r="D2604" t="s">
        <v>5012</v>
      </c>
      <c r="E2604" t="s">
        <v>5018</v>
      </c>
      <c r="F2604" t="s">
        <v>5019</v>
      </c>
      <c r="G2604">
        <v>59</v>
      </c>
      <c r="H2604" s="5">
        <v>2.4370242117264856E-3</v>
      </c>
      <c r="I2604">
        <v>3</v>
      </c>
      <c r="J2604" t="b">
        <f>AND(CCData[[#This Row],[Date]]&gt;=Calculation!$E$3,CCData[[#This Row],[Date]]&lt;Calculation!$E$3+7)</f>
        <v>0</v>
      </c>
    </row>
    <row r="2605" spans="1:10">
      <c r="A2605" t="s">
        <v>2604</v>
      </c>
      <c r="B2605" s="2">
        <v>42050.430999999997</v>
      </c>
      <c r="C2605" s="3" t="s">
        <v>5008</v>
      </c>
      <c r="D2605" t="s">
        <v>5014</v>
      </c>
      <c r="E2605" t="s">
        <v>5018</v>
      </c>
      <c r="F2605" t="s">
        <v>5018</v>
      </c>
      <c r="G2605">
        <v>113</v>
      </c>
      <c r="H2605" s="5">
        <v>1.1352363616144185E-3</v>
      </c>
      <c r="I2605">
        <v>3</v>
      </c>
      <c r="J2605" t="b">
        <f>AND(CCData[[#This Row],[Date]]&gt;=Calculation!$E$3,CCData[[#This Row],[Date]]&lt;Calculation!$E$3+7)</f>
        <v>0</v>
      </c>
    </row>
    <row r="2606" spans="1:10">
      <c r="A2606" t="s">
        <v>2605</v>
      </c>
      <c r="B2606" s="2">
        <v>42050.466999999997</v>
      </c>
      <c r="C2606" s="3" t="s">
        <v>5003</v>
      </c>
      <c r="D2606" t="s">
        <v>5012</v>
      </c>
      <c r="E2606" t="s">
        <v>5018</v>
      </c>
      <c r="F2606" t="s">
        <v>5018</v>
      </c>
      <c r="G2606">
        <v>69</v>
      </c>
      <c r="H2606" s="5">
        <v>1.2918786224559813E-3</v>
      </c>
      <c r="I2606">
        <v>2</v>
      </c>
      <c r="J2606" t="b">
        <f>AND(CCData[[#This Row],[Date]]&gt;=Calculation!$E$3,CCData[[#This Row],[Date]]&lt;Calculation!$E$3+7)</f>
        <v>0</v>
      </c>
    </row>
    <row r="2607" spans="1:10">
      <c r="A2607" t="s">
        <v>2606</v>
      </c>
      <c r="B2607" s="2">
        <v>42050.466999999997</v>
      </c>
      <c r="C2607" s="3" t="s">
        <v>5003</v>
      </c>
      <c r="D2607" t="s">
        <v>5013</v>
      </c>
      <c r="E2607" t="s">
        <v>5018</v>
      </c>
      <c r="F2607" t="s">
        <v>5018</v>
      </c>
      <c r="G2607">
        <v>69</v>
      </c>
      <c r="H2607" s="5">
        <v>1.2838053985886686E-3</v>
      </c>
      <c r="I2607">
        <v>2</v>
      </c>
      <c r="J2607" t="b">
        <f>AND(CCData[[#This Row],[Date]]&gt;=Calculation!$E$3,CCData[[#This Row],[Date]]&lt;Calculation!$E$3+7)</f>
        <v>0</v>
      </c>
    </row>
    <row r="2608" spans="1:10">
      <c r="A2608" t="s">
        <v>2607</v>
      </c>
      <c r="B2608" s="2">
        <v>42050.482000000004</v>
      </c>
      <c r="C2608" s="3" t="s">
        <v>5004</v>
      </c>
      <c r="D2608" t="s">
        <v>5013</v>
      </c>
      <c r="E2608" t="s">
        <v>5018</v>
      </c>
      <c r="F2608" t="s">
        <v>5019</v>
      </c>
      <c r="G2608">
        <v>11</v>
      </c>
      <c r="H2608" s="5">
        <v>3.5585217878550215E-3</v>
      </c>
      <c r="I2608">
        <v>4</v>
      </c>
      <c r="J2608" t="b">
        <f>AND(CCData[[#This Row],[Date]]&gt;=Calculation!$E$3,CCData[[#This Row],[Date]]&lt;Calculation!$E$3+7)</f>
        <v>0</v>
      </c>
    </row>
    <row r="2609" spans="1:10">
      <c r="A2609" t="s">
        <v>2608</v>
      </c>
      <c r="B2609" s="2">
        <v>42050.482000000004</v>
      </c>
      <c r="C2609" s="3" t="s">
        <v>5010</v>
      </c>
      <c r="D2609" t="s">
        <v>5012</v>
      </c>
      <c r="E2609" t="s">
        <v>5018</v>
      </c>
      <c r="F2609" t="s">
        <v>5018</v>
      </c>
      <c r="G2609">
        <v>75</v>
      </c>
      <c r="H2609" s="5">
        <v>2.9080979840468168E-3</v>
      </c>
      <c r="I2609">
        <v>2</v>
      </c>
      <c r="J2609" t="b">
        <f>AND(CCData[[#This Row],[Date]]&gt;=Calculation!$E$3,CCData[[#This Row],[Date]]&lt;Calculation!$E$3+7)</f>
        <v>0</v>
      </c>
    </row>
    <row r="2610" spans="1:10">
      <c r="A2610" t="s">
        <v>2609</v>
      </c>
      <c r="B2610" s="2">
        <v>42050.487000000001</v>
      </c>
      <c r="C2610" s="3" t="s">
        <v>5007</v>
      </c>
      <c r="D2610" t="s">
        <v>5013</v>
      </c>
      <c r="E2610" t="s">
        <v>5018</v>
      </c>
      <c r="F2610" t="s">
        <v>5019</v>
      </c>
      <c r="G2610">
        <v>24</v>
      </c>
      <c r="H2610" s="5">
        <v>1.7632975373622695E-3</v>
      </c>
      <c r="I2610">
        <v>5</v>
      </c>
      <c r="J2610" t="b">
        <f>AND(CCData[[#This Row],[Date]]&gt;=Calculation!$E$3,CCData[[#This Row],[Date]]&lt;Calculation!$E$3+7)</f>
        <v>0</v>
      </c>
    </row>
    <row r="2611" spans="1:10">
      <c r="A2611" t="s">
        <v>2610</v>
      </c>
      <c r="B2611" s="2">
        <v>42050.487000000001</v>
      </c>
      <c r="C2611" s="3" t="s">
        <v>5004</v>
      </c>
      <c r="D2611" t="s">
        <v>5015</v>
      </c>
      <c r="E2611" t="s">
        <v>5018</v>
      </c>
      <c r="F2611" t="s">
        <v>5018</v>
      </c>
      <c r="G2611">
        <v>124</v>
      </c>
      <c r="H2611" s="5">
        <v>4.2585120553505027E-3</v>
      </c>
      <c r="I2611">
        <v>3</v>
      </c>
      <c r="J2611" t="b">
        <f>AND(CCData[[#This Row],[Date]]&gt;=Calculation!$E$3,CCData[[#This Row],[Date]]&lt;Calculation!$E$3+7)</f>
        <v>0</v>
      </c>
    </row>
    <row r="2612" spans="1:10">
      <c r="A2612" t="s">
        <v>2611</v>
      </c>
      <c r="B2612" s="2">
        <v>42050.49</v>
      </c>
      <c r="C2612" s="3" t="s">
        <v>5006</v>
      </c>
      <c r="D2612" t="s">
        <v>5015</v>
      </c>
      <c r="E2612" t="s">
        <v>5018</v>
      </c>
      <c r="F2612" t="s">
        <v>5018</v>
      </c>
      <c r="G2612">
        <v>32</v>
      </c>
      <c r="H2612" s="5">
        <v>1.7867334803796846E-3</v>
      </c>
      <c r="I2612">
        <v>5</v>
      </c>
      <c r="J2612" t="b">
        <f>AND(CCData[[#This Row],[Date]]&gt;=Calculation!$E$3,CCData[[#This Row],[Date]]&lt;Calculation!$E$3+7)</f>
        <v>0</v>
      </c>
    </row>
    <row r="2613" spans="1:10">
      <c r="A2613" t="s">
        <v>2612</v>
      </c>
      <c r="B2613" s="2">
        <v>42050.49</v>
      </c>
      <c r="C2613" s="3" t="s">
        <v>5005</v>
      </c>
      <c r="D2613" t="s">
        <v>5015</v>
      </c>
      <c r="E2613" t="s">
        <v>5018</v>
      </c>
      <c r="F2613" t="s">
        <v>5018</v>
      </c>
      <c r="G2613">
        <v>105</v>
      </c>
      <c r="H2613" s="5">
        <v>4.5587415492387914E-3</v>
      </c>
      <c r="I2613">
        <v>5</v>
      </c>
      <c r="J2613" t="b">
        <f>AND(CCData[[#This Row],[Date]]&gt;=Calculation!$E$3,CCData[[#This Row],[Date]]&lt;Calculation!$E$3+7)</f>
        <v>0</v>
      </c>
    </row>
    <row r="2614" spans="1:10">
      <c r="A2614" t="s">
        <v>2613</v>
      </c>
      <c r="B2614" s="2">
        <v>42050.491999999998</v>
      </c>
      <c r="C2614" s="3" t="s">
        <v>5004</v>
      </c>
      <c r="D2614" t="s">
        <v>5013</v>
      </c>
      <c r="E2614" t="s">
        <v>5019</v>
      </c>
      <c r="F2614" t="s">
        <v>5019</v>
      </c>
      <c r="G2614" t="s">
        <v>5022</v>
      </c>
      <c r="H2614" s="5" t="s">
        <v>5022</v>
      </c>
      <c r="I2614" t="s">
        <v>5022</v>
      </c>
      <c r="J2614" t="b">
        <f>AND(CCData[[#This Row],[Date]]&gt;=Calculation!$E$3,CCData[[#This Row],[Date]]&lt;Calculation!$E$3+7)</f>
        <v>0</v>
      </c>
    </row>
    <row r="2615" spans="1:10">
      <c r="A2615" t="s">
        <v>2614</v>
      </c>
      <c r="B2615" s="2">
        <v>42050.491999999998</v>
      </c>
      <c r="C2615" s="3" t="s">
        <v>5007</v>
      </c>
      <c r="D2615" t="s">
        <v>5014</v>
      </c>
      <c r="E2615" t="s">
        <v>5018</v>
      </c>
      <c r="F2615" t="s">
        <v>5018</v>
      </c>
      <c r="G2615">
        <v>94</v>
      </c>
      <c r="H2615" s="5">
        <v>7.2586722064063233E-4</v>
      </c>
      <c r="I2615">
        <v>4</v>
      </c>
      <c r="J2615" t="b">
        <f>AND(CCData[[#This Row],[Date]]&gt;=Calculation!$E$3,CCData[[#This Row],[Date]]&lt;Calculation!$E$3+7)</f>
        <v>0</v>
      </c>
    </row>
    <row r="2616" spans="1:10">
      <c r="A2616" t="s">
        <v>2615</v>
      </c>
      <c r="B2616" s="2">
        <v>42050.504999999997</v>
      </c>
      <c r="C2616" s="3" t="s">
        <v>5008</v>
      </c>
      <c r="D2616" t="s">
        <v>5012</v>
      </c>
      <c r="E2616" t="s">
        <v>5018</v>
      </c>
      <c r="F2616" t="s">
        <v>5018</v>
      </c>
      <c r="G2616">
        <v>107</v>
      </c>
      <c r="H2616" s="5">
        <v>1.5683623142108128E-3</v>
      </c>
      <c r="I2616">
        <v>4</v>
      </c>
      <c r="J2616" t="b">
        <f>AND(CCData[[#This Row],[Date]]&gt;=Calculation!$E$3,CCData[[#This Row],[Date]]&lt;Calculation!$E$3+7)</f>
        <v>0</v>
      </c>
    </row>
    <row r="2617" spans="1:10">
      <c r="A2617" t="s">
        <v>2616</v>
      </c>
      <c r="B2617" s="2">
        <v>42050.504999999997</v>
      </c>
      <c r="C2617" s="3" t="s">
        <v>5003</v>
      </c>
      <c r="D2617" t="s">
        <v>5015</v>
      </c>
      <c r="E2617" t="s">
        <v>5018</v>
      </c>
      <c r="F2617" t="s">
        <v>5018</v>
      </c>
      <c r="G2617">
        <v>79</v>
      </c>
      <c r="H2617" s="5">
        <v>3.8527462962429011E-3</v>
      </c>
      <c r="I2617">
        <v>5</v>
      </c>
      <c r="J2617" t="b">
        <f>AND(CCData[[#This Row],[Date]]&gt;=Calculation!$E$3,CCData[[#This Row],[Date]]&lt;Calculation!$E$3+7)</f>
        <v>0</v>
      </c>
    </row>
    <row r="2618" spans="1:10">
      <c r="A2618" t="s">
        <v>2617</v>
      </c>
      <c r="B2618" s="2">
        <v>42050.514999999999</v>
      </c>
      <c r="C2618" s="3" t="s">
        <v>5010</v>
      </c>
      <c r="D2618" t="s">
        <v>5012</v>
      </c>
      <c r="E2618" t="s">
        <v>5019</v>
      </c>
      <c r="F2618" t="s">
        <v>5019</v>
      </c>
      <c r="G2618" t="s">
        <v>5022</v>
      </c>
      <c r="H2618" s="5" t="s">
        <v>5022</v>
      </c>
      <c r="I2618" t="s">
        <v>5022</v>
      </c>
      <c r="J2618" t="b">
        <f>AND(CCData[[#This Row],[Date]]&gt;=Calculation!$E$3,CCData[[#This Row],[Date]]&lt;Calculation!$E$3+7)</f>
        <v>0</v>
      </c>
    </row>
    <row r="2619" spans="1:10">
      <c r="A2619" t="s">
        <v>2618</v>
      </c>
      <c r="B2619" s="2">
        <v>42050.514999999999</v>
      </c>
      <c r="C2619" s="3" t="s">
        <v>5004</v>
      </c>
      <c r="D2619" t="s">
        <v>5015</v>
      </c>
      <c r="E2619" t="s">
        <v>5018</v>
      </c>
      <c r="F2619" t="s">
        <v>5018</v>
      </c>
      <c r="G2619">
        <v>59</v>
      </c>
      <c r="H2619" s="5">
        <v>1.4414544541035456E-3</v>
      </c>
      <c r="I2619">
        <v>4</v>
      </c>
      <c r="J2619" t="b">
        <f>AND(CCData[[#This Row],[Date]]&gt;=Calculation!$E$3,CCData[[#This Row],[Date]]&lt;Calculation!$E$3+7)</f>
        <v>0</v>
      </c>
    </row>
    <row r="2620" spans="1:10">
      <c r="A2620" t="s">
        <v>2619</v>
      </c>
      <c r="B2620" s="2">
        <v>42050.527000000002</v>
      </c>
      <c r="C2620" s="3" t="s">
        <v>5010</v>
      </c>
      <c r="D2620" t="s">
        <v>5013</v>
      </c>
      <c r="E2620" t="s">
        <v>5018</v>
      </c>
      <c r="F2620" t="s">
        <v>5019</v>
      </c>
      <c r="G2620">
        <v>117</v>
      </c>
      <c r="H2620" s="5">
        <v>3.4002970077098302E-3</v>
      </c>
      <c r="I2620">
        <v>3</v>
      </c>
      <c r="J2620" t="b">
        <f>AND(CCData[[#This Row],[Date]]&gt;=Calculation!$E$3,CCData[[#This Row],[Date]]&lt;Calculation!$E$3+7)</f>
        <v>0</v>
      </c>
    </row>
    <row r="2621" spans="1:10">
      <c r="A2621" t="s">
        <v>2620</v>
      </c>
      <c r="B2621" s="2">
        <v>42050.527000000002</v>
      </c>
      <c r="C2621" s="3" t="s">
        <v>5009</v>
      </c>
      <c r="D2621" t="s">
        <v>5016</v>
      </c>
      <c r="E2621" t="s">
        <v>5018</v>
      </c>
      <c r="F2621" t="s">
        <v>5018</v>
      </c>
      <c r="G2621">
        <v>37</v>
      </c>
      <c r="H2621" s="5">
        <v>1.2877725466868763E-3</v>
      </c>
      <c r="I2621">
        <v>3</v>
      </c>
      <c r="J2621" t="b">
        <f>AND(CCData[[#This Row],[Date]]&gt;=Calculation!$E$3,CCData[[#This Row],[Date]]&lt;Calculation!$E$3+7)</f>
        <v>0</v>
      </c>
    </row>
    <row r="2622" spans="1:10">
      <c r="A2622" t="s">
        <v>2621</v>
      </c>
      <c r="B2622" s="2">
        <v>42050.542000000001</v>
      </c>
      <c r="C2622" s="3" t="s">
        <v>5010</v>
      </c>
      <c r="D2622" t="s">
        <v>5015</v>
      </c>
      <c r="E2622" t="s">
        <v>5018</v>
      </c>
      <c r="F2622" t="s">
        <v>5018</v>
      </c>
      <c r="G2622">
        <v>94</v>
      </c>
      <c r="H2622" s="5">
        <v>3.7029763136046472E-3</v>
      </c>
      <c r="I2622">
        <v>4</v>
      </c>
      <c r="J2622" t="b">
        <f>AND(CCData[[#This Row],[Date]]&gt;=Calculation!$E$3,CCData[[#This Row],[Date]]&lt;Calculation!$E$3+7)</f>
        <v>0</v>
      </c>
    </row>
    <row r="2623" spans="1:10">
      <c r="A2623" t="s">
        <v>2622</v>
      </c>
      <c r="B2623" s="2">
        <v>42050.542000000001</v>
      </c>
      <c r="C2623" s="3" t="s">
        <v>5004</v>
      </c>
      <c r="D2623" t="s">
        <v>5013</v>
      </c>
      <c r="E2623" t="s">
        <v>5018</v>
      </c>
      <c r="F2623" t="s">
        <v>5018</v>
      </c>
      <c r="G2623">
        <v>120</v>
      </c>
      <c r="H2623" s="5">
        <v>1.9053657597241313E-3</v>
      </c>
      <c r="I2623">
        <v>1</v>
      </c>
      <c r="J2623" t="b">
        <f>AND(CCData[[#This Row],[Date]]&gt;=Calculation!$E$3,CCData[[#This Row],[Date]]&lt;Calculation!$E$3+7)</f>
        <v>0</v>
      </c>
    </row>
    <row r="2624" spans="1:10">
      <c r="A2624" t="s">
        <v>2623</v>
      </c>
      <c r="B2624" s="2">
        <v>42050.559999999998</v>
      </c>
      <c r="C2624" s="3" t="s">
        <v>5007</v>
      </c>
      <c r="D2624" t="s">
        <v>5012</v>
      </c>
      <c r="E2624" t="s">
        <v>5019</v>
      </c>
      <c r="F2624" t="s">
        <v>5019</v>
      </c>
      <c r="G2624" t="s">
        <v>5022</v>
      </c>
      <c r="H2624" s="5" t="s">
        <v>5022</v>
      </c>
      <c r="I2624" t="s">
        <v>5022</v>
      </c>
      <c r="J2624" t="b">
        <f>AND(CCData[[#This Row],[Date]]&gt;=Calculation!$E$3,CCData[[#This Row],[Date]]&lt;Calculation!$E$3+7)</f>
        <v>0</v>
      </c>
    </row>
    <row r="2625" spans="1:10">
      <c r="A2625" t="s">
        <v>2624</v>
      </c>
      <c r="B2625" s="2">
        <v>42050.559999999998</v>
      </c>
      <c r="C2625" s="3" t="s">
        <v>5009</v>
      </c>
      <c r="D2625" t="s">
        <v>5016</v>
      </c>
      <c r="E2625" t="s">
        <v>5018</v>
      </c>
      <c r="F2625" t="s">
        <v>5018</v>
      </c>
      <c r="G2625">
        <v>50</v>
      </c>
      <c r="H2625" s="5">
        <v>4.7147873318520899E-3</v>
      </c>
      <c r="I2625">
        <v>2</v>
      </c>
      <c r="J2625" t="b">
        <f>AND(CCData[[#This Row],[Date]]&gt;=Calculation!$E$3,CCData[[#This Row],[Date]]&lt;Calculation!$E$3+7)</f>
        <v>0</v>
      </c>
    </row>
    <row r="2626" spans="1:10">
      <c r="A2626" t="s">
        <v>2625</v>
      </c>
      <c r="B2626" s="2">
        <v>42050.569000000003</v>
      </c>
      <c r="C2626" s="3" t="s">
        <v>5004</v>
      </c>
      <c r="D2626" t="s">
        <v>5014</v>
      </c>
      <c r="E2626" t="s">
        <v>5018</v>
      </c>
      <c r="F2626" t="s">
        <v>5018</v>
      </c>
      <c r="G2626">
        <v>47</v>
      </c>
      <c r="H2626" s="5">
        <v>1.7144650381072249E-3</v>
      </c>
      <c r="I2626">
        <v>5</v>
      </c>
      <c r="J2626" t="b">
        <f>AND(CCData[[#This Row],[Date]]&gt;=Calculation!$E$3,CCData[[#This Row],[Date]]&lt;Calculation!$E$3+7)</f>
        <v>0</v>
      </c>
    </row>
    <row r="2627" spans="1:10">
      <c r="A2627" t="s">
        <v>2626</v>
      </c>
      <c r="B2627" s="2">
        <v>42050.569000000003</v>
      </c>
      <c r="C2627" s="3" t="s">
        <v>5005</v>
      </c>
      <c r="D2627" t="s">
        <v>5016</v>
      </c>
      <c r="E2627" t="s">
        <v>5019</v>
      </c>
      <c r="F2627" t="s">
        <v>5019</v>
      </c>
      <c r="G2627" t="s">
        <v>5022</v>
      </c>
      <c r="H2627" s="5" t="s">
        <v>5022</v>
      </c>
      <c r="I2627" t="s">
        <v>5022</v>
      </c>
      <c r="J2627" t="b">
        <f>AND(CCData[[#This Row],[Date]]&gt;=Calculation!$E$3,CCData[[#This Row],[Date]]&lt;Calculation!$E$3+7)</f>
        <v>0</v>
      </c>
    </row>
    <row r="2628" spans="1:10">
      <c r="A2628" t="s">
        <v>2627</v>
      </c>
      <c r="B2628" s="2">
        <v>42050.571000000004</v>
      </c>
      <c r="C2628" s="3" t="s">
        <v>5010</v>
      </c>
      <c r="D2628" t="s">
        <v>5015</v>
      </c>
      <c r="E2628" t="s">
        <v>5018</v>
      </c>
      <c r="F2628" t="s">
        <v>5018</v>
      </c>
      <c r="G2628">
        <v>118</v>
      </c>
      <c r="H2628" s="5">
        <v>2.0028279723415749E-3</v>
      </c>
      <c r="I2628">
        <v>5</v>
      </c>
      <c r="J2628" t="b">
        <f>AND(CCData[[#This Row],[Date]]&gt;=Calculation!$E$3,CCData[[#This Row],[Date]]&lt;Calculation!$E$3+7)</f>
        <v>0</v>
      </c>
    </row>
    <row r="2629" spans="1:10">
      <c r="A2629" t="s">
        <v>2628</v>
      </c>
      <c r="B2629" s="2">
        <v>42050.571000000004</v>
      </c>
      <c r="C2629" s="3" t="s">
        <v>5004</v>
      </c>
      <c r="D2629" t="s">
        <v>5015</v>
      </c>
      <c r="E2629" t="s">
        <v>5019</v>
      </c>
      <c r="F2629" t="s">
        <v>5019</v>
      </c>
      <c r="G2629" t="s">
        <v>5022</v>
      </c>
      <c r="H2629" s="5" t="s">
        <v>5022</v>
      </c>
      <c r="I2629" t="s">
        <v>5022</v>
      </c>
      <c r="J2629" t="b">
        <f>AND(CCData[[#This Row],[Date]]&gt;=Calculation!$E$3,CCData[[#This Row],[Date]]&lt;Calculation!$E$3+7)</f>
        <v>0</v>
      </c>
    </row>
    <row r="2630" spans="1:10">
      <c r="A2630" t="s">
        <v>2629</v>
      </c>
      <c r="B2630" s="2">
        <v>42050.603000000003</v>
      </c>
      <c r="C2630" s="3" t="s">
        <v>5006</v>
      </c>
      <c r="D2630" t="s">
        <v>5013</v>
      </c>
      <c r="E2630" t="s">
        <v>5019</v>
      </c>
      <c r="F2630" t="s">
        <v>5019</v>
      </c>
      <c r="G2630" t="s">
        <v>5022</v>
      </c>
      <c r="H2630" s="5" t="s">
        <v>5022</v>
      </c>
      <c r="I2630" t="s">
        <v>5022</v>
      </c>
      <c r="J2630" t="b">
        <f>AND(CCData[[#This Row],[Date]]&gt;=Calculation!$E$3,CCData[[#This Row],[Date]]&lt;Calculation!$E$3+7)</f>
        <v>0</v>
      </c>
    </row>
    <row r="2631" spans="1:10">
      <c r="A2631" t="s">
        <v>2630</v>
      </c>
      <c r="B2631" s="2">
        <v>42050.603000000003</v>
      </c>
      <c r="C2631" s="3" t="s">
        <v>5007</v>
      </c>
      <c r="D2631" t="s">
        <v>5013</v>
      </c>
      <c r="E2631" t="s">
        <v>5018</v>
      </c>
      <c r="F2631" t="s">
        <v>5018</v>
      </c>
      <c r="G2631">
        <v>14</v>
      </c>
      <c r="H2631" s="5">
        <v>8.488462556096811E-4</v>
      </c>
      <c r="I2631">
        <v>5</v>
      </c>
      <c r="J2631" t="b">
        <f>AND(CCData[[#This Row],[Date]]&gt;=Calculation!$E$3,CCData[[#This Row],[Date]]&lt;Calculation!$E$3+7)</f>
        <v>0</v>
      </c>
    </row>
    <row r="2632" spans="1:10">
      <c r="A2632" t="s">
        <v>2631</v>
      </c>
      <c r="B2632" s="2">
        <v>42050.603999999999</v>
      </c>
      <c r="C2632" s="3" t="s">
        <v>5010</v>
      </c>
      <c r="D2632" t="s">
        <v>5013</v>
      </c>
      <c r="E2632" t="s">
        <v>5018</v>
      </c>
      <c r="F2632" t="s">
        <v>5018</v>
      </c>
      <c r="G2632">
        <v>88</v>
      </c>
      <c r="H2632" s="5">
        <v>8.0237233643357987E-4</v>
      </c>
      <c r="I2632">
        <v>3</v>
      </c>
      <c r="J2632" t="b">
        <f>AND(CCData[[#This Row],[Date]]&gt;=Calculation!$E$3,CCData[[#This Row],[Date]]&lt;Calculation!$E$3+7)</f>
        <v>0</v>
      </c>
    </row>
    <row r="2633" spans="1:10">
      <c r="A2633" t="s">
        <v>2632</v>
      </c>
      <c r="B2633" s="2">
        <v>42050.603999999999</v>
      </c>
      <c r="C2633" s="3" t="s">
        <v>5008</v>
      </c>
      <c r="D2633" t="s">
        <v>5016</v>
      </c>
      <c r="E2633" t="s">
        <v>5018</v>
      </c>
      <c r="F2633" t="s">
        <v>5018</v>
      </c>
      <c r="G2633">
        <v>124</v>
      </c>
      <c r="H2633" s="5">
        <v>6.0334336337400114E-4</v>
      </c>
      <c r="I2633">
        <v>4</v>
      </c>
      <c r="J2633" t="b">
        <f>AND(CCData[[#This Row],[Date]]&gt;=Calculation!$E$3,CCData[[#This Row],[Date]]&lt;Calculation!$E$3+7)</f>
        <v>0</v>
      </c>
    </row>
    <row r="2634" spans="1:10">
      <c r="A2634" t="s">
        <v>2633</v>
      </c>
      <c r="B2634" s="2">
        <v>42050.614000000001</v>
      </c>
      <c r="C2634" s="3" t="s">
        <v>5003</v>
      </c>
      <c r="D2634" t="s">
        <v>5014</v>
      </c>
      <c r="E2634" t="s">
        <v>5018</v>
      </c>
      <c r="F2634" t="s">
        <v>5018</v>
      </c>
      <c r="G2634">
        <v>18</v>
      </c>
      <c r="H2634" s="5">
        <v>5.5020164690706172E-4</v>
      </c>
      <c r="I2634">
        <v>5</v>
      </c>
      <c r="J2634" t="b">
        <f>AND(CCData[[#This Row],[Date]]&gt;=Calculation!$E$3,CCData[[#This Row],[Date]]&lt;Calculation!$E$3+7)</f>
        <v>0</v>
      </c>
    </row>
    <row r="2635" spans="1:10">
      <c r="A2635" t="s">
        <v>2634</v>
      </c>
      <c r="B2635" s="2">
        <v>42050.614000000001</v>
      </c>
      <c r="C2635" s="3" t="s">
        <v>5010</v>
      </c>
      <c r="D2635" t="s">
        <v>5015</v>
      </c>
      <c r="E2635" t="s">
        <v>5018</v>
      </c>
      <c r="F2635" t="s">
        <v>5018</v>
      </c>
      <c r="G2635">
        <v>22</v>
      </c>
      <c r="H2635" s="5">
        <v>1.4435045894093015E-3</v>
      </c>
      <c r="I2635">
        <v>3</v>
      </c>
      <c r="J2635" t="b">
        <f>AND(CCData[[#This Row],[Date]]&gt;=Calculation!$E$3,CCData[[#This Row],[Date]]&lt;Calculation!$E$3+7)</f>
        <v>0</v>
      </c>
    </row>
    <row r="2636" spans="1:10">
      <c r="A2636" t="s">
        <v>2635</v>
      </c>
      <c r="B2636" s="2">
        <v>42050.618999999999</v>
      </c>
      <c r="C2636" s="3" t="s">
        <v>5007</v>
      </c>
      <c r="D2636" t="s">
        <v>5013</v>
      </c>
      <c r="E2636" t="s">
        <v>5019</v>
      </c>
      <c r="F2636" t="s">
        <v>5019</v>
      </c>
      <c r="G2636" t="s">
        <v>5022</v>
      </c>
      <c r="H2636" s="5" t="s">
        <v>5022</v>
      </c>
      <c r="I2636" t="s">
        <v>5022</v>
      </c>
      <c r="J2636" t="b">
        <f>AND(CCData[[#This Row],[Date]]&gt;=Calculation!$E$3,CCData[[#This Row],[Date]]&lt;Calculation!$E$3+7)</f>
        <v>0</v>
      </c>
    </row>
    <row r="2637" spans="1:10">
      <c r="A2637" t="s">
        <v>2636</v>
      </c>
      <c r="B2637" s="2">
        <v>42050.618999999999</v>
      </c>
      <c r="C2637" s="3" t="s">
        <v>5004</v>
      </c>
      <c r="D2637" t="s">
        <v>5016</v>
      </c>
      <c r="E2637" t="s">
        <v>5018</v>
      </c>
      <c r="F2637" t="s">
        <v>5018</v>
      </c>
      <c r="G2637">
        <v>94</v>
      </c>
      <c r="H2637" s="5">
        <v>4.3769136842802241E-3</v>
      </c>
      <c r="I2637">
        <v>5</v>
      </c>
      <c r="J2637" t="b">
        <f>AND(CCData[[#This Row],[Date]]&gt;=Calculation!$E$3,CCData[[#This Row],[Date]]&lt;Calculation!$E$3+7)</f>
        <v>0</v>
      </c>
    </row>
    <row r="2638" spans="1:10">
      <c r="A2638" t="s">
        <v>2637</v>
      </c>
      <c r="B2638" s="2">
        <v>42050.623</v>
      </c>
      <c r="C2638" s="3" t="s">
        <v>5004</v>
      </c>
      <c r="D2638" t="s">
        <v>5013</v>
      </c>
      <c r="E2638" t="s">
        <v>5018</v>
      </c>
      <c r="F2638" t="s">
        <v>5019</v>
      </c>
      <c r="G2638">
        <v>54</v>
      </c>
      <c r="H2638" s="5">
        <v>2.4952824547234513E-3</v>
      </c>
      <c r="I2638">
        <v>3</v>
      </c>
      <c r="J2638" t="b">
        <f>AND(CCData[[#This Row],[Date]]&gt;=Calculation!$E$3,CCData[[#This Row],[Date]]&lt;Calculation!$E$3+7)</f>
        <v>0</v>
      </c>
    </row>
    <row r="2639" spans="1:10">
      <c r="A2639" t="s">
        <v>2638</v>
      </c>
      <c r="B2639" s="2">
        <v>42050.623</v>
      </c>
      <c r="C2639" s="3" t="s">
        <v>5006</v>
      </c>
      <c r="D2639" t="s">
        <v>5012</v>
      </c>
      <c r="E2639" t="s">
        <v>5018</v>
      </c>
      <c r="F2639" t="s">
        <v>5019</v>
      </c>
      <c r="G2639">
        <v>44</v>
      </c>
      <c r="H2639" s="5">
        <v>2.2753487809644315E-3</v>
      </c>
      <c r="I2639">
        <v>5</v>
      </c>
      <c r="J2639" t="b">
        <f>AND(CCData[[#This Row],[Date]]&gt;=Calculation!$E$3,CCData[[#This Row],[Date]]&lt;Calculation!$E$3+7)</f>
        <v>0</v>
      </c>
    </row>
    <row r="2640" spans="1:10">
      <c r="A2640" t="s">
        <v>2639</v>
      </c>
      <c r="B2640" s="2">
        <v>42050.656999999999</v>
      </c>
      <c r="C2640" s="3" t="s">
        <v>5006</v>
      </c>
      <c r="D2640" t="s">
        <v>5015</v>
      </c>
      <c r="E2640" t="s">
        <v>5018</v>
      </c>
      <c r="F2640" t="s">
        <v>5018</v>
      </c>
      <c r="G2640">
        <v>28</v>
      </c>
      <c r="H2640" s="5">
        <v>3.0412380286187458E-3</v>
      </c>
      <c r="I2640">
        <v>3</v>
      </c>
      <c r="J2640" t="b">
        <f>AND(CCData[[#This Row],[Date]]&gt;=Calculation!$E$3,CCData[[#This Row],[Date]]&lt;Calculation!$E$3+7)</f>
        <v>0</v>
      </c>
    </row>
    <row r="2641" spans="1:10">
      <c r="A2641" t="s">
        <v>2640</v>
      </c>
      <c r="B2641" s="2">
        <v>42050.656999999999</v>
      </c>
      <c r="C2641" s="3" t="s">
        <v>5007</v>
      </c>
      <c r="D2641" t="s">
        <v>5014</v>
      </c>
      <c r="E2641" t="s">
        <v>5018</v>
      </c>
      <c r="F2641" t="s">
        <v>5018</v>
      </c>
      <c r="G2641">
        <v>103</v>
      </c>
      <c r="H2641" s="5">
        <v>2.2264244080151476E-3</v>
      </c>
      <c r="I2641">
        <v>3</v>
      </c>
      <c r="J2641" t="b">
        <f>AND(CCData[[#This Row],[Date]]&gt;=Calculation!$E$3,CCData[[#This Row],[Date]]&lt;Calculation!$E$3+7)</f>
        <v>0</v>
      </c>
    </row>
    <row r="2642" spans="1:10">
      <c r="A2642" t="s">
        <v>2641</v>
      </c>
      <c r="B2642" s="2">
        <v>42050.658000000003</v>
      </c>
      <c r="C2642" s="3" t="s">
        <v>5008</v>
      </c>
      <c r="D2642" t="s">
        <v>5013</v>
      </c>
      <c r="E2642" t="s">
        <v>5018</v>
      </c>
      <c r="F2642" t="s">
        <v>5018</v>
      </c>
      <c r="G2642">
        <v>25</v>
      </c>
      <c r="H2642" s="5">
        <v>5.4718726790617422E-4</v>
      </c>
      <c r="I2642">
        <v>4</v>
      </c>
      <c r="J2642" t="b">
        <f>AND(CCData[[#This Row],[Date]]&gt;=Calculation!$E$3,CCData[[#This Row],[Date]]&lt;Calculation!$E$3+7)</f>
        <v>0</v>
      </c>
    </row>
    <row r="2643" spans="1:10">
      <c r="A2643" t="s">
        <v>2642</v>
      </c>
      <c r="B2643" s="2">
        <v>42050.658000000003</v>
      </c>
      <c r="C2643" s="3" t="s">
        <v>5004</v>
      </c>
      <c r="D2643" t="s">
        <v>5016</v>
      </c>
      <c r="E2643" t="s">
        <v>5019</v>
      </c>
      <c r="F2643" t="s">
        <v>5019</v>
      </c>
      <c r="G2643" t="s">
        <v>5022</v>
      </c>
      <c r="H2643" s="5" t="s">
        <v>5022</v>
      </c>
      <c r="I2643" t="s">
        <v>5022</v>
      </c>
      <c r="J2643" t="b">
        <f>AND(CCData[[#This Row],[Date]]&gt;=Calculation!$E$3,CCData[[#This Row],[Date]]&lt;Calculation!$E$3+7)</f>
        <v>0</v>
      </c>
    </row>
    <row r="2644" spans="1:10">
      <c r="A2644" t="s">
        <v>2643</v>
      </c>
      <c r="B2644" s="2">
        <v>42050.667999999998</v>
      </c>
      <c r="C2644" s="3" t="s">
        <v>5007</v>
      </c>
      <c r="D2644" t="s">
        <v>5016</v>
      </c>
      <c r="E2644" t="s">
        <v>5018</v>
      </c>
      <c r="F2644" t="s">
        <v>5018</v>
      </c>
      <c r="G2644">
        <v>84</v>
      </c>
      <c r="H2644" s="5">
        <v>2.8895584681966008E-3</v>
      </c>
      <c r="I2644">
        <v>3</v>
      </c>
      <c r="J2644" t="b">
        <f>AND(CCData[[#This Row],[Date]]&gt;=Calculation!$E$3,CCData[[#This Row],[Date]]&lt;Calculation!$E$3+7)</f>
        <v>0</v>
      </c>
    </row>
    <row r="2645" spans="1:10">
      <c r="A2645" t="s">
        <v>2644</v>
      </c>
      <c r="B2645" s="2">
        <v>42050.667999999998</v>
      </c>
      <c r="C2645" s="3" t="s">
        <v>5010</v>
      </c>
      <c r="D2645" t="s">
        <v>5016</v>
      </c>
      <c r="E2645" t="s">
        <v>5018</v>
      </c>
      <c r="F2645" t="s">
        <v>5018</v>
      </c>
      <c r="G2645">
        <v>36</v>
      </c>
      <c r="H2645" s="5">
        <v>2.7422267085502579E-3</v>
      </c>
      <c r="I2645">
        <v>4</v>
      </c>
      <c r="J2645" t="b">
        <f>AND(CCData[[#This Row],[Date]]&gt;=Calculation!$E$3,CCData[[#This Row],[Date]]&lt;Calculation!$E$3+7)</f>
        <v>0</v>
      </c>
    </row>
    <row r="2646" spans="1:10">
      <c r="A2646" t="s">
        <v>2645</v>
      </c>
      <c r="B2646" s="2">
        <v>42050.716</v>
      </c>
      <c r="C2646" s="3" t="s">
        <v>5004</v>
      </c>
      <c r="D2646" t="s">
        <v>5014</v>
      </c>
      <c r="E2646" t="s">
        <v>5019</v>
      </c>
      <c r="F2646" t="s">
        <v>5019</v>
      </c>
      <c r="G2646" t="s">
        <v>5022</v>
      </c>
      <c r="H2646" s="5" t="s">
        <v>5022</v>
      </c>
      <c r="I2646" t="s">
        <v>5022</v>
      </c>
      <c r="J2646" t="b">
        <f>AND(CCData[[#This Row],[Date]]&gt;=Calculation!$E$3,CCData[[#This Row],[Date]]&lt;Calculation!$E$3+7)</f>
        <v>0</v>
      </c>
    </row>
    <row r="2647" spans="1:10">
      <c r="A2647" t="s">
        <v>2646</v>
      </c>
      <c r="B2647" s="2">
        <v>42050.716</v>
      </c>
      <c r="C2647" s="3" t="s">
        <v>5005</v>
      </c>
      <c r="D2647" t="s">
        <v>5014</v>
      </c>
      <c r="E2647" t="s">
        <v>5018</v>
      </c>
      <c r="F2647" t="s">
        <v>5018</v>
      </c>
      <c r="G2647">
        <v>42</v>
      </c>
      <c r="H2647" s="5">
        <v>2.5574406338127135E-3</v>
      </c>
      <c r="I2647">
        <v>4</v>
      </c>
      <c r="J2647" t="b">
        <f>AND(CCData[[#This Row],[Date]]&gt;=Calculation!$E$3,CCData[[#This Row],[Date]]&lt;Calculation!$E$3+7)</f>
        <v>0</v>
      </c>
    </row>
    <row r="2648" spans="1:10">
      <c r="A2648" t="s">
        <v>2647</v>
      </c>
      <c r="B2648" s="2">
        <v>42050.720999999998</v>
      </c>
      <c r="C2648" s="3" t="s">
        <v>5010</v>
      </c>
      <c r="D2648" t="s">
        <v>5016</v>
      </c>
      <c r="E2648" t="s">
        <v>5018</v>
      </c>
      <c r="F2648" t="s">
        <v>5018</v>
      </c>
      <c r="G2648">
        <v>124</v>
      </c>
      <c r="H2648" s="5">
        <v>2.6741247553477582E-3</v>
      </c>
      <c r="I2648">
        <v>3</v>
      </c>
      <c r="J2648" t="b">
        <f>AND(CCData[[#This Row],[Date]]&gt;=Calculation!$E$3,CCData[[#This Row],[Date]]&lt;Calculation!$E$3+7)</f>
        <v>0</v>
      </c>
    </row>
    <row r="2649" spans="1:10">
      <c r="A2649" t="s">
        <v>2648</v>
      </c>
      <c r="B2649" s="2">
        <v>42050.720999999998</v>
      </c>
      <c r="C2649" s="3" t="s">
        <v>5005</v>
      </c>
      <c r="D2649" t="s">
        <v>5013</v>
      </c>
      <c r="E2649" t="s">
        <v>5018</v>
      </c>
      <c r="F2649" t="s">
        <v>5018</v>
      </c>
      <c r="G2649">
        <v>99</v>
      </c>
      <c r="H2649" s="5">
        <v>2.5515222212984709E-3</v>
      </c>
      <c r="I2649">
        <v>5</v>
      </c>
      <c r="J2649" t="b">
        <f>AND(CCData[[#This Row],[Date]]&gt;=Calculation!$E$3,CCData[[#This Row],[Date]]&lt;Calculation!$E$3+7)</f>
        <v>0</v>
      </c>
    </row>
    <row r="2650" spans="1:10">
      <c r="A2650" t="s">
        <v>2649</v>
      </c>
      <c r="B2650" s="2">
        <v>42050.722000000002</v>
      </c>
      <c r="C2650" s="3" t="s">
        <v>5003</v>
      </c>
      <c r="D2650" t="s">
        <v>5016</v>
      </c>
      <c r="E2650" t="s">
        <v>5018</v>
      </c>
      <c r="F2650" t="s">
        <v>5018</v>
      </c>
      <c r="G2650">
        <v>124</v>
      </c>
      <c r="H2650" s="5">
        <v>3.0435829896863194E-3</v>
      </c>
      <c r="I2650">
        <v>5</v>
      </c>
      <c r="J2650" t="b">
        <f>AND(CCData[[#This Row],[Date]]&gt;=Calculation!$E$3,CCData[[#This Row],[Date]]&lt;Calculation!$E$3+7)</f>
        <v>0</v>
      </c>
    </row>
    <row r="2651" spans="1:10">
      <c r="A2651" t="s">
        <v>2650</v>
      </c>
      <c r="B2651" s="2">
        <v>42050.722000000002</v>
      </c>
      <c r="C2651" s="3" t="s">
        <v>5006</v>
      </c>
      <c r="D2651" t="s">
        <v>5015</v>
      </c>
      <c r="E2651" t="s">
        <v>5018</v>
      </c>
      <c r="F2651" t="s">
        <v>5018</v>
      </c>
      <c r="G2651">
        <v>55</v>
      </c>
      <c r="H2651" s="5">
        <v>4.4543939054204401E-3</v>
      </c>
      <c r="I2651">
        <v>5</v>
      </c>
      <c r="J2651" t="b">
        <f>AND(CCData[[#This Row],[Date]]&gt;=Calculation!$E$3,CCData[[#This Row],[Date]]&lt;Calculation!$E$3+7)</f>
        <v>0</v>
      </c>
    </row>
    <row r="2652" spans="1:10">
      <c r="A2652" t="s">
        <v>2651</v>
      </c>
      <c r="B2652" s="2">
        <v>42050.74</v>
      </c>
      <c r="C2652" s="3" t="s">
        <v>5010</v>
      </c>
      <c r="D2652" t="s">
        <v>5015</v>
      </c>
      <c r="E2652" t="s">
        <v>5019</v>
      </c>
      <c r="F2652" t="s">
        <v>5019</v>
      </c>
      <c r="G2652" t="s">
        <v>5022</v>
      </c>
      <c r="H2652" s="5" t="s">
        <v>5022</v>
      </c>
      <c r="I2652" t="s">
        <v>5022</v>
      </c>
      <c r="J2652" t="b">
        <f>AND(CCData[[#This Row],[Date]]&gt;=Calculation!$E$3,CCData[[#This Row],[Date]]&lt;Calculation!$E$3+7)</f>
        <v>0</v>
      </c>
    </row>
    <row r="2653" spans="1:10">
      <c r="A2653" t="s">
        <v>2652</v>
      </c>
      <c r="B2653" s="2">
        <v>42050.74</v>
      </c>
      <c r="C2653" s="3" t="s">
        <v>5007</v>
      </c>
      <c r="D2653" t="s">
        <v>5014</v>
      </c>
      <c r="E2653" t="s">
        <v>5019</v>
      </c>
      <c r="F2653" t="s">
        <v>5019</v>
      </c>
      <c r="G2653" t="s">
        <v>5022</v>
      </c>
      <c r="H2653" s="5" t="s">
        <v>5022</v>
      </c>
      <c r="I2653" t="s">
        <v>5022</v>
      </c>
      <c r="J2653" t="b">
        <f>AND(CCData[[#This Row],[Date]]&gt;=Calculation!$E$3,CCData[[#This Row],[Date]]&lt;Calculation!$E$3+7)</f>
        <v>0</v>
      </c>
    </row>
    <row r="2654" spans="1:10">
      <c r="A2654" t="s">
        <v>2653</v>
      </c>
      <c r="B2654" s="2">
        <v>42051.38</v>
      </c>
      <c r="C2654" s="3" t="s">
        <v>5006</v>
      </c>
      <c r="D2654" t="s">
        <v>5015</v>
      </c>
      <c r="E2654" t="s">
        <v>5018</v>
      </c>
      <c r="F2654" t="s">
        <v>5018</v>
      </c>
      <c r="G2654">
        <v>64</v>
      </c>
      <c r="H2654" s="5">
        <v>3.5372356784923739E-3</v>
      </c>
      <c r="I2654">
        <v>2</v>
      </c>
      <c r="J2654" t="b">
        <f>AND(CCData[[#This Row],[Date]]&gt;=Calculation!$E$3,CCData[[#This Row],[Date]]&lt;Calculation!$E$3+7)</f>
        <v>0</v>
      </c>
    </row>
    <row r="2655" spans="1:10">
      <c r="A2655" t="s">
        <v>2654</v>
      </c>
      <c r="B2655" s="2">
        <v>42051.38</v>
      </c>
      <c r="C2655" s="3" t="s">
        <v>5003</v>
      </c>
      <c r="D2655" t="s">
        <v>5013</v>
      </c>
      <c r="E2655" t="s">
        <v>5018</v>
      </c>
      <c r="F2655" t="s">
        <v>5018</v>
      </c>
      <c r="G2655">
        <v>82</v>
      </c>
      <c r="H2655" s="5">
        <v>3.4046123483706366E-3</v>
      </c>
      <c r="I2655">
        <v>2</v>
      </c>
      <c r="J2655" t="b">
        <f>AND(CCData[[#This Row],[Date]]&gt;=Calculation!$E$3,CCData[[#This Row],[Date]]&lt;Calculation!$E$3+7)</f>
        <v>0</v>
      </c>
    </row>
    <row r="2656" spans="1:10">
      <c r="A2656" t="s">
        <v>2655</v>
      </c>
      <c r="B2656" s="2">
        <v>42051.42</v>
      </c>
      <c r="C2656" s="3" t="s">
        <v>5003</v>
      </c>
      <c r="D2656" t="s">
        <v>5016</v>
      </c>
      <c r="E2656" t="s">
        <v>5018</v>
      </c>
      <c r="F2656" t="s">
        <v>5018</v>
      </c>
      <c r="G2656">
        <v>50</v>
      </c>
      <c r="H2656" s="5">
        <v>2.3015124941589173E-3</v>
      </c>
      <c r="I2656">
        <v>4</v>
      </c>
      <c r="J2656" t="b">
        <f>AND(CCData[[#This Row],[Date]]&gt;=Calculation!$E$3,CCData[[#This Row],[Date]]&lt;Calculation!$E$3+7)</f>
        <v>0</v>
      </c>
    </row>
    <row r="2657" spans="1:10">
      <c r="A2657" t="s">
        <v>2656</v>
      </c>
      <c r="B2657" s="2">
        <v>42051.42</v>
      </c>
      <c r="C2657" s="3" t="s">
        <v>5005</v>
      </c>
      <c r="D2657" t="s">
        <v>5012</v>
      </c>
      <c r="E2657" t="s">
        <v>5018</v>
      </c>
      <c r="F2657" t="s">
        <v>5018</v>
      </c>
      <c r="G2657">
        <v>100</v>
      </c>
      <c r="H2657" s="5">
        <v>2.5643883297614897E-3</v>
      </c>
      <c r="I2657">
        <v>4</v>
      </c>
      <c r="J2657" t="b">
        <f>AND(CCData[[#This Row],[Date]]&gt;=Calculation!$E$3,CCData[[#This Row],[Date]]&lt;Calculation!$E$3+7)</f>
        <v>0</v>
      </c>
    </row>
    <row r="2658" spans="1:10">
      <c r="A2658" t="s">
        <v>2657</v>
      </c>
      <c r="B2658" s="2">
        <v>42051.432999999997</v>
      </c>
      <c r="C2658" s="3" t="s">
        <v>5007</v>
      </c>
      <c r="D2658" t="s">
        <v>5015</v>
      </c>
      <c r="E2658" t="s">
        <v>5018</v>
      </c>
      <c r="F2658" t="s">
        <v>5018</v>
      </c>
      <c r="G2658">
        <v>26</v>
      </c>
      <c r="H2658" s="5">
        <v>4.7892126604824571E-3</v>
      </c>
      <c r="I2658">
        <v>3</v>
      </c>
      <c r="J2658" t="b">
        <f>AND(CCData[[#This Row],[Date]]&gt;=Calculation!$E$3,CCData[[#This Row],[Date]]&lt;Calculation!$E$3+7)</f>
        <v>0</v>
      </c>
    </row>
    <row r="2659" spans="1:10">
      <c r="A2659" t="s">
        <v>2658</v>
      </c>
      <c r="B2659" s="2">
        <v>42051.432999999997</v>
      </c>
      <c r="C2659" s="3" t="s">
        <v>5010</v>
      </c>
      <c r="D2659" t="s">
        <v>5014</v>
      </c>
      <c r="E2659" t="s">
        <v>5018</v>
      </c>
      <c r="F2659" t="s">
        <v>5018</v>
      </c>
      <c r="G2659">
        <v>75</v>
      </c>
      <c r="H2659" s="5">
        <v>2.9432294838983688E-3</v>
      </c>
      <c r="I2659">
        <v>2</v>
      </c>
      <c r="J2659" t="b">
        <f>AND(CCData[[#This Row],[Date]]&gt;=Calculation!$E$3,CCData[[#This Row],[Date]]&lt;Calculation!$E$3+7)</f>
        <v>0</v>
      </c>
    </row>
    <row r="2660" spans="1:10">
      <c r="A2660" t="s">
        <v>2659</v>
      </c>
      <c r="B2660" s="2">
        <v>42051.438000000002</v>
      </c>
      <c r="C2660" s="3" t="s">
        <v>5006</v>
      </c>
      <c r="D2660" t="s">
        <v>5013</v>
      </c>
      <c r="E2660" t="s">
        <v>5018</v>
      </c>
      <c r="F2660" t="s">
        <v>5018</v>
      </c>
      <c r="G2660">
        <v>26</v>
      </c>
      <c r="H2660" s="5">
        <v>4.4910884847529451E-3</v>
      </c>
      <c r="I2660">
        <v>3</v>
      </c>
      <c r="J2660" t="b">
        <f>AND(CCData[[#This Row],[Date]]&gt;=Calculation!$E$3,CCData[[#This Row],[Date]]&lt;Calculation!$E$3+7)</f>
        <v>0</v>
      </c>
    </row>
    <row r="2661" spans="1:10">
      <c r="A2661" t="s">
        <v>2660</v>
      </c>
      <c r="B2661" s="2">
        <v>42051.438000000002</v>
      </c>
      <c r="C2661" s="3" t="s">
        <v>5010</v>
      </c>
      <c r="D2661" t="s">
        <v>5014</v>
      </c>
      <c r="E2661" t="s">
        <v>5018</v>
      </c>
      <c r="F2661" t="s">
        <v>5018</v>
      </c>
      <c r="G2661">
        <v>21</v>
      </c>
      <c r="H2661" s="5">
        <v>3.5635722005203981E-3</v>
      </c>
      <c r="I2661">
        <v>3</v>
      </c>
      <c r="J2661" t="b">
        <f>AND(CCData[[#This Row],[Date]]&gt;=Calculation!$E$3,CCData[[#This Row],[Date]]&lt;Calculation!$E$3+7)</f>
        <v>0</v>
      </c>
    </row>
    <row r="2662" spans="1:10">
      <c r="A2662" t="s">
        <v>2661</v>
      </c>
      <c r="B2662" s="2">
        <v>42051.438000000002</v>
      </c>
      <c r="C2662" s="3" t="s">
        <v>5005</v>
      </c>
      <c r="D2662" t="s">
        <v>5015</v>
      </c>
      <c r="E2662" t="s">
        <v>5018</v>
      </c>
      <c r="F2662" t="s">
        <v>5018</v>
      </c>
      <c r="G2662">
        <v>53</v>
      </c>
      <c r="H2662" s="5">
        <v>3.5850054536903746E-4</v>
      </c>
      <c r="I2662">
        <v>1</v>
      </c>
      <c r="J2662" t="b">
        <f>AND(CCData[[#This Row],[Date]]&gt;=Calculation!$E$3,CCData[[#This Row],[Date]]&lt;Calculation!$E$3+7)</f>
        <v>0</v>
      </c>
    </row>
    <row r="2663" spans="1:10">
      <c r="A2663" t="s">
        <v>2662</v>
      </c>
      <c r="B2663" s="2">
        <v>42051.438000000002</v>
      </c>
      <c r="C2663" s="3" t="s">
        <v>5006</v>
      </c>
      <c r="D2663" t="s">
        <v>5016</v>
      </c>
      <c r="E2663" t="s">
        <v>5018</v>
      </c>
      <c r="F2663" t="s">
        <v>5018</v>
      </c>
      <c r="G2663">
        <v>109</v>
      </c>
      <c r="H2663" s="5">
        <v>1.8192379273664519E-3</v>
      </c>
      <c r="I2663">
        <v>3</v>
      </c>
      <c r="J2663" t="b">
        <f>AND(CCData[[#This Row],[Date]]&gt;=Calculation!$E$3,CCData[[#This Row],[Date]]&lt;Calculation!$E$3+7)</f>
        <v>0</v>
      </c>
    </row>
    <row r="2664" spans="1:10">
      <c r="A2664" t="s">
        <v>2663</v>
      </c>
      <c r="B2664" s="2">
        <v>42051.463000000003</v>
      </c>
      <c r="C2664" s="3" t="s">
        <v>5004</v>
      </c>
      <c r="D2664" t="s">
        <v>5016</v>
      </c>
      <c r="E2664" t="s">
        <v>5018</v>
      </c>
      <c r="F2664" t="s">
        <v>5018</v>
      </c>
      <c r="G2664">
        <v>108</v>
      </c>
      <c r="H2664" s="5">
        <v>4.213187888997447E-3</v>
      </c>
      <c r="I2664">
        <v>3</v>
      </c>
      <c r="J2664" t="b">
        <f>AND(CCData[[#This Row],[Date]]&gt;=Calculation!$E$3,CCData[[#This Row],[Date]]&lt;Calculation!$E$3+7)</f>
        <v>0</v>
      </c>
    </row>
    <row r="2665" spans="1:10">
      <c r="A2665" t="s">
        <v>2664</v>
      </c>
      <c r="B2665" s="2">
        <v>42051.463000000003</v>
      </c>
      <c r="C2665" s="3" t="s">
        <v>5005</v>
      </c>
      <c r="D2665" t="s">
        <v>5012</v>
      </c>
      <c r="E2665" t="s">
        <v>5018</v>
      </c>
      <c r="F2665" t="s">
        <v>5018</v>
      </c>
      <c r="G2665">
        <v>58</v>
      </c>
      <c r="H2665" s="5">
        <v>3.6629647877364792E-3</v>
      </c>
      <c r="I2665">
        <v>5</v>
      </c>
      <c r="J2665" t="b">
        <f>AND(CCData[[#This Row],[Date]]&gt;=Calculation!$E$3,CCData[[#This Row],[Date]]&lt;Calculation!$E$3+7)</f>
        <v>0</v>
      </c>
    </row>
    <row r="2666" spans="1:10">
      <c r="A2666" t="s">
        <v>2665</v>
      </c>
      <c r="B2666" s="2">
        <v>42051.466999999997</v>
      </c>
      <c r="C2666" s="3" t="s">
        <v>5005</v>
      </c>
      <c r="D2666" t="s">
        <v>5014</v>
      </c>
      <c r="E2666" t="s">
        <v>5018</v>
      </c>
      <c r="F2666" t="s">
        <v>5018</v>
      </c>
      <c r="G2666">
        <v>14</v>
      </c>
      <c r="H2666" s="5">
        <v>4.0582570573153912E-3</v>
      </c>
      <c r="I2666">
        <v>5</v>
      </c>
      <c r="J2666" t="b">
        <f>AND(CCData[[#This Row],[Date]]&gt;=Calculation!$E$3,CCData[[#This Row],[Date]]&lt;Calculation!$E$3+7)</f>
        <v>0</v>
      </c>
    </row>
    <row r="2667" spans="1:10">
      <c r="A2667" t="s">
        <v>2666</v>
      </c>
      <c r="B2667" s="2">
        <v>42051.466999999997</v>
      </c>
      <c r="C2667" s="3" t="s">
        <v>5009</v>
      </c>
      <c r="D2667" t="s">
        <v>5012</v>
      </c>
      <c r="E2667" t="s">
        <v>5018</v>
      </c>
      <c r="F2667" t="s">
        <v>5018</v>
      </c>
      <c r="G2667">
        <v>74</v>
      </c>
      <c r="H2667" s="5">
        <v>3.8315378592518241E-3</v>
      </c>
      <c r="I2667">
        <v>4</v>
      </c>
      <c r="J2667" t="b">
        <f>AND(CCData[[#This Row],[Date]]&gt;=Calculation!$E$3,CCData[[#This Row],[Date]]&lt;Calculation!$E$3+7)</f>
        <v>0</v>
      </c>
    </row>
    <row r="2668" spans="1:10">
      <c r="A2668" t="s">
        <v>2667</v>
      </c>
      <c r="B2668" s="2">
        <v>42051.470999999998</v>
      </c>
      <c r="C2668" s="3" t="s">
        <v>5007</v>
      </c>
      <c r="D2668" t="s">
        <v>5012</v>
      </c>
      <c r="E2668" t="s">
        <v>5019</v>
      </c>
      <c r="F2668" t="s">
        <v>5019</v>
      </c>
      <c r="G2668" t="s">
        <v>5022</v>
      </c>
      <c r="H2668" s="5" t="s">
        <v>5022</v>
      </c>
      <c r="I2668" t="s">
        <v>5022</v>
      </c>
      <c r="J2668" t="b">
        <f>AND(CCData[[#This Row],[Date]]&gt;=Calculation!$E$3,CCData[[#This Row],[Date]]&lt;Calculation!$E$3+7)</f>
        <v>0</v>
      </c>
    </row>
    <row r="2669" spans="1:10">
      <c r="A2669" t="s">
        <v>2668</v>
      </c>
      <c r="B2669" s="2">
        <v>42051.470999999998</v>
      </c>
      <c r="C2669" s="3" t="s">
        <v>5007</v>
      </c>
      <c r="D2669" t="s">
        <v>5016</v>
      </c>
      <c r="E2669" t="s">
        <v>5018</v>
      </c>
      <c r="F2669" t="s">
        <v>5018</v>
      </c>
      <c r="G2669">
        <v>54</v>
      </c>
      <c r="H2669" s="5">
        <v>1.9246029000866093E-3</v>
      </c>
      <c r="I2669">
        <v>5</v>
      </c>
      <c r="J2669" t="b">
        <f>AND(CCData[[#This Row],[Date]]&gt;=Calculation!$E$3,CCData[[#This Row],[Date]]&lt;Calculation!$E$3+7)</f>
        <v>0</v>
      </c>
    </row>
    <row r="2670" spans="1:10">
      <c r="A2670" t="s">
        <v>2669</v>
      </c>
      <c r="B2670" s="2">
        <v>42051.476999999999</v>
      </c>
      <c r="C2670" s="3" t="s">
        <v>5006</v>
      </c>
      <c r="D2670" t="s">
        <v>5016</v>
      </c>
      <c r="E2670" t="s">
        <v>5018</v>
      </c>
      <c r="F2670" t="s">
        <v>5018</v>
      </c>
      <c r="G2670">
        <v>18</v>
      </c>
      <c r="H2670" s="5">
        <v>2.5776864810681233E-3</v>
      </c>
      <c r="I2670">
        <v>4</v>
      </c>
      <c r="J2670" t="b">
        <f>AND(CCData[[#This Row],[Date]]&gt;=Calculation!$E$3,CCData[[#This Row],[Date]]&lt;Calculation!$E$3+7)</f>
        <v>0</v>
      </c>
    </row>
    <row r="2671" spans="1:10">
      <c r="A2671" t="s">
        <v>2670</v>
      </c>
      <c r="B2671" s="2">
        <v>42051.476999999999</v>
      </c>
      <c r="C2671" s="3" t="s">
        <v>5008</v>
      </c>
      <c r="D2671" t="s">
        <v>5014</v>
      </c>
      <c r="E2671" t="s">
        <v>5018</v>
      </c>
      <c r="F2671" t="s">
        <v>5018</v>
      </c>
      <c r="G2671">
        <v>39</v>
      </c>
      <c r="H2671" s="5">
        <v>4.3131686477100237E-3</v>
      </c>
      <c r="I2671">
        <v>3</v>
      </c>
      <c r="J2671" t="b">
        <f>AND(CCData[[#This Row],[Date]]&gt;=Calculation!$E$3,CCData[[#This Row],[Date]]&lt;Calculation!$E$3+7)</f>
        <v>0</v>
      </c>
    </row>
    <row r="2672" spans="1:10">
      <c r="A2672" t="s">
        <v>2671</v>
      </c>
      <c r="B2672" s="2">
        <v>42051.506999999998</v>
      </c>
      <c r="C2672" s="3" t="s">
        <v>5009</v>
      </c>
      <c r="D2672" t="s">
        <v>5014</v>
      </c>
      <c r="E2672" t="s">
        <v>5018</v>
      </c>
      <c r="F2672" t="s">
        <v>5018</v>
      </c>
      <c r="G2672">
        <v>31</v>
      </c>
      <c r="H2672" s="5">
        <v>2.2814668203427393E-3</v>
      </c>
      <c r="I2672">
        <v>1</v>
      </c>
      <c r="J2672" t="b">
        <f>AND(CCData[[#This Row],[Date]]&gt;=Calculation!$E$3,CCData[[#This Row],[Date]]&lt;Calculation!$E$3+7)</f>
        <v>0</v>
      </c>
    </row>
    <row r="2673" spans="1:10">
      <c r="A2673" t="s">
        <v>2672</v>
      </c>
      <c r="B2673" s="2">
        <v>42051.506999999998</v>
      </c>
      <c r="C2673" s="3" t="s">
        <v>5003</v>
      </c>
      <c r="D2673" t="s">
        <v>5013</v>
      </c>
      <c r="E2673" t="s">
        <v>5018</v>
      </c>
      <c r="F2673" t="s">
        <v>5018</v>
      </c>
      <c r="G2673">
        <v>118</v>
      </c>
      <c r="H2673" s="5">
        <v>3.4727930240487179E-3</v>
      </c>
      <c r="I2673">
        <v>3</v>
      </c>
      <c r="J2673" t="b">
        <f>AND(CCData[[#This Row],[Date]]&gt;=Calculation!$E$3,CCData[[#This Row],[Date]]&lt;Calculation!$E$3+7)</f>
        <v>0</v>
      </c>
    </row>
    <row r="2674" spans="1:10">
      <c r="A2674" t="s">
        <v>2673</v>
      </c>
      <c r="B2674" s="2">
        <v>42051.535000000003</v>
      </c>
      <c r="C2674" s="3" t="s">
        <v>5003</v>
      </c>
      <c r="D2674" t="s">
        <v>5014</v>
      </c>
      <c r="E2674" t="s">
        <v>5019</v>
      </c>
      <c r="F2674" t="s">
        <v>5019</v>
      </c>
      <c r="G2674" t="s">
        <v>5022</v>
      </c>
      <c r="H2674" s="5" t="s">
        <v>5022</v>
      </c>
      <c r="I2674" t="s">
        <v>5022</v>
      </c>
      <c r="J2674" t="b">
        <f>AND(CCData[[#This Row],[Date]]&gt;=Calculation!$E$3,CCData[[#This Row],[Date]]&lt;Calculation!$E$3+7)</f>
        <v>0</v>
      </c>
    </row>
    <row r="2675" spans="1:10">
      <c r="A2675" t="s">
        <v>2674</v>
      </c>
      <c r="B2675" s="2">
        <v>42051.535000000003</v>
      </c>
      <c r="C2675" s="3" t="s">
        <v>5008</v>
      </c>
      <c r="D2675" t="s">
        <v>5012</v>
      </c>
      <c r="E2675" t="s">
        <v>5018</v>
      </c>
      <c r="F2675" t="s">
        <v>5018</v>
      </c>
      <c r="G2675">
        <v>118</v>
      </c>
      <c r="H2675" s="5">
        <v>4.1392892052941688E-3</v>
      </c>
      <c r="I2675">
        <v>3</v>
      </c>
      <c r="J2675" t="b">
        <f>AND(CCData[[#This Row],[Date]]&gt;=Calculation!$E$3,CCData[[#This Row],[Date]]&lt;Calculation!$E$3+7)</f>
        <v>0</v>
      </c>
    </row>
    <row r="2676" spans="1:10">
      <c r="A2676" t="s">
        <v>2675</v>
      </c>
      <c r="B2676" s="2">
        <v>42051.544000000002</v>
      </c>
      <c r="C2676" s="3" t="s">
        <v>5007</v>
      </c>
      <c r="D2676" t="s">
        <v>5014</v>
      </c>
      <c r="E2676" t="s">
        <v>5018</v>
      </c>
      <c r="F2676" t="s">
        <v>5018</v>
      </c>
      <c r="G2676">
        <v>69</v>
      </c>
      <c r="H2676" s="5">
        <v>2.5107506703046008E-3</v>
      </c>
      <c r="I2676">
        <v>4</v>
      </c>
      <c r="J2676" t="b">
        <f>AND(CCData[[#This Row],[Date]]&gt;=Calculation!$E$3,CCData[[#This Row],[Date]]&lt;Calculation!$E$3+7)</f>
        <v>0</v>
      </c>
    </row>
    <row r="2677" spans="1:10">
      <c r="A2677" t="s">
        <v>2676</v>
      </c>
      <c r="B2677" s="2">
        <v>42051.544000000002</v>
      </c>
      <c r="C2677" s="3" t="s">
        <v>5006</v>
      </c>
      <c r="D2677" t="s">
        <v>5014</v>
      </c>
      <c r="E2677" t="s">
        <v>5018</v>
      </c>
      <c r="F2677" t="s">
        <v>5018</v>
      </c>
      <c r="G2677">
        <v>125</v>
      </c>
      <c r="H2677" s="5">
        <v>4.4079187448942871E-3</v>
      </c>
      <c r="I2677">
        <v>5</v>
      </c>
      <c r="J2677" t="b">
        <f>AND(CCData[[#This Row],[Date]]&gt;=Calculation!$E$3,CCData[[#This Row],[Date]]&lt;Calculation!$E$3+7)</f>
        <v>0</v>
      </c>
    </row>
    <row r="2678" spans="1:10">
      <c r="A2678" t="s">
        <v>2677</v>
      </c>
      <c r="B2678" s="2">
        <v>42051.601999999999</v>
      </c>
      <c r="C2678" s="3" t="s">
        <v>5010</v>
      </c>
      <c r="D2678" t="s">
        <v>5016</v>
      </c>
      <c r="E2678" t="s">
        <v>5018</v>
      </c>
      <c r="F2678" t="s">
        <v>5019</v>
      </c>
      <c r="G2678">
        <v>47</v>
      </c>
      <c r="H2678" s="5">
        <v>1.8658817956974587E-3</v>
      </c>
      <c r="I2678">
        <v>3</v>
      </c>
      <c r="J2678" t="b">
        <f>AND(CCData[[#This Row],[Date]]&gt;=Calculation!$E$3,CCData[[#This Row],[Date]]&lt;Calculation!$E$3+7)</f>
        <v>0</v>
      </c>
    </row>
    <row r="2679" spans="1:10">
      <c r="A2679" t="s">
        <v>2678</v>
      </c>
      <c r="B2679" s="2">
        <v>42051.601999999999</v>
      </c>
      <c r="C2679" s="3" t="s">
        <v>5008</v>
      </c>
      <c r="D2679" t="s">
        <v>5014</v>
      </c>
      <c r="E2679" t="s">
        <v>5018</v>
      </c>
      <c r="F2679" t="s">
        <v>5018</v>
      </c>
      <c r="G2679">
        <v>53</v>
      </c>
      <c r="H2679" s="5">
        <v>7.4529884465613695E-4</v>
      </c>
      <c r="I2679">
        <v>1</v>
      </c>
      <c r="J2679" t="b">
        <f>AND(CCData[[#This Row],[Date]]&gt;=Calculation!$E$3,CCData[[#This Row],[Date]]&lt;Calculation!$E$3+7)</f>
        <v>0</v>
      </c>
    </row>
    <row r="2680" spans="1:10">
      <c r="A2680" t="s">
        <v>2679</v>
      </c>
      <c r="B2680" s="2">
        <v>42051.616999999998</v>
      </c>
      <c r="C2680" s="3" t="s">
        <v>5003</v>
      </c>
      <c r="D2680" t="s">
        <v>5016</v>
      </c>
      <c r="E2680" t="s">
        <v>5018</v>
      </c>
      <c r="F2680" t="s">
        <v>5019</v>
      </c>
      <c r="G2680">
        <v>55</v>
      </c>
      <c r="H2680" s="5">
        <v>3.2071043683443642E-3</v>
      </c>
      <c r="I2680">
        <v>2</v>
      </c>
      <c r="J2680" t="b">
        <f>AND(CCData[[#This Row],[Date]]&gt;=Calculation!$E$3,CCData[[#This Row],[Date]]&lt;Calculation!$E$3+7)</f>
        <v>0</v>
      </c>
    </row>
    <row r="2681" spans="1:10">
      <c r="A2681" t="s">
        <v>2680</v>
      </c>
      <c r="B2681" s="2">
        <v>42051.616999999998</v>
      </c>
      <c r="C2681" s="3" t="s">
        <v>5009</v>
      </c>
      <c r="D2681" t="s">
        <v>5015</v>
      </c>
      <c r="E2681" t="s">
        <v>5018</v>
      </c>
      <c r="F2681" t="s">
        <v>5018</v>
      </c>
      <c r="G2681">
        <v>91</v>
      </c>
      <c r="H2681" s="5">
        <v>3.8199989443860327E-3</v>
      </c>
      <c r="I2681">
        <v>2</v>
      </c>
      <c r="J2681" t="b">
        <f>AND(CCData[[#This Row],[Date]]&gt;=Calculation!$E$3,CCData[[#This Row],[Date]]&lt;Calculation!$E$3+7)</f>
        <v>0</v>
      </c>
    </row>
    <row r="2682" spans="1:10">
      <c r="A2682" t="s">
        <v>2681</v>
      </c>
      <c r="B2682" s="2">
        <v>42051.620999999999</v>
      </c>
      <c r="C2682" s="3" t="s">
        <v>5008</v>
      </c>
      <c r="D2682" t="s">
        <v>5013</v>
      </c>
      <c r="E2682" t="s">
        <v>5018</v>
      </c>
      <c r="F2682" t="s">
        <v>5018</v>
      </c>
      <c r="G2682">
        <v>37</v>
      </c>
      <c r="H2682" s="5">
        <v>3.7439740876930184E-3</v>
      </c>
      <c r="I2682">
        <v>3</v>
      </c>
      <c r="J2682" t="b">
        <f>AND(CCData[[#This Row],[Date]]&gt;=Calculation!$E$3,CCData[[#This Row],[Date]]&lt;Calculation!$E$3+7)</f>
        <v>0</v>
      </c>
    </row>
    <row r="2683" spans="1:10">
      <c r="A2683" t="s">
        <v>2682</v>
      </c>
      <c r="B2683" s="2">
        <v>42051.620999999999</v>
      </c>
      <c r="C2683" s="3" t="s">
        <v>5007</v>
      </c>
      <c r="D2683" t="s">
        <v>5015</v>
      </c>
      <c r="E2683" t="s">
        <v>5018</v>
      </c>
      <c r="F2683" t="s">
        <v>5018</v>
      </c>
      <c r="G2683">
        <v>118</v>
      </c>
      <c r="H2683" s="5">
        <v>3.393257670017173E-3</v>
      </c>
      <c r="I2683">
        <v>4</v>
      </c>
      <c r="J2683" t="b">
        <f>AND(CCData[[#This Row],[Date]]&gt;=Calculation!$E$3,CCData[[#This Row],[Date]]&lt;Calculation!$E$3+7)</f>
        <v>0</v>
      </c>
    </row>
    <row r="2684" spans="1:10">
      <c r="A2684" t="s">
        <v>2683</v>
      </c>
      <c r="B2684" s="2">
        <v>42051.63</v>
      </c>
      <c r="C2684" s="3" t="s">
        <v>5010</v>
      </c>
      <c r="D2684" t="s">
        <v>5013</v>
      </c>
      <c r="E2684" t="s">
        <v>5018</v>
      </c>
      <c r="F2684" t="s">
        <v>5018</v>
      </c>
      <c r="G2684">
        <v>37</v>
      </c>
      <c r="H2684" s="5">
        <v>3.8929911772624922E-3</v>
      </c>
      <c r="I2684">
        <v>5</v>
      </c>
      <c r="J2684" t="b">
        <f>AND(CCData[[#This Row],[Date]]&gt;=Calculation!$E$3,CCData[[#This Row],[Date]]&lt;Calculation!$E$3+7)</f>
        <v>0</v>
      </c>
    </row>
    <row r="2685" spans="1:10">
      <c r="A2685" t="s">
        <v>2684</v>
      </c>
      <c r="B2685" s="2">
        <v>42051.63</v>
      </c>
      <c r="C2685" s="3" t="s">
        <v>5004</v>
      </c>
      <c r="D2685" t="s">
        <v>5015</v>
      </c>
      <c r="E2685" t="s">
        <v>5018</v>
      </c>
      <c r="F2685" t="s">
        <v>5018</v>
      </c>
      <c r="G2685">
        <v>124</v>
      </c>
      <c r="H2685" s="5">
        <v>2.8272610245187149E-3</v>
      </c>
      <c r="I2685">
        <v>4</v>
      </c>
      <c r="J2685" t="b">
        <f>AND(CCData[[#This Row],[Date]]&gt;=Calculation!$E$3,CCData[[#This Row],[Date]]&lt;Calculation!$E$3+7)</f>
        <v>0</v>
      </c>
    </row>
    <row r="2686" spans="1:10">
      <c r="A2686" t="s">
        <v>2685</v>
      </c>
      <c r="B2686" s="2">
        <v>42051.639000000003</v>
      </c>
      <c r="C2686" s="3" t="s">
        <v>5006</v>
      </c>
      <c r="D2686" t="s">
        <v>5013</v>
      </c>
      <c r="E2686" t="s">
        <v>5018</v>
      </c>
      <c r="F2686" t="s">
        <v>5018</v>
      </c>
      <c r="G2686">
        <v>105</v>
      </c>
      <c r="H2686" s="5">
        <v>1.1010870350299645E-3</v>
      </c>
      <c r="I2686">
        <v>4</v>
      </c>
      <c r="J2686" t="b">
        <f>AND(CCData[[#This Row],[Date]]&gt;=Calculation!$E$3,CCData[[#This Row],[Date]]&lt;Calculation!$E$3+7)</f>
        <v>0</v>
      </c>
    </row>
    <row r="2687" spans="1:10">
      <c r="A2687" t="s">
        <v>2686</v>
      </c>
      <c r="B2687" s="2">
        <v>42051.639000000003</v>
      </c>
      <c r="C2687" s="3" t="s">
        <v>5003</v>
      </c>
      <c r="D2687" t="s">
        <v>5015</v>
      </c>
      <c r="E2687" t="s">
        <v>5019</v>
      </c>
      <c r="F2687" t="s">
        <v>5019</v>
      </c>
      <c r="G2687" t="s">
        <v>5022</v>
      </c>
      <c r="H2687" s="5" t="s">
        <v>5022</v>
      </c>
      <c r="I2687" t="s">
        <v>5022</v>
      </c>
      <c r="J2687" t="b">
        <f>AND(CCData[[#This Row],[Date]]&gt;=Calculation!$E$3,CCData[[#This Row],[Date]]&lt;Calculation!$E$3+7)</f>
        <v>0</v>
      </c>
    </row>
    <row r="2688" spans="1:10">
      <c r="A2688" t="s">
        <v>2687</v>
      </c>
      <c r="B2688" s="2">
        <v>42051.648999999998</v>
      </c>
      <c r="C2688" s="3" t="s">
        <v>5006</v>
      </c>
      <c r="D2688" t="s">
        <v>5013</v>
      </c>
      <c r="E2688" t="s">
        <v>5018</v>
      </c>
      <c r="F2688" t="s">
        <v>5018</v>
      </c>
      <c r="G2688">
        <v>36</v>
      </c>
      <c r="H2688" s="5">
        <v>2.3986989918190599E-3</v>
      </c>
      <c r="I2688">
        <v>1</v>
      </c>
      <c r="J2688" t="b">
        <f>AND(CCData[[#This Row],[Date]]&gt;=Calculation!$E$3,CCData[[#This Row],[Date]]&lt;Calculation!$E$3+7)</f>
        <v>0</v>
      </c>
    </row>
    <row r="2689" spans="1:10">
      <c r="A2689" t="s">
        <v>2688</v>
      </c>
      <c r="B2689" s="2">
        <v>42051.648999999998</v>
      </c>
      <c r="C2689" s="3" t="s">
        <v>5009</v>
      </c>
      <c r="D2689" t="s">
        <v>5016</v>
      </c>
      <c r="E2689" t="s">
        <v>5018</v>
      </c>
      <c r="F2689" t="s">
        <v>5018</v>
      </c>
      <c r="G2689">
        <v>87</v>
      </c>
      <c r="H2689" s="5">
        <v>4.7655012865939579E-3</v>
      </c>
      <c r="I2689">
        <v>4</v>
      </c>
      <c r="J2689" t="b">
        <f>AND(CCData[[#This Row],[Date]]&gt;=Calculation!$E$3,CCData[[#This Row],[Date]]&lt;Calculation!$E$3+7)</f>
        <v>0</v>
      </c>
    </row>
    <row r="2690" spans="1:10">
      <c r="A2690" t="s">
        <v>2689</v>
      </c>
      <c r="B2690" s="2">
        <v>42051.67</v>
      </c>
      <c r="C2690" s="3" t="s">
        <v>5004</v>
      </c>
      <c r="D2690" t="s">
        <v>5013</v>
      </c>
      <c r="E2690" t="s">
        <v>5018</v>
      </c>
      <c r="F2690" t="s">
        <v>5018</v>
      </c>
      <c r="G2690">
        <v>98</v>
      </c>
      <c r="H2690" s="5">
        <v>3.4953618569486043E-3</v>
      </c>
      <c r="I2690">
        <v>4</v>
      </c>
      <c r="J2690" t="b">
        <f>AND(CCData[[#This Row],[Date]]&gt;=Calculation!$E$3,CCData[[#This Row],[Date]]&lt;Calculation!$E$3+7)</f>
        <v>0</v>
      </c>
    </row>
    <row r="2691" spans="1:10">
      <c r="A2691" t="s">
        <v>2690</v>
      </c>
      <c r="B2691" s="2">
        <v>42051.67</v>
      </c>
      <c r="C2691" s="3" t="s">
        <v>5010</v>
      </c>
      <c r="D2691" t="s">
        <v>5015</v>
      </c>
      <c r="E2691" t="s">
        <v>5019</v>
      </c>
      <c r="F2691" t="s">
        <v>5019</v>
      </c>
      <c r="G2691" t="s">
        <v>5022</v>
      </c>
      <c r="H2691" s="5" t="s">
        <v>5022</v>
      </c>
      <c r="I2691" t="s">
        <v>5022</v>
      </c>
      <c r="J2691" t="b">
        <f>AND(CCData[[#This Row],[Date]]&gt;=Calculation!$E$3,CCData[[#This Row],[Date]]&lt;Calculation!$E$3+7)</f>
        <v>0</v>
      </c>
    </row>
    <row r="2692" spans="1:10">
      <c r="A2692" t="s">
        <v>2691</v>
      </c>
      <c r="B2692" s="2">
        <v>42051.677000000003</v>
      </c>
      <c r="C2692" s="3" t="s">
        <v>5008</v>
      </c>
      <c r="D2692" t="s">
        <v>5014</v>
      </c>
      <c r="E2692" t="s">
        <v>5018</v>
      </c>
      <c r="F2692" t="s">
        <v>5018</v>
      </c>
      <c r="G2692">
        <v>37</v>
      </c>
      <c r="H2692" s="5">
        <v>1.9813938650473134E-3</v>
      </c>
      <c r="I2692">
        <v>3</v>
      </c>
      <c r="J2692" t="b">
        <f>AND(CCData[[#This Row],[Date]]&gt;=Calculation!$E$3,CCData[[#This Row],[Date]]&lt;Calculation!$E$3+7)</f>
        <v>0</v>
      </c>
    </row>
    <row r="2693" spans="1:10">
      <c r="A2693" t="s">
        <v>2692</v>
      </c>
      <c r="B2693" s="2">
        <v>42051.677000000003</v>
      </c>
      <c r="C2693" s="3" t="s">
        <v>5007</v>
      </c>
      <c r="D2693" t="s">
        <v>5016</v>
      </c>
      <c r="E2693" t="s">
        <v>5018</v>
      </c>
      <c r="F2693" t="s">
        <v>5018</v>
      </c>
      <c r="G2693">
        <v>65</v>
      </c>
      <c r="H2693" s="5">
        <v>3.3317625559216948E-3</v>
      </c>
      <c r="I2693">
        <v>1</v>
      </c>
      <c r="J2693" t="b">
        <f>AND(CCData[[#This Row],[Date]]&gt;=Calculation!$E$3,CCData[[#This Row],[Date]]&lt;Calculation!$E$3+7)</f>
        <v>0</v>
      </c>
    </row>
    <row r="2694" spans="1:10">
      <c r="A2694" t="s">
        <v>2693</v>
      </c>
      <c r="B2694" s="2">
        <v>42051.684000000001</v>
      </c>
      <c r="C2694" s="3" t="s">
        <v>5003</v>
      </c>
      <c r="D2694" t="s">
        <v>5012</v>
      </c>
      <c r="E2694" t="s">
        <v>5018</v>
      </c>
      <c r="F2694" t="s">
        <v>5018</v>
      </c>
      <c r="G2694">
        <v>117</v>
      </c>
      <c r="H2694" s="5">
        <v>4.474917613360949E-3</v>
      </c>
      <c r="I2694">
        <v>3</v>
      </c>
      <c r="J2694" t="b">
        <f>AND(CCData[[#This Row],[Date]]&gt;=Calculation!$E$3,CCData[[#This Row],[Date]]&lt;Calculation!$E$3+7)</f>
        <v>0</v>
      </c>
    </row>
    <row r="2695" spans="1:10">
      <c r="A2695" t="s">
        <v>2694</v>
      </c>
      <c r="B2695" s="2">
        <v>42051.684000000001</v>
      </c>
      <c r="C2695" s="3" t="s">
        <v>5010</v>
      </c>
      <c r="D2695" t="s">
        <v>5016</v>
      </c>
      <c r="E2695" t="s">
        <v>5018</v>
      </c>
      <c r="F2695" t="s">
        <v>5018</v>
      </c>
      <c r="G2695">
        <v>70</v>
      </c>
      <c r="H2695" s="5">
        <v>1.1837689434104693E-3</v>
      </c>
      <c r="I2695">
        <v>4</v>
      </c>
      <c r="J2695" t="b">
        <f>AND(CCData[[#This Row],[Date]]&gt;=Calculation!$E$3,CCData[[#This Row],[Date]]&lt;Calculation!$E$3+7)</f>
        <v>0</v>
      </c>
    </row>
    <row r="2696" spans="1:10">
      <c r="A2696" t="s">
        <v>2695</v>
      </c>
      <c r="B2696" s="2">
        <v>42051.686999999998</v>
      </c>
      <c r="C2696" s="3" t="s">
        <v>5006</v>
      </c>
      <c r="D2696" t="s">
        <v>5016</v>
      </c>
      <c r="E2696" t="s">
        <v>5019</v>
      </c>
      <c r="F2696" t="s">
        <v>5019</v>
      </c>
      <c r="G2696" t="s">
        <v>5022</v>
      </c>
      <c r="H2696" s="5" t="s">
        <v>5022</v>
      </c>
      <c r="I2696" t="s">
        <v>5022</v>
      </c>
      <c r="J2696" t="b">
        <f>AND(CCData[[#This Row],[Date]]&gt;=Calculation!$E$3,CCData[[#This Row],[Date]]&lt;Calculation!$E$3+7)</f>
        <v>0</v>
      </c>
    </row>
    <row r="2697" spans="1:10">
      <c r="A2697" t="s">
        <v>2696</v>
      </c>
      <c r="B2697" s="2">
        <v>42051.686999999998</v>
      </c>
      <c r="C2697" s="3" t="s">
        <v>5004</v>
      </c>
      <c r="D2697" t="s">
        <v>5016</v>
      </c>
      <c r="E2697" t="s">
        <v>5018</v>
      </c>
      <c r="F2697" t="s">
        <v>5018</v>
      </c>
      <c r="G2697">
        <v>30</v>
      </c>
      <c r="H2697" s="5">
        <v>3.8519342652082451E-3</v>
      </c>
      <c r="I2697">
        <v>3</v>
      </c>
      <c r="J2697" t="b">
        <f>AND(CCData[[#This Row],[Date]]&gt;=Calculation!$E$3,CCData[[#This Row],[Date]]&lt;Calculation!$E$3+7)</f>
        <v>0</v>
      </c>
    </row>
    <row r="2698" spans="1:10">
      <c r="A2698" t="s">
        <v>2697</v>
      </c>
      <c r="B2698" s="2">
        <v>42051.688999999998</v>
      </c>
      <c r="C2698" s="3" t="s">
        <v>5004</v>
      </c>
      <c r="D2698" t="s">
        <v>5013</v>
      </c>
      <c r="E2698" t="s">
        <v>5019</v>
      </c>
      <c r="F2698" t="s">
        <v>5019</v>
      </c>
      <c r="G2698" t="s">
        <v>5022</v>
      </c>
      <c r="H2698" s="5" t="s">
        <v>5022</v>
      </c>
      <c r="I2698" t="s">
        <v>5022</v>
      </c>
      <c r="J2698" t="b">
        <f>AND(CCData[[#This Row],[Date]]&gt;=Calculation!$E$3,CCData[[#This Row],[Date]]&lt;Calculation!$E$3+7)</f>
        <v>0</v>
      </c>
    </row>
    <row r="2699" spans="1:10">
      <c r="A2699" t="s">
        <v>2698</v>
      </c>
      <c r="B2699" s="2">
        <v>42051.688999999998</v>
      </c>
      <c r="C2699" s="3" t="s">
        <v>5007</v>
      </c>
      <c r="D2699" t="s">
        <v>5013</v>
      </c>
      <c r="E2699" t="s">
        <v>5018</v>
      </c>
      <c r="F2699" t="s">
        <v>5019</v>
      </c>
      <c r="G2699">
        <v>53</v>
      </c>
      <c r="H2699" s="5">
        <v>3.2344813561406278E-3</v>
      </c>
      <c r="I2699">
        <v>3</v>
      </c>
      <c r="J2699" t="b">
        <f>AND(CCData[[#This Row],[Date]]&gt;=Calculation!$E$3,CCData[[#This Row],[Date]]&lt;Calculation!$E$3+7)</f>
        <v>0</v>
      </c>
    </row>
    <row r="2700" spans="1:10">
      <c r="A2700" t="s">
        <v>2699</v>
      </c>
      <c r="B2700" s="2">
        <v>42051.716999999997</v>
      </c>
      <c r="C2700" s="3" t="s">
        <v>5004</v>
      </c>
      <c r="D2700" t="s">
        <v>5016</v>
      </c>
      <c r="E2700" t="s">
        <v>5018</v>
      </c>
      <c r="F2700" t="s">
        <v>5018</v>
      </c>
      <c r="G2700">
        <v>69</v>
      </c>
      <c r="H2700" s="5">
        <v>3.6047600501704817E-3</v>
      </c>
      <c r="I2700">
        <v>4</v>
      </c>
      <c r="J2700" t="b">
        <f>AND(CCData[[#This Row],[Date]]&gt;=Calculation!$E$3,CCData[[#This Row],[Date]]&lt;Calculation!$E$3+7)</f>
        <v>0</v>
      </c>
    </row>
    <row r="2701" spans="1:10">
      <c r="A2701" t="s">
        <v>2700</v>
      </c>
      <c r="B2701" s="2">
        <v>42051.716999999997</v>
      </c>
      <c r="C2701" s="3" t="s">
        <v>5005</v>
      </c>
      <c r="D2701" t="s">
        <v>5012</v>
      </c>
      <c r="E2701" t="s">
        <v>5018</v>
      </c>
      <c r="F2701" t="s">
        <v>5018</v>
      </c>
      <c r="G2701">
        <v>109</v>
      </c>
      <c r="H2701" s="5">
        <v>2.8914564730644935E-3</v>
      </c>
      <c r="I2701">
        <v>1</v>
      </c>
      <c r="J2701" t="b">
        <f>AND(CCData[[#This Row],[Date]]&gt;=Calculation!$E$3,CCData[[#This Row],[Date]]&lt;Calculation!$E$3+7)</f>
        <v>0</v>
      </c>
    </row>
    <row r="2702" spans="1:10">
      <c r="A2702" t="s">
        <v>2701</v>
      </c>
      <c r="B2702" s="2">
        <v>42051.728000000003</v>
      </c>
      <c r="C2702" s="3" t="s">
        <v>5010</v>
      </c>
      <c r="D2702" t="s">
        <v>5013</v>
      </c>
      <c r="E2702" t="s">
        <v>5018</v>
      </c>
      <c r="F2702" t="s">
        <v>5018</v>
      </c>
      <c r="G2702">
        <v>17</v>
      </c>
      <c r="H2702" s="5">
        <v>4.8618627268170002E-4</v>
      </c>
      <c r="I2702">
        <v>5</v>
      </c>
      <c r="J2702" t="b">
        <f>AND(CCData[[#This Row],[Date]]&gt;=Calculation!$E$3,CCData[[#This Row],[Date]]&lt;Calculation!$E$3+7)</f>
        <v>0</v>
      </c>
    </row>
    <row r="2703" spans="1:10">
      <c r="A2703" t="s">
        <v>2702</v>
      </c>
      <c r="B2703" s="2">
        <v>42051.728000000003</v>
      </c>
      <c r="C2703" s="3" t="s">
        <v>5009</v>
      </c>
      <c r="D2703" t="s">
        <v>5016</v>
      </c>
      <c r="E2703" t="s">
        <v>5018</v>
      </c>
      <c r="F2703" t="s">
        <v>5018</v>
      </c>
      <c r="G2703">
        <v>109</v>
      </c>
      <c r="H2703" s="5">
        <v>3.3852844892051136E-3</v>
      </c>
      <c r="I2703">
        <v>4</v>
      </c>
      <c r="J2703" t="b">
        <f>AND(CCData[[#This Row],[Date]]&gt;=Calculation!$E$3,CCData[[#This Row],[Date]]&lt;Calculation!$E$3+7)</f>
        <v>0</v>
      </c>
    </row>
    <row r="2704" spans="1:10">
      <c r="A2704" t="s">
        <v>2703</v>
      </c>
      <c r="B2704" s="2">
        <v>42051.73</v>
      </c>
      <c r="C2704" s="3" t="s">
        <v>5006</v>
      </c>
      <c r="D2704" t="s">
        <v>5012</v>
      </c>
      <c r="E2704" t="s">
        <v>5018</v>
      </c>
      <c r="F2704" t="s">
        <v>5018</v>
      </c>
      <c r="G2704">
        <v>50</v>
      </c>
      <c r="H2704" s="5">
        <v>4.0017516409104345E-3</v>
      </c>
      <c r="I2704">
        <v>5</v>
      </c>
      <c r="J2704" t="b">
        <f>AND(CCData[[#This Row],[Date]]&gt;=Calculation!$E$3,CCData[[#This Row],[Date]]&lt;Calculation!$E$3+7)</f>
        <v>0</v>
      </c>
    </row>
    <row r="2705" spans="1:10">
      <c r="A2705" t="s">
        <v>2704</v>
      </c>
      <c r="B2705" s="2">
        <v>42051.73</v>
      </c>
      <c r="C2705" s="3" t="s">
        <v>5004</v>
      </c>
      <c r="D2705" t="s">
        <v>5015</v>
      </c>
      <c r="E2705" t="s">
        <v>5018</v>
      </c>
      <c r="F2705" t="s">
        <v>5019</v>
      </c>
      <c r="G2705">
        <v>22</v>
      </c>
      <c r="H2705" s="5">
        <v>2.4411390709335851E-3</v>
      </c>
      <c r="I2705">
        <v>3</v>
      </c>
      <c r="J2705" t="b">
        <f>AND(CCData[[#This Row],[Date]]&gt;=Calculation!$E$3,CCData[[#This Row],[Date]]&lt;Calculation!$E$3+7)</f>
        <v>0</v>
      </c>
    </row>
    <row r="2706" spans="1:10">
      <c r="A2706" t="s">
        <v>2705</v>
      </c>
      <c r="B2706" s="2">
        <v>42051.74</v>
      </c>
      <c r="C2706" s="3" t="s">
        <v>5003</v>
      </c>
      <c r="D2706" t="s">
        <v>5012</v>
      </c>
      <c r="E2706" t="s">
        <v>5018</v>
      </c>
      <c r="F2706" t="s">
        <v>5018</v>
      </c>
      <c r="G2706">
        <v>100</v>
      </c>
      <c r="H2706" s="5">
        <v>1.7966369195681797E-3</v>
      </c>
      <c r="I2706">
        <v>4</v>
      </c>
      <c r="J2706" t="b">
        <f>AND(CCData[[#This Row],[Date]]&gt;=Calculation!$E$3,CCData[[#This Row],[Date]]&lt;Calculation!$E$3+7)</f>
        <v>0</v>
      </c>
    </row>
    <row r="2707" spans="1:10">
      <c r="A2707" t="s">
        <v>2706</v>
      </c>
      <c r="B2707" s="2">
        <v>42051.74</v>
      </c>
      <c r="C2707" s="3" t="s">
        <v>5005</v>
      </c>
      <c r="D2707" t="s">
        <v>5016</v>
      </c>
      <c r="E2707" t="s">
        <v>5018</v>
      </c>
      <c r="F2707" t="s">
        <v>5018</v>
      </c>
      <c r="G2707">
        <v>101</v>
      </c>
      <c r="H2707" s="5">
        <v>3.6504405196359476E-3</v>
      </c>
      <c r="I2707">
        <v>3</v>
      </c>
      <c r="J2707" t="b">
        <f>AND(CCData[[#This Row],[Date]]&gt;=Calculation!$E$3,CCData[[#This Row],[Date]]&lt;Calculation!$E$3+7)</f>
        <v>0</v>
      </c>
    </row>
    <row r="2708" spans="1:10">
      <c r="A2708" t="s">
        <v>2707</v>
      </c>
      <c r="B2708" s="2">
        <v>42051.745000000003</v>
      </c>
      <c r="C2708" s="3" t="s">
        <v>5004</v>
      </c>
      <c r="D2708" t="s">
        <v>5014</v>
      </c>
      <c r="E2708" t="s">
        <v>5018</v>
      </c>
      <c r="F2708" t="s">
        <v>5018</v>
      </c>
      <c r="G2708">
        <v>15</v>
      </c>
      <c r="H2708" s="5">
        <v>1.9536294180384421E-3</v>
      </c>
      <c r="I2708">
        <v>3</v>
      </c>
      <c r="J2708" t="b">
        <f>AND(CCData[[#This Row],[Date]]&gt;=Calculation!$E$3,CCData[[#This Row],[Date]]&lt;Calculation!$E$3+7)</f>
        <v>0</v>
      </c>
    </row>
    <row r="2709" spans="1:10">
      <c r="A2709" t="s">
        <v>2708</v>
      </c>
      <c r="B2709" s="2">
        <v>42051.745000000003</v>
      </c>
      <c r="C2709" s="3" t="s">
        <v>5003</v>
      </c>
      <c r="D2709" t="s">
        <v>5012</v>
      </c>
      <c r="E2709" t="s">
        <v>5018</v>
      </c>
      <c r="F2709" t="s">
        <v>5018</v>
      </c>
      <c r="G2709">
        <v>59</v>
      </c>
      <c r="H2709" s="5">
        <v>3.1180830003957991E-3</v>
      </c>
      <c r="I2709">
        <v>5</v>
      </c>
      <c r="J2709" t="b">
        <f>AND(CCData[[#This Row],[Date]]&gt;=Calculation!$E$3,CCData[[#This Row],[Date]]&lt;Calculation!$E$3+7)</f>
        <v>0</v>
      </c>
    </row>
    <row r="2710" spans="1:10">
      <c r="A2710" t="s">
        <v>2709</v>
      </c>
      <c r="B2710" s="2">
        <v>42052.375999999997</v>
      </c>
      <c r="C2710" s="3" t="s">
        <v>5005</v>
      </c>
      <c r="D2710" t="s">
        <v>5012</v>
      </c>
      <c r="E2710" t="s">
        <v>5018</v>
      </c>
      <c r="F2710" t="s">
        <v>5018</v>
      </c>
      <c r="G2710">
        <v>93</v>
      </c>
      <c r="H2710" s="5">
        <v>2.2583051778665691E-3</v>
      </c>
      <c r="I2710">
        <v>3</v>
      </c>
      <c r="J2710" t="b">
        <f>AND(CCData[[#This Row],[Date]]&gt;=Calculation!$E$3,CCData[[#This Row],[Date]]&lt;Calculation!$E$3+7)</f>
        <v>0</v>
      </c>
    </row>
    <row r="2711" spans="1:10">
      <c r="A2711" t="s">
        <v>2710</v>
      </c>
      <c r="B2711" s="2">
        <v>42052.375999999997</v>
      </c>
      <c r="C2711" s="3" t="s">
        <v>5004</v>
      </c>
      <c r="D2711" t="s">
        <v>5014</v>
      </c>
      <c r="E2711" t="s">
        <v>5018</v>
      </c>
      <c r="F2711" t="s">
        <v>5018</v>
      </c>
      <c r="G2711">
        <v>81</v>
      </c>
      <c r="H2711" s="5">
        <v>4.4568848416581732E-3</v>
      </c>
      <c r="I2711">
        <v>4</v>
      </c>
      <c r="J2711" t="b">
        <f>AND(CCData[[#This Row],[Date]]&gt;=Calculation!$E$3,CCData[[#This Row],[Date]]&lt;Calculation!$E$3+7)</f>
        <v>0</v>
      </c>
    </row>
    <row r="2712" spans="1:10">
      <c r="A2712" t="s">
        <v>2711</v>
      </c>
      <c r="B2712" s="2">
        <v>42052.387000000002</v>
      </c>
      <c r="C2712" s="3" t="s">
        <v>5007</v>
      </c>
      <c r="D2712" t="s">
        <v>5015</v>
      </c>
      <c r="E2712" t="s">
        <v>5018</v>
      </c>
      <c r="F2712" t="s">
        <v>5018</v>
      </c>
      <c r="G2712">
        <v>20</v>
      </c>
      <c r="H2712" s="5">
        <v>1.5146815917153869E-3</v>
      </c>
      <c r="I2712">
        <v>1</v>
      </c>
      <c r="J2712" t="b">
        <f>AND(CCData[[#This Row],[Date]]&gt;=Calculation!$E$3,CCData[[#This Row],[Date]]&lt;Calculation!$E$3+7)</f>
        <v>0</v>
      </c>
    </row>
    <row r="2713" spans="1:10">
      <c r="A2713" t="s">
        <v>2712</v>
      </c>
      <c r="B2713" s="2">
        <v>42052.387000000002</v>
      </c>
      <c r="C2713" s="3" t="s">
        <v>5006</v>
      </c>
      <c r="D2713" t="s">
        <v>5012</v>
      </c>
      <c r="E2713" t="s">
        <v>5018</v>
      </c>
      <c r="F2713" t="s">
        <v>5018</v>
      </c>
      <c r="G2713">
        <v>47</v>
      </c>
      <c r="H2713" s="5">
        <v>4.0957820340928064E-4</v>
      </c>
      <c r="I2713">
        <v>3</v>
      </c>
      <c r="J2713" t="b">
        <f>AND(CCData[[#This Row],[Date]]&gt;=Calculation!$E$3,CCData[[#This Row],[Date]]&lt;Calculation!$E$3+7)</f>
        <v>0</v>
      </c>
    </row>
    <row r="2714" spans="1:10">
      <c r="A2714" t="s">
        <v>2713</v>
      </c>
      <c r="B2714" s="2">
        <v>42052.391000000003</v>
      </c>
      <c r="C2714" s="3" t="s">
        <v>5003</v>
      </c>
      <c r="D2714" t="s">
        <v>5015</v>
      </c>
      <c r="E2714" t="s">
        <v>5018</v>
      </c>
      <c r="F2714" t="s">
        <v>5019</v>
      </c>
      <c r="G2714">
        <v>17</v>
      </c>
      <c r="H2714" s="5">
        <v>2.1119178054832088E-3</v>
      </c>
      <c r="I2714">
        <v>1</v>
      </c>
      <c r="J2714" t="b">
        <f>AND(CCData[[#This Row],[Date]]&gt;=Calculation!$E$3,CCData[[#This Row],[Date]]&lt;Calculation!$E$3+7)</f>
        <v>0</v>
      </c>
    </row>
    <row r="2715" spans="1:10">
      <c r="A2715" t="s">
        <v>2714</v>
      </c>
      <c r="B2715" s="2">
        <v>42052.391000000003</v>
      </c>
      <c r="C2715" s="3" t="s">
        <v>5005</v>
      </c>
      <c r="D2715" t="s">
        <v>5014</v>
      </c>
      <c r="E2715" t="s">
        <v>5018</v>
      </c>
      <c r="F2715" t="s">
        <v>5019</v>
      </c>
      <c r="G2715">
        <v>15</v>
      </c>
      <c r="H2715" s="5">
        <v>7.3760525738981021E-4</v>
      </c>
      <c r="I2715">
        <v>3</v>
      </c>
      <c r="J2715" t="b">
        <f>AND(CCData[[#This Row],[Date]]&gt;=Calculation!$E$3,CCData[[#This Row],[Date]]&lt;Calculation!$E$3+7)</f>
        <v>0</v>
      </c>
    </row>
    <row r="2716" spans="1:10">
      <c r="A2716" t="s">
        <v>2715</v>
      </c>
      <c r="B2716" s="2">
        <v>42052.398999999998</v>
      </c>
      <c r="C2716" s="3" t="s">
        <v>5003</v>
      </c>
      <c r="D2716" t="s">
        <v>5013</v>
      </c>
      <c r="E2716" t="s">
        <v>5018</v>
      </c>
      <c r="F2716" t="s">
        <v>5018</v>
      </c>
      <c r="G2716">
        <v>94</v>
      </c>
      <c r="H2716" s="5">
        <v>4.2799494866129426E-3</v>
      </c>
      <c r="I2716">
        <v>5</v>
      </c>
      <c r="J2716" t="b">
        <f>AND(CCData[[#This Row],[Date]]&gt;=Calculation!$E$3,CCData[[#This Row],[Date]]&lt;Calculation!$E$3+7)</f>
        <v>0</v>
      </c>
    </row>
    <row r="2717" spans="1:10">
      <c r="A2717" t="s">
        <v>2716</v>
      </c>
      <c r="B2717" s="2">
        <v>42052.398999999998</v>
      </c>
      <c r="C2717" s="3" t="s">
        <v>5009</v>
      </c>
      <c r="D2717" t="s">
        <v>5013</v>
      </c>
      <c r="E2717" t="s">
        <v>5018</v>
      </c>
      <c r="F2717" t="s">
        <v>5018</v>
      </c>
      <c r="G2717">
        <v>10</v>
      </c>
      <c r="H2717" s="5">
        <v>1.5618248705642304E-3</v>
      </c>
      <c r="I2717">
        <v>5</v>
      </c>
      <c r="J2717" t="b">
        <f>AND(CCData[[#This Row],[Date]]&gt;=Calculation!$E$3,CCData[[#This Row],[Date]]&lt;Calculation!$E$3+7)</f>
        <v>0</v>
      </c>
    </row>
    <row r="2718" spans="1:10">
      <c r="A2718" t="s">
        <v>2717</v>
      </c>
      <c r="B2718" s="2">
        <v>42052.411999999997</v>
      </c>
      <c r="C2718" s="3" t="s">
        <v>5008</v>
      </c>
      <c r="D2718" t="s">
        <v>5015</v>
      </c>
      <c r="E2718" t="s">
        <v>5018</v>
      </c>
      <c r="F2718" t="s">
        <v>5018</v>
      </c>
      <c r="G2718">
        <v>96</v>
      </c>
      <c r="H2718" s="5">
        <v>2.9136974531476715E-3</v>
      </c>
      <c r="I2718">
        <v>3</v>
      </c>
      <c r="J2718" t="b">
        <f>AND(CCData[[#This Row],[Date]]&gt;=Calculation!$E$3,CCData[[#This Row],[Date]]&lt;Calculation!$E$3+7)</f>
        <v>0</v>
      </c>
    </row>
    <row r="2719" spans="1:10">
      <c r="A2719" t="s">
        <v>2718</v>
      </c>
      <c r="B2719" s="2">
        <v>42052.411999999997</v>
      </c>
      <c r="C2719" s="3" t="s">
        <v>5008</v>
      </c>
      <c r="D2719" t="s">
        <v>5015</v>
      </c>
      <c r="E2719" t="s">
        <v>5018</v>
      </c>
      <c r="F2719" t="s">
        <v>5018</v>
      </c>
      <c r="G2719">
        <v>32</v>
      </c>
      <c r="H2719" s="5">
        <v>1.1691420381302463E-3</v>
      </c>
      <c r="I2719">
        <v>4</v>
      </c>
      <c r="J2719" t="b">
        <f>AND(CCData[[#This Row],[Date]]&gt;=Calculation!$E$3,CCData[[#This Row],[Date]]&lt;Calculation!$E$3+7)</f>
        <v>0</v>
      </c>
    </row>
    <row r="2720" spans="1:10">
      <c r="A2720" t="s">
        <v>2719</v>
      </c>
      <c r="B2720" s="2">
        <v>42052.415999999997</v>
      </c>
      <c r="C2720" s="3" t="s">
        <v>5004</v>
      </c>
      <c r="D2720" t="s">
        <v>5016</v>
      </c>
      <c r="E2720" t="s">
        <v>5018</v>
      </c>
      <c r="F2720" t="s">
        <v>5018</v>
      </c>
      <c r="G2720">
        <v>36</v>
      </c>
      <c r="H2720" s="5">
        <v>3.4900742452437048E-3</v>
      </c>
      <c r="I2720">
        <v>1</v>
      </c>
      <c r="J2720" t="b">
        <f>AND(CCData[[#This Row],[Date]]&gt;=Calculation!$E$3,CCData[[#This Row],[Date]]&lt;Calculation!$E$3+7)</f>
        <v>0</v>
      </c>
    </row>
    <row r="2721" spans="1:10">
      <c r="A2721" t="s">
        <v>2720</v>
      </c>
      <c r="B2721" s="2">
        <v>42052.415999999997</v>
      </c>
      <c r="C2721" s="3" t="s">
        <v>5009</v>
      </c>
      <c r="D2721" t="s">
        <v>5016</v>
      </c>
      <c r="E2721" t="s">
        <v>5018</v>
      </c>
      <c r="F2721" t="s">
        <v>5018</v>
      </c>
      <c r="G2721">
        <v>50</v>
      </c>
      <c r="H2721" s="5">
        <v>1.182872621640707E-3</v>
      </c>
      <c r="I2721">
        <v>5</v>
      </c>
      <c r="J2721" t="b">
        <f>AND(CCData[[#This Row],[Date]]&gt;=Calculation!$E$3,CCData[[#This Row],[Date]]&lt;Calculation!$E$3+7)</f>
        <v>0</v>
      </c>
    </row>
    <row r="2722" spans="1:10">
      <c r="A2722" t="s">
        <v>2721</v>
      </c>
      <c r="B2722" s="2">
        <v>42052.419000000002</v>
      </c>
      <c r="C2722" s="3" t="s">
        <v>5005</v>
      </c>
      <c r="D2722" t="s">
        <v>5014</v>
      </c>
      <c r="E2722" t="s">
        <v>5019</v>
      </c>
      <c r="F2722" t="s">
        <v>5019</v>
      </c>
      <c r="G2722" t="s">
        <v>5022</v>
      </c>
      <c r="H2722" s="5" t="s">
        <v>5022</v>
      </c>
      <c r="I2722" t="s">
        <v>5022</v>
      </c>
      <c r="J2722" t="b">
        <f>AND(CCData[[#This Row],[Date]]&gt;=Calculation!$E$3,CCData[[#This Row],[Date]]&lt;Calculation!$E$3+7)</f>
        <v>0</v>
      </c>
    </row>
    <row r="2723" spans="1:10">
      <c r="A2723" t="s">
        <v>2722</v>
      </c>
      <c r="B2723" s="2">
        <v>42052.419000000002</v>
      </c>
      <c r="C2723" s="3" t="s">
        <v>5009</v>
      </c>
      <c r="D2723" t="s">
        <v>5014</v>
      </c>
      <c r="E2723" t="s">
        <v>5018</v>
      </c>
      <c r="F2723" t="s">
        <v>5018</v>
      </c>
      <c r="G2723">
        <v>89</v>
      </c>
      <c r="H2723" s="5">
        <v>3.7745674981207265E-4</v>
      </c>
      <c r="I2723">
        <v>2</v>
      </c>
      <c r="J2723" t="b">
        <f>AND(CCData[[#This Row],[Date]]&gt;=Calculation!$E$3,CCData[[#This Row],[Date]]&lt;Calculation!$E$3+7)</f>
        <v>0</v>
      </c>
    </row>
    <row r="2724" spans="1:10">
      <c r="A2724" t="s">
        <v>2723</v>
      </c>
      <c r="B2724" s="2">
        <v>42052.442000000003</v>
      </c>
      <c r="C2724" s="3" t="s">
        <v>5003</v>
      </c>
      <c r="D2724" t="s">
        <v>5012</v>
      </c>
      <c r="E2724" t="s">
        <v>5019</v>
      </c>
      <c r="F2724" t="s">
        <v>5019</v>
      </c>
      <c r="G2724" t="s">
        <v>5022</v>
      </c>
      <c r="H2724" s="5" t="s">
        <v>5022</v>
      </c>
      <c r="I2724" t="s">
        <v>5022</v>
      </c>
      <c r="J2724" t="b">
        <f>AND(CCData[[#This Row],[Date]]&gt;=Calculation!$E$3,CCData[[#This Row],[Date]]&lt;Calculation!$E$3+7)</f>
        <v>0</v>
      </c>
    </row>
    <row r="2725" spans="1:10">
      <c r="A2725" t="s">
        <v>2724</v>
      </c>
      <c r="B2725" s="2">
        <v>42052.442000000003</v>
      </c>
      <c r="C2725" s="3" t="s">
        <v>5008</v>
      </c>
      <c r="D2725" t="s">
        <v>5015</v>
      </c>
      <c r="E2725" t="s">
        <v>5018</v>
      </c>
      <c r="F2725" t="s">
        <v>5018</v>
      </c>
      <c r="G2725">
        <v>114</v>
      </c>
      <c r="H2725" s="5">
        <v>4.0138247673301942E-3</v>
      </c>
      <c r="I2725">
        <v>5</v>
      </c>
      <c r="J2725" t="b">
        <f>AND(CCData[[#This Row],[Date]]&gt;=Calculation!$E$3,CCData[[#This Row],[Date]]&lt;Calculation!$E$3+7)</f>
        <v>0</v>
      </c>
    </row>
    <row r="2726" spans="1:10">
      <c r="A2726" t="s">
        <v>2725</v>
      </c>
      <c r="B2726" s="2">
        <v>42052.447</v>
      </c>
      <c r="C2726" s="3" t="s">
        <v>5009</v>
      </c>
      <c r="D2726" t="s">
        <v>5016</v>
      </c>
      <c r="E2726" t="s">
        <v>5018</v>
      </c>
      <c r="F2726" t="s">
        <v>5018</v>
      </c>
      <c r="G2726">
        <v>44</v>
      </c>
      <c r="H2726" s="5">
        <v>4.5205432152142172E-3</v>
      </c>
      <c r="I2726">
        <v>5</v>
      </c>
      <c r="J2726" t="b">
        <f>AND(CCData[[#This Row],[Date]]&gt;=Calculation!$E$3,CCData[[#This Row],[Date]]&lt;Calculation!$E$3+7)</f>
        <v>0</v>
      </c>
    </row>
    <row r="2727" spans="1:10">
      <c r="A2727" t="s">
        <v>2726</v>
      </c>
      <c r="B2727" s="2">
        <v>42052.447</v>
      </c>
      <c r="C2727" s="3" t="s">
        <v>5008</v>
      </c>
      <c r="D2727" t="s">
        <v>5015</v>
      </c>
      <c r="E2727" t="s">
        <v>5018</v>
      </c>
      <c r="F2727" t="s">
        <v>5018</v>
      </c>
      <c r="G2727">
        <v>100</v>
      </c>
      <c r="H2727" s="5">
        <v>4.2378487427008841E-3</v>
      </c>
      <c r="I2727">
        <v>5</v>
      </c>
      <c r="J2727" t="b">
        <f>AND(CCData[[#This Row],[Date]]&gt;=Calculation!$E$3,CCData[[#This Row],[Date]]&lt;Calculation!$E$3+7)</f>
        <v>0</v>
      </c>
    </row>
    <row r="2728" spans="1:10">
      <c r="A2728" t="s">
        <v>2727</v>
      </c>
      <c r="B2728" s="2">
        <v>42052.474999999999</v>
      </c>
      <c r="C2728" s="3" t="s">
        <v>5007</v>
      </c>
      <c r="D2728" t="s">
        <v>5014</v>
      </c>
      <c r="E2728" t="s">
        <v>5019</v>
      </c>
      <c r="F2728" t="s">
        <v>5019</v>
      </c>
      <c r="G2728" t="s">
        <v>5022</v>
      </c>
      <c r="H2728" s="5" t="s">
        <v>5022</v>
      </c>
      <c r="I2728" t="s">
        <v>5022</v>
      </c>
      <c r="J2728" t="b">
        <f>AND(CCData[[#This Row],[Date]]&gt;=Calculation!$E$3,CCData[[#This Row],[Date]]&lt;Calculation!$E$3+7)</f>
        <v>0</v>
      </c>
    </row>
    <row r="2729" spans="1:10">
      <c r="A2729" t="s">
        <v>2728</v>
      </c>
      <c r="B2729" s="2">
        <v>42052.474999999999</v>
      </c>
      <c r="C2729" s="3" t="s">
        <v>5007</v>
      </c>
      <c r="D2729" t="s">
        <v>5012</v>
      </c>
      <c r="E2729" t="s">
        <v>5018</v>
      </c>
      <c r="F2729" t="s">
        <v>5018</v>
      </c>
      <c r="G2729">
        <v>70</v>
      </c>
      <c r="H2729" s="5">
        <v>5.6454758514070823E-4</v>
      </c>
      <c r="I2729">
        <v>4</v>
      </c>
      <c r="J2729" t="b">
        <f>AND(CCData[[#This Row],[Date]]&gt;=Calculation!$E$3,CCData[[#This Row],[Date]]&lt;Calculation!$E$3+7)</f>
        <v>0</v>
      </c>
    </row>
    <row r="2730" spans="1:10">
      <c r="A2730" t="s">
        <v>2729</v>
      </c>
      <c r="B2730" s="2">
        <v>42052.474999999999</v>
      </c>
      <c r="C2730" s="3" t="s">
        <v>5009</v>
      </c>
      <c r="D2730" t="s">
        <v>5012</v>
      </c>
      <c r="E2730" t="s">
        <v>5018</v>
      </c>
      <c r="F2730" t="s">
        <v>5018</v>
      </c>
      <c r="G2730">
        <v>16</v>
      </c>
      <c r="H2730" s="5">
        <v>2.8100289840468562E-3</v>
      </c>
      <c r="I2730">
        <v>4</v>
      </c>
      <c r="J2730" t="b">
        <f>AND(CCData[[#This Row],[Date]]&gt;=Calculation!$E$3,CCData[[#This Row],[Date]]&lt;Calculation!$E$3+7)</f>
        <v>0</v>
      </c>
    </row>
    <row r="2731" spans="1:10">
      <c r="A2731" t="s">
        <v>2730</v>
      </c>
      <c r="B2731" s="2">
        <v>42052.474999999999</v>
      </c>
      <c r="C2731" s="3" t="s">
        <v>5004</v>
      </c>
      <c r="D2731" t="s">
        <v>5015</v>
      </c>
      <c r="E2731" t="s">
        <v>5018</v>
      </c>
      <c r="F2731" t="s">
        <v>5018</v>
      </c>
      <c r="G2731">
        <v>49</v>
      </c>
      <c r="H2731" s="5">
        <v>7.3728552138558094E-4</v>
      </c>
      <c r="I2731">
        <v>4</v>
      </c>
      <c r="J2731" t="b">
        <f>AND(CCData[[#This Row],[Date]]&gt;=Calculation!$E$3,CCData[[#This Row],[Date]]&lt;Calculation!$E$3+7)</f>
        <v>0</v>
      </c>
    </row>
    <row r="2732" spans="1:10">
      <c r="A2732" t="s">
        <v>2731</v>
      </c>
      <c r="B2732" s="2">
        <v>42052.478000000003</v>
      </c>
      <c r="C2732" s="3" t="s">
        <v>5008</v>
      </c>
      <c r="D2732" t="s">
        <v>5016</v>
      </c>
      <c r="E2732" t="s">
        <v>5018</v>
      </c>
      <c r="F2732" t="s">
        <v>5018</v>
      </c>
      <c r="G2732">
        <v>96</v>
      </c>
      <c r="H2732" s="5">
        <v>4.0305671040637616E-3</v>
      </c>
      <c r="I2732">
        <v>4</v>
      </c>
      <c r="J2732" t="b">
        <f>AND(CCData[[#This Row],[Date]]&gt;=Calculation!$E$3,CCData[[#This Row],[Date]]&lt;Calculation!$E$3+7)</f>
        <v>0</v>
      </c>
    </row>
    <row r="2733" spans="1:10">
      <c r="A2733" t="s">
        <v>2732</v>
      </c>
      <c r="B2733" s="2">
        <v>42052.478000000003</v>
      </c>
      <c r="C2733" s="3" t="s">
        <v>5006</v>
      </c>
      <c r="D2733" t="s">
        <v>5015</v>
      </c>
      <c r="E2733" t="s">
        <v>5018</v>
      </c>
      <c r="F2733" t="s">
        <v>5018</v>
      </c>
      <c r="G2733">
        <v>85</v>
      </c>
      <c r="H2733" s="5">
        <v>3.8839842472843502E-3</v>
      </c>
      <c r="I2733">
        <v>4</v>
      </c>
      <c r="J2733" t="b">
        <f>AND(CCData[[#This Row],[Date]]&gt;=Calculation!$E$3,CCData[[#This Row],[Date]]&lt;Calculation!$E$3+7)</f>
        <v>0</v>
      </c>
    </row>
    <row r="2734" spans="1:10">
      <c r="A2734" t="s">
        <v>2733</v>
      </c>
      <c r="B2734" s="2">
        <v>42052.487999999998</v>
      </c>
      <c r="C2734" s="3" t="s">
        <v>5009</v>
      </c>
      <c r="D2734" t="s">
        <v>5012</v>
      </c>
      <c r="E2734" t="s">
        <v>5018</v>
      </c>
      <c r="F2734" t="s">
        <v>5018</v>
      </c>
      <c r="G2734">
        <v>65</v>
      </c>
      <c r="H2734" s="5">
        <v>3.8063684061313691E-3</v>
      </c>
      <c r="I2734">
        <v>2</v>
      </c>
      <c r="J2734" t="b">
        <f>AND(CCData[[#This Row],[Date]]&gt;=Calculation!$E$3,CCData[[#This Row],[Date]]&lt;Calculation!$E$3+7)</f>
        <v>0</v>
      </c>
    </row>
    <row r="2735" spans="1:10">
      <c r="A2735" t="s">
        <v>2734</v>
      </c>
      <c r="B2735" s="2">
        <v>42052.487999999998</v>
      </c>
      <c r="C2735" s="3" t="s">
        <v>5009</v>
      </c>
      <c r="D2735" t="s">
        <v>5014</v>
      </c>
      <c r="E2735" t="s">
        <v>5018</v>
      </c>
      <c r="F2735" t="s">
        <v>5018</v>
      </c>
      <c r="G2735">
        <v>67</v>
      </c>
      <c r="H2735" s="5">
        <v>3.5108950217918784E-4</v>
      </c>
      <c r="I2735">
        <v>4</v>
      </c>
      <c r="J2735" t="b">
        <f>AND(CCData[[#This Row],[Date]]&gt;=Calculation!$E$3,CCData[[#This Row],[Date]]&lt;Calculation!$E$3+7)</f>
        <v>0</v>
      </c>
    </row>
    <row r="2736" spans="1:10">
      <c r="A2736" t="s">
        <v>2735</v>
      </c>
      <c r="B2736" s="2">
        <v>42052.504000000001</v>
      </c>
      <c r="C2736" s="3" t="s">
        <v>5006</v>
      </c>
      <c r="D2736" t="s">
        <v>5014</v>
      </c>
      <c r="E2736" t="s">
        <v>5018</v>
      </c>
      <c r="F2736" t="s">
        <v>5018</v>
      </c>
      <c r="G2736">
        <v>50</v>
      </c>
      <c r="H2736" s="5">
        <v>7.944882320298376E-4</v>
      </c>
      <c r="I2736">
        <v>4</v>
      </c>
      <c r="J2736" t="b">
        <f>AND(CCData[[#This Row],[Date]]&gt;=Calculation!$E$3,CCData[[#This Row],[Date]]&lt;Calculation!$E$3+7)</f>
        <v>0</v>
      </c>
    </row>
    <row r="2737" spans="1:10">
      <c r="A2737" t="s">
        <v>2736</v>
      </c>
      <c r="B2737" s="2">
        <v>42052.504000000001</v>
      </c>
      <c r="C2737" s="3" t="s">
        <v>5004</v>
      </c>
      <c r="D2737" t="s">
        <v>5016</v>
      </c>
      <c r="E2737" t="s">
        <v>5019</v>
      </c>
      <c r="F2737" t="s">
        <v>5019</v>
      </c>
      <c r="G2737" t="s">
        <v>5022</v>
      </c>
      <c r="H2737" s="5" t="s">
        <v>5022</v>
      </c>
      <c r="I2737" t="s">
        <v>5022</v>
      </c>
      <c r="J2737" t="b">
        <f>AND(CCData[[#This Row],[Date]]&gt;=Calculation!$E$3,CCData[[#This Row],[Date]]&lt;Calculation!$E$3+7)</f>
        <v>0</v>
      </c>
    </row>
    <row r="2738" spans="1:10">
      <c r="A2738" t="s">
        <v>2737</v>
      </c>
      <c r="B2738" s="2">
        <v>42052.506999999998</v>
      </c>
      <c r="C2738" s="3" t="s">
        <v>5003</v>
      </c>
      <c r="D2738" t="s">
        <v>5012</v>
      </c>
      <c r="E2738" t="s">
        <v>5018</v>
      </c>
      <c r="F2738" t="s">
        <v>5018</v>
      </c>
      <c r="G2738">
        <v>79</v>
      </c>
      <c r="H2738" s="5">
        <v>2.3433481757157912E-3</v>
      </c>
      <c r="I2738">
        <v>3</v>
      </c>
      <c r="J2738" t="b">
        <f>AND(CCData[[#This Row],[Date]]&gt;=Calculation!$E$3,CCData[[#This Row],[Date]]&lt;Calculation!$E$3+7)</f>
        <v>0</v>
      </c>
    </row>
    <row r="2739" spans="1:10">
      <c r="A2739" t="s">
        <v>2738</v>
      </c>
      <c r="B2739" s="2">
        <v>42052.506999999998</v>
      </c>
      <c r="C2739" s="3" t="s">
        <v>5006</v>
      </c>
      <c r="D2739" t="s">
        <v>5013</v>
      </c>
      <c r="E2739" t="s">
        <v>5018</v>
      </c>
      <c r="F2739" t="s">
        <v>5018</v>
      </c>
      <c r="G2739">
        <v>107</v>
      </c>
      <c r="H2739" s="5">
        <v>2.6944344177009909E-3</v>
      </c>
      <c r="I2739">
        <v>4</v>
      </c>
      <c r="J2739" t="b">
        <f>AND(CCData[[#This Row],[Date]]&gt;=Calculation!$E$3,CCData[[#This Row],[Date]]&lt;Calculation!$E$3+7)</f>
        <v>0</v>
      </c>
    </row>
    <row r="2740" spans="1:10">
      <c r="A2740" t="s">
        <v>2739</v>
      </c>
      <c r="B2740" s="2">
        <v>42052.508000000002</v>
      </c>
      <c r="C2740" s="3" t="s">
        <v>5009</v>
      </c>
      <c r="D2740" t="s">
        <v>5012</v>
      </c>
      <c r="E2740" t="s">
        <v>5018</v>
      </c>
      <c r="F2740" t="s">
        <v>5019</v>
      </c>
      <c r="G2740">
        <v>52</v>
      </c>
      <c r="H2740" s="5">
        <v>3.3520906218443771E-3</v>
      </c>
      <c r="I2740">
        <v>1</v>
      </c>
      <c r="J2740" t="b">
        <f>AND(CCData[[#This Row],[Date]]&gt;=Calculation!$E$3,CCData[[#This Row],[Date]]&lt;Calculation!$E$3+7)</f>
        <v>0</v>
      </c>
    </row>
    <row r="2741" spans="1:10">
      <c r="A2741" t="s">
        <v>2740</v>
      </c>
      <c r="B2741" s="2">
        <v>42052.508000000002</v>
      </c>
      <c r="C2741" s="3" t="s">
        <v>5007</v>
      </c>
      <c r="D2741" t="s">
        <v>5016</v>
      </c>
      <c r="E2741" t="s">
        <v>5018</v>
      </c>
      <c r="F2741" t="s">
        <v>5019</v>
      </c>
      <c r="G2741">
        <v>104</v>
      </c>
      <c r="H2741" s="5">
        <v>4.4580276193596381E-3</v>
      </c>
      <c r="I2741">
        <v>1</v>
      </c>
      <c r="J2741" t="b">
        <f>AND(CCData[[#This Row],[Date]]&gt;=Calculation!$E$3,CCData[[#This Row],[Date]]&lt;Calculation!$E$3+7)</f>
        <v>0</v>
      </c>
    </row>
    <row r="2742" spans="1:10">
      <c r="A2742" t="s">
        <v>2741</v>
      </c>
      <c r="B2742" s="2">
        <v>42052.512000000002</v>
      </c>
      <c r="C2742" s="3" t="s">
        <v>5008</v>
      </c>
      <c r="D2742" t="s">
        <v>5015</v>
      </c>
      <c r="E2742" t="s">
        <v>5019</v>
      </c>
      <c r="F2742" t="s">
        <v>5019</v>
      </c>
      <c r="G2742" t="s">
        <v>5022</v>
      </c>
      <c r="H2742" s="5" t="s">
        <v>5022</v>
      </c>
      <c r="I2742" t="s">
        <v>5022</v>
      </c>
      <c r="J2742" t="b">
        <f>AND(CCData[[#This Row],[Date]]&gt;=Calculation!$E$3,CCData[[#This Row],[Date]]&lt;Calculation!$E$3+7)</f>
        <v>0</v>
      </c>
    </row>
    <row r="2743" spans="1:10">
      <c r="A2743" t="s">
        <v>2742</v>
      </c>
      <c r="B2743" s="2">
        <v>42052.512000000002</v>
      </c>
      <c r="C2743" s="3" t="s">
        <v>5007</v>
      </c>
      <c r="D2743" t="s">
        <v>5012</v>
      </c>
      <c r="E2743" t="s">
        <v>5018</v>
      </c>
      <c r="F2743" t="s">
        <v>5018</v>
      </c>
      <c r="G2743">
        <v>63</v>
      </c>
      <c r="H2743" s="5">
        <v>6.2399403164731184E-4</v>
      </c>
      <c r="I2743">
        <v>1</v>
      </c>
      <c r="J2743" t="b">
        <f>AND(CCData[[#This Row],[Date]]&gt;=Calculation!$E$3,CCData[[#This Row],[Date]]&lt;Calculation!$E$3+7)</f>
        <v>0</v>
      </c>
    </row>
    <row r="2744" spans="1:10">
      <c r="A2744" t="s">
        <v>2743</v>
      </c>
      <c r="B2744" s="2">
        <v>42052.544000000002</v>
      </c>
      <c r="C2744" s="3" t="s">
        <v>5004</v>
      </c>
      <c r="D2744" t="s">
        <v>5013</v>
      </c>
      <c r="E2744" t="s">
        <v>5018</v>
      </c>
      <c r="F2744" t="s">
        <v>5018</v>
      </c>
      <c r="G2744">
        <v>79</v>
      </c>
      <c r="H2744" s="5">
        <v>2.6689474254648002E-3</v>
      </c>
      <c r="I2744">
        <v>4</v>
      </c>
      <c r="J2744" t="b">
        <f>AND(CCData[[#This Row],[Date]]&gt;=Calculation!$E$3,CCData[[#This Row],[Date]]&lt;Calculation!$E$3+7)</f>
        <v>0</v>
      </c>
    </row>
    <row r="2745" spans="1:10">
      <c r="A2745" t="s">
        <v>2744</v>
      </c>
      <c r="B2745" s="2">
        <v>42052.544000000002</v>
      </c>
      <c r="C2745" s="3" t="s">
        <v>5006</v>
      </c>
      <c r="D2745" t="s">
        <v>5016</v>
      </c>
      <c r="E2745" t="s">
        <v>5018</v>
      </c>
      <c r="F2745" t="s">
        <v>5019</v>
      </c>
      <c r="G2745">
        <v>21</v>
      </c>
      <c r="H2745" s="5">
        <v>4.5211265350196548E-3</v>
      </c>
      <c r="I2745">
        <v>3</v>
      </c>
      <c r="J2745" t="b">
        <f>AND(CCData[[#This Row],[Date]]&gt;=Calculation!$E$3,CCData[[#This Row],[Date]]&lt;Calculation!$E$3+7)</f>
        <v>0</v>
      </c>
    </row>
    <row r="2746" spans="1:10">
      <c r="A2746" t="s">
        <v>2745</v>
      </c>
      <c r="B2746" s="2">
        <v>42052.559000000001</v>
      </c>
      <c r="C2746" s="3" t="s">
        <v>5004</v>
      </c>
      <c r="D2746" t="s">
        <v>5013</v>
      </c>
      <c r="E2746" t="s">
        <v>5018</v>
      </c>
      <c r="F2746" t="s">
        <v>5018</v>
      </c>
      <c r="G2746">
        <v>93</v>
      </c>
      <c r="H2746" s="5">
        <v>3.889483935840864E-3</v>
      </c>
      <c r="I2746">
        <v>3</v>
      </c>
      <c r="J2746" t="b">
        <f>AND(CCData[[#This Row],[Date]]&gt;=Calculation!$E$3,CCData[[#This Row],[Date]]&lt;Calculation!$E$3+7)</f>
        <v>0</v>
      </c>
    </row>
    <row r="2747" spans="1:10">
      <c r="A2747" t="s">
        <v>2746</v>
      </c>
      <c r="B2747" s="2">
        <v>42052.559000000001</v>
      </c>
      <c r="C2747" s="3" t="s">
        <v>5008</v>
      </c>
      <c r="D2747" t="s">
        <v>5016</v>
      </c>
      <c r="E2747" t="s">
        <v>5018</v>
      </c>
      <c r="F2747" t="s">
        <v>5018</v>
      </c>
      <c r="G2747">
        <v>72</v>
      </c>
      <c r="H2747" s="5">
        <v>1.9875156484705633E-3</v>
      </c>
      <c r="I2747">
        <v>4</v>
      </c>
      <c r="J2747" t="b">
        <f>AND(CCData[[#This Row],[Date]]&gt;=Calculation!$E$3,CCData[[#This Row],[Date]]&lt;Calculation!$E$3+7)</f>
        <v>0</v>
      </c>
    </row>
    <row r="2748" spans="1:10">
      <c r="A2748" t="s">
        <v>2747</v>
      </c>
      <c r="B2748" s="2">
        <v>42052.567000000003</v>
      </c>
      <c r="C2748" s="3" t="s">
        <v>5006</v>
      </c>
      <c r="D2748" t="s">
        <v>5015</v>
      </c>
      <c r="E2748" t="s">
        <v>5018</v>
      </c>
      <c r="F2748" t="s">
        <v>5018</v>
      </c>
      <c r="G2748">
        <v>84</v>
      </c>
      <c r="H2748" s="5">
        <v>3.1452149270916308E-3</v>
      </c>
      <c r="I2748">
        <v>3</v>
      </c>
      <c r="J2748" t="b">
        <f>AND(CCData[[#This Row],[Date]]&gt;=Calculation!$E$3,CCData[[#This Row],[Date]]&lt;Calculation!$E$3+7)</f>
        <v>0</v>
      </c>
    </row>
    <row r="2749" spans="1:10">
      <c r="A2749" t="s">
        <v>2748</v>
      </c>
      <c r="B2749" s="2">
        <v>42052.567000000003</v>
      </c>
      <c r="C2749" s="3" t="s">
        <v>5005</v>
      </c>
      <c r="D2749" t="s">
        <v>5015</v>
      </c>
      <c r="E2749" t="s">
        <v>5019</v>
      </c>
      <c r="F2749" t="s">
        <v>5019</v>
      </c>
      <c r="G2749" t="s">
        <v>5022</v>
      </c>
      <c r="H2749" s="5" t="s">
        <v>5022</v>
      </c>
      <c r="I2749" t="s">
        <v>5022</v>
      </c>
      <c r="J2749" t="b">
        <f>AND(CCData[[#This Row],[Date]]&gt;=Calculation!$E$3,CCData[[#This Row],[Date]]&lt;Calculation!$E$3+7)</f>
        <v>0</v>
      </c>
    </row>
    <row r="2750" spans="1:10">
      <c r="A2750" t="s">
        <v>2749</v>
      </c>
      <c r="B2750" s="2">
        <v>42052.597000000002</v>
      </c>
      <c r="C2750" s="3" t="s">
        <v>5007</v>
      </c>
      <c r="D2750" t="s">
        <v>5015</v>
      </c>
      <c r="E2750" t="s">
        <v>5018</v>
      </c>
      <c r="F2750" t="s">
        <v>5018</v>
      </c>
      <c r="G2750">
        <v>45</v>
      </c>
      <c r="H2750" s="5">
        <v>1.4338833962309516E-3</v>
      </c>
      <c r="I2750">
        <v>3</v>
      </c>
      <c r="J2750" t="b">
        <f>AND(CCData[[#This Row],[Date]]&gt;=Calculation!$E$3,CCData[[#This Row],[Date]]&lt;Calculation!$E$3+7)</f>
        <v>0</v>
      </c>
    </row>
    <row r="2751" spans="1:10">
      <c r="A2751" t="s">
        <v>2750</v>
      </c>
      <c r="B2751" s="2">
        <v>42052.597000000002</v>
      </c>
      <c r="C2751" s="3" t="s">
        <v>5005</v>
      </c>
      <c r="D2751" t="s">
        <v>5016</v>
      </c>
      <c r="E2751" t="s">
        <v>5019</v>
      </c>
      <c r="F2751" t="s">
        <v>5019</v>
      </c>
      <c r="G2751" t="s">
        <v>5022</v>
      </c>
      <c r="H2751" s="5" t="s">
        <v>5022</v>
      </c>
      <c r="I2751" t="s">
        <v>5022</v>
      </c>
      <c r="J2751" t="b">
        <f>AND(CCData[[#This Row],[Date]]&gt;=Calculation!$E$3,CCData[[#This Row],[Date]]&lt;Calculation!$E$3+7)</f>
        <v>0</v>
      </c>
    </row>
    <row r="2752" spans="1:10">
      <c r="A2752" t="s">
        <v>2751</v>
      </c>
      <c r="B2752" s="2">
        <v>42052.603999999999</v>
      </c>
      <c r="C2752" s="3" t="s">
        <v>5010</v>
      </c>
      <c r="D2752" t="s">
        <v>5016</v>
      </c>
      <c r="E2752" t="s">
        <v>5018</v>
      </c>
      <c r="F2752" t="s">
        <v>5019</v>
      </c>
      <c r="G2752">
        <v>49</v>
      </c>
      <c r="H2752" s="5">
        <v>9.4044676264915645E-4</v>
      </c>
      <c r="I2752">
        <v>4</v>
      </c>
      <c r="J2752" t="b">
        <f>AND(CCData[[#This Row],[Date]]&gt;=Calculation!$E$3,CCData[[#This Row],[Date]]&lt;Calculation!$E$3+7)</f>
        <v>0</v>
      </c>
    </row>
    <row r="2753" spans="1:10">
      <c r="A2753" t="s">
        <v>2752</v>
      </c>
      <c r="B2753" s="2">
        <v>42052.603999999999</v>
      </c>
      <c r="C2753" s="3" t="s">
        <v>5004</v>
      </c>
      <c r="D2753" t="s">
        <v>5015</v>
      </c>
      <c r="E2753" t="s">
        <v>5018</v>
      </c>
      <c r="F2753" t="s">
        <v>5018</v>
      </c>
      <c r="G2753">
        <v>110</v>
      </c>
      <c r="H2753" s="5">
        <v>4.2315029711664127E-3</v>
      </c>
      <c r="I2753">
        <v>4</v>
      </c>
      <c r="J2753" t="b">
        <f>AND(CCData[[#This Row],[Date]]&gt;=Calculation!$E$3,CCData[[#This Row],[Date]]&lt;Calculation!$E$3+7)</f>
        <v>0</v>
      </c>
    </row>
    <row r="2754" spans="1:10">
      <c r="A2754" t="s">
        <v>2753</v>
      </c>
      <c r="B2754" s="2">
        <v>42052.606</v>
      </c>
      <c r="C2754" s="3" t="s">
        <v>5003</v>
      </c>
      <c r="D2754" t="s">
        <v>5013</v>
      </c>
      <c r="E2754" t="s">
        <v>5018</v>
      </c>
      <c r="F2754" t="s">
        <v>5019</v>
      </c>
      <c r="G2754">
        <v>58</v>
      </c>
      <c r="H2754" s="5">
        <v>1.5343330893411809E-3</v>
      </c>
      <c r="I2754">
        <v>3</v>
      </c>
      <c r="J2754" t="b">
        <f>AND(CCData[[#This Row],[Date]]&gt;=Calculation!$E$3,CCData[[#This Row],[Date]]&lt;Calculation!$E$3+7)</f>
        <v>0</v>
      </c>
    </row>
    <row r="2755" spans="1:10">
      <c r="A2755" t="s">
        <v>2754</v>
      </c>
      <c r="B2755" s="2">
        <v>42052.606</v>
      </c>
      <c r="C2755" s="3" t="s">
        <v>5008</v>
      </c>
      <c r="D2755" t="s">
        <v>5012</v>
      </c>
      <c r="E2755" t="s">
        <v>5018</v>
      </c>
      <c r="F2755" t="s">
        <v>5018</v>
      </c>
      <c r="G2755">
        <v>35</v>
      </c>
      <c r="H2755" s="5">
        <v>4.3225527254554825E-3</v>
      </c>
      <c r="I2755">
        <v>4</v>
      </c>
      <c r="J2755" t="b">
        <f>AND(CCData[[#This Row],[Date]]&gt;=Calculation!$E$3,CCData[[#This Row],[Date]]&lt;Calculation!$E$3+7)</f>
        <v>0</v>
      </c>
    </row>
    <row r="2756" spans="1:10">
      <c r="A2756" t="s">
        <v>2755</v>
      </c>
      <c r="B2756" s="2">
        <v>42052.627</v>
      </c>
      <c r="C2756" s="3" t="s">
        <v>5010</v>
      </c>
      <c r="D2756" t="s">
        <v>5014</v>
      </c>
      <c r="E2756" t="s">
        <v>5018</v>
      </c>
      <c r="F2756" t="s">
        <v>5018</v>
      </c>
      <c r="G2756">
        <v>105</v>
      </c>
      <c r="H2756" s="5">
        <v>8.1271937577778459E-4</v>
      </c>
      <c r="I2756">
        <v>4</v>
      </c>
      <c r="J2756" t="b">
        <f>AND(CCData[[#This Row],[Date]]&gt;=Calculation!$E$3,CCData[[#This Row],[Date]]&lt;Calculation!$E$3+7)</f>
        <v>0</v>
      </c>
    </row>
    <row r="2757" spans="1:10">
      <c r="A2757" t="s">
        <v>2756</v>
      </c>
      <c r="B2757" s="2">
        <v>42052.627</v>
      </c>
      <c r="C2757" s="3" t="s">
        <v>5003</v>
      </c>
      <c r="D2757" t="s">
        <v>5014</v>
      </c>
      <c r="E2757" t="s">
        <v>5018</v>
      </c>
      <c r="F2757" t="s">
        <v>5018</v>
      </c>
      <c r="G2757">
        <v>99</v>
      </c>
      <c r="H2757" s="5">
        <v>1.5228478634027828E-3</v>
      </c>
      <c r="I2757">
        <v>3</v>
      </c>
      <c r="J2757" t="b">
        <f>AND(CCData[[#This Row],[Date]]&gt;=Calculation!$E$3,CCData[[#This Row],[Date]]&lt;Calculation!$E$3+7)</f>
        <v>0</v>
      </c>
    </row>
    <row r="2758" spans="1:10">
      <c r="A2758" t="s">
        <v>2757</v>
      </c>
      <c r="B2758" s="2">
        <v>42052.631999999998</v>
      </c>
      <c r="C2758" s="3" t="s">
        <v>5008</v>
      </c>
      <c r="D2758" t="s">
        <v>5012</v>
      </c>
      <c r="E2758" t="s">
        <v>5018</v>
      </c>
      <c r="F2758" t="s">
        <v>5018</v>
      </c>
      <c r="G2758">
        <v>53</v>
      </c>
      <c r="H2758" s="5">
        <v>2.8065438237932531E-3</v>
      </c>
      <c r="I2758">
        <v>2</v>
      </c>
      <c r="J2758" t="b">
        <f>AND(CCData[[#This Row],[Date]]&gt;=Calculation!$E$3,CCData[[#This Row],[Date]]&lt;Calculation!$E$3+7)</f>
        <v>0</v>
      </c>
    </row>
    <row r="2759" spans="1:10">
      <c r="A2759" t="s">
        <v>2758</v>
      </c>
      <c r="B2759" s="2">
        <v>42052.631999999998</v>
      </c>
      <c r="C2759" s="3" t="s">
        <v>5006</v>
      </c>
      <c r="D2759" t="s">
        <v>5012</v>
      </c>
      <c r="E2759" t="s">
        <v>5018</v>
      </c>
      <c r="F2759" t="s">
        <v>5019</v>
      </c>
      <c r="G2759">
        <v>50</v>
      </c>
      <c r="H2759" s="5">
        <v>4.6563496746929514E-3</v>
      </c>
      <c r="I2759">
        <v>4</v>
      </c>
      <c r="J2759" t="b">
        <f>AND(CCData[[#This Row],[Date]]&gt;=Calculation!$E$3,CCData[[#This Row],[Date]]&lt;Calculation!$E$3+7)</f>
        <v>0</v>
      </c>
    </row>
    <row r="2760" spans="1:10">
      <c r="A2760" t="s">
        <v>2759</v>
      </c>
      <c r="B2760" s="2">
        <v>42052.656999999999</v>
      </c>
      <c r="C2760" s="3" t="s">
        <v>5007</v>
      </c>
      <c r="D2760" t="s">
        <v>5012</v>
      </c>
      <c r="E2760" t="s">
        <v>5018</v>
      </c>
      <c r="F2760" t="s">
        <v>5018</v>
      </c>
      <c r="G2760">
        <v>114</v>
      </c>
      <c r="H2760" s="5">
        <v>1.7603862008410158E-3</v>
      </c>
      <c r="I2760">
        <v>4</v>
      </c>
      <c r="J2760" t="b">
        <f>AND(CCData[[#This Row],[Date]]&gt;=Calculation!$E$3,CCData[[#This Row],[Date]]&lt;Calculation!$E$3+7)</f>
        <v>0</v>
      </c>
    </row>
    <row r="2761" spans="1:10">
      <c r="A2761" t="s">
        <v>2760</v>
      </c>
      <c r="B2761" s="2">
        <v>42052.656999999999</v>
      </c>
      <c r="C2761" s="3" t="s">
        <v>5005</v>
      </c>
      <c r="D2761" t="s">
        <v>5013</v>
      </c>
      <c r="E2761" t="s">
        <v>5019</v>
      </c>
      <c r="F2761" t="s">
        <v>5019</v>
      </c>
      <c r="G2761" t="s">
        <v>5022</v>
      </c>
      <c r="H2761" s="5" t="s">
        <v>5022</v>
      </c>
      <c r="I2761" t="s">
        <v>5022</v>
      </c>
      <c r="J2761" t="b">
        <f>AND(CCData[[#This Row],[Date]]&gt;=Calculation!$E$3,CCData[[#This Row],[Date]]&lt;Calculation!$E$3+7)</f>
        <v>0</v>
      </c>
    </row>
    <row r="2762" spans="1:10">
      <c r="A2762" t="s">
        <v>2761</v>
      </c>
      <c r="B2762" s="2">
        <v>42052.671000000002</v>
      </c>
      <c r="C2762" s="3" t="s">
        <v>5003</v>
      </c>
      <c r="D2762" t="s">
        <v>5014</v>
      </c>
      <c r="E2762" t="s">
        <v>5019</v>
      </c>
      <c r="F2762" t="s">
        <v>5019</v>
      </c>
      <c r="G2762" t="s">
        <v>5022</v>
      </c>
      <c r="H2762" s="5" t="s">
        <v>5022</v>
      </c>
      <c r="I2762" t="s">
        <v>5022</v>
      </c>
      <c r="J2762" t="b">
        <f>AND(CCData[[#This Row],[Date]]&gt;=Calculation!$E$3,CCData[[#This Row],[Date]]&lt;Calculation!$E$3+7)</f>
        <v>0</v>
      </c>
    </row>
    <row r="2763" spans="1:10">
      <c r="A2763" t="s">
        <v>2762</v>
      </c>
      <c r="B2763" s="2">
        <v>42052.671000000002</v>
      </c>
      <c r="C2763" s="3" t="s">
        <v>5010</v>
      </c>
      <c r="D2763" t="s">
        <v>5014</v>
      </c>
      <c r="E2763" t="s">
        <v>5018</v>
      </c>
      <c r="F2763" t="s">
        <v>5018</v>
      </c>
      <c r="G2763">
        <v>87</v>
      </c>
      <c r="H2763" s="5">
        <v>1.7345844301488193E-3</v>
      </c>
      <c r="I2763">
        <v>4</v>
      </c>
      <c r="J2763" t="b">
        <f>AND(CCData[[#This Row],[Date]]&gt;=Calculation!$E$3,CCData[[#This Row],[Date]]&lt;Calculation!$E$3+7)</f>
        <v>0</v>
      </c>
    </row>
    <row r="2764" spans="1:10">
      <c r="A2764" t="s">
        <v>2763</v>
      </c>
      <c r="B2764" s="2">
        <v>42052.677000000003</v>
      </c>
      <c r="C2764" s="3" t="s">
        <v>5007</v>
      </c>
      <c r="D2764" t="s">
        <v>5014</v>
      </c>
      <c r="E2764" t="s">
        <v>5018</v>
      </c>
      <c r="F2764" t="s">
        <v>5019</v>
      </c>
      <c r="G2764">
        <v>55</v>
      </c>
      <c r="H2764" s="5">
        <v>7.7283699754594271E-4</v>
      </c>
      <c r="I2764">
        <v>5</v>
      </c>
      <c r="J2764" t="b">
        <f>AND(CCData[[#This Row],[Date]]&gt;=Calculation!$E$3,CCData[[#This Row],[Date]]&lt;Calculation!$E$3+7)</f>
        <v>0</v>
      </c>
    </row>
    <row r="2765" spans="1:10">
      <c r="A2765" t="s">
        <v>2764</v>
      </c>
      <c r="B2765" s="2">
        <v>42052.677000000003</v>
      </c>
      <c r="C2765" s="3" t="s">
        <v>5009</v>
      </c>
      <c r="D2765" t="s">
        <v>5015</v>
      </c>
      <c r="E2765" t="s">
        <v>5018</v>
      </c>
      <c r="F2765" t="s">
        <v>5018</v>
      </c>
      <c r="G2765">
        <v>97</v>
      </c>
      <c r="H2765" s="5">
        <v>4.0960274057275899E-3</v>
      </c>
      <c r="I2765">
        <v>4</v>
      </c>
      <c r="J2765" t="b">
        <f>AND(CCData[[#This Row],[Date]]&gt;=Calculation!$E$3,CCData[[#This Row],[Date]]&lt;Calculation!$E$3+7)</f>
        <v>0</v>
      </c>
    </row>
    <row r="2766" spans="1:10">
      <c r="A2766" t="s">
        <v>2765</v>
      </c>
      <c r="B2766" s="2">
        <v>42052.686000000002</v>
      </c>
      <c r="C2766" s="3" t="s">
        <v>5009</v>
      </c>
      <c r="D2766" t="s">
        <v>5014</v>
      </c>
      <c r="E2766" t="s">
        <v>5018</v>
      </c>
      <c r="F2766" t="s">
        <v>5019</v>
      </c>
      <c r="G2766">
        <v>12</v>
      </c>
      <c r="H2766" s="5">
        <v>3.105294513771431E-3</v>
      </c>
      <c r="I2766">
        <v>3</v>
      </c>
      <c r="J2766" t="b">
        <f>AND(CCData[[#This Row],[Date]]&gt;=Calculation!$E$3,CCData[[#This Row],[Date]]&lt;Calculation!$E$3+7)</f>
        <v>0</v>
      </c>
    </row>
    <row r="2767" spans="1:10">
      <c r="A2767" t="s">
        <v>2766</v>
      </c>
      <c r="B2767" s="2">
        <v>42052.686000000002</v>
      </c>
      <c r="C2767" s="3" t="s">
        <v>5006</v>
      </c>
      <c r="D2767" t="s">
        <v>5016</v>
      </c>
      <c r="E2767" t="s">
        <v>5019</v>
      </c>
      <c r="F2767" t="s">
        <v>5019</v>
      </c>
      <c r="G2767" t="s">
        <v>5022</v>
      </c>
      <c r="H2767" s="5" t="s">
        <v>5022</v>
      </c>
      <c r="I2767" t="s">
        <v>5022</v>
      </c>
      <c r="J2767" t="b">
        <f>AND(CCData[[#This Row],[Date]]&gt;=Calculation!$E$3,CCData[[#This Row],[Date]]&lt;Calculation!$E$3+7)</f>
        <v>0</v>
      </c>
    </row>
    <row r="2768" spans="1:10">
      <c r="A2768" t="s">
        <v>2767</v>
      </c>
      <c r="B2768" s="2">
        <v>42052.692000000003</v>
      </c>
      <c r="C2768" s="3" t="s">
        <v>5005</v>
      </c>
      <c r="D2768" t="s">
        <v>5015</v>
      </c>
      <c r="E2768" t="s">
        <v>5018</v>
      </c>
      <c r="F2768" t="s">
        <v>5018</v>
      </c>
      <c r="G2768">
        <v>79</v>
      </c>
      <c r="H2768" s="5">
        <v>2.0922266596733402E-3</v>
      </c>
      <c r="I2768">
        <v>5</v>
      </c>
      <c r="J2768" t="b">
        <f>AND(CCData[[#This Row],[Date]]&gt;=Calculation!$E$3,CCData[[#This Row],[Date]]&lt;Calculation!$E$3+7)</f>
        <v>0</v>
      </c>
    </row>
    <row r="2769" spans="1:10">
      <c r="A2769" t="s">
        <v>2768</v>
      </c>
      <c r="B2769" s="2">
        <v>42052.692000000003</v>
      </c>
      <c r="C2769" s="3" t="s">
        <v>5009</v>
      </c>
      <c r="D2769" t="s">
        <v>5013</v>
      </c>
      <c r="E2769" t="s">
        <v>5018</v>
      </c>
      <c r="F2769" t="s">
        <v>5018</v>
      </c>
      <c r="G2769">
        <v>11</v>
      </c>
      <c r="H2769" s="5">
        <v>4.4322904601808624E-3</v>
      </c>
      <c r="I2769">
        <v>3</v>
      </c>
      <c r="J2769" t="b">
        <f>AND(CCData[[#This Row],[Date]]&gt;=Calculation!$E$3,CCData[[#This Row],[Date]]&lt;Calculation!$E$3+7)</f>
        <v>0</v>
      </c>
    </row>
    <row r="2770" spans="1:10">
      <c r="A2770" t="s">
        <v>2769</v>
      </c>
      <c r="B2770" s="2">
        <v>42052.716</v>
      </c>
      <c r="C2770" s="3" t="s">
        <v>5005</v>
      </c>
      <c r="D2770" t="s">
        <v>5014</v>
      </c>
      <c r="E2770" t="s">
        <v>5018</v>
      </c>
      <c r="F2770" t="s">
        <v>5019</v>
      </c>
      <c r="G2770">
        <v>69</v>
      </c>
      <c r="H2770" s="5">
        <v>4.5511288566053057E-4</v>
      </c>
      <c r="I2770">
        <v>4</v>
      </c>
      <c r="J2770" t="b">
        <f>AND(CCData[[#This Row],[Date]]&gt;=Calculation!$E$3,CCData[[#This Row],[Date]]&lt;Calculation!$E$3+7)</f>
        <v>0</v>
      </c>
    </row>
    <row r="2771" spans="1:10">
      <c r="A2771" t="s">
        <v>2770</v>
      </c>
      <c r="B2771" s="2">
        <v>42052.716</v>
      </c>
      <c r="C2771" s="3" t="s">
        <v>5007</v>
      </c>
      <c r="D2771" t="s">
        <v>5015</v>
      </c>
      <c r="E2771" t="s">
        <v>5019</v>
      </c>
      <c r="F2771" t="s">
        <v>5019</v>
      </c>
      <c r="G2771" t="s">
        <v>5022</v>
      </c>
      <c r="H2771" s="5" t="s">
        <v>5022</v>
      </c>
      <c r="I2771" t="s">
        <v>5022</v>
      </c>
      <c r="J2771" t="b">
        <f>AND(CCData[[#This Row],[Date]]&gt;=Calculation!$E$3,CCData[[#This Row],[Date]]&lt;Calculation!$E$3+7)</f>
        <v>0</v>
      </c>
    </row>
    <row r="2772" spans="1:10">
      <c r="A2772" t="s">
        <v>2771</v>
      </c>
      <c r="B2772" s="2">
        <v>42052.716999999997</v>
      </c>
      <c r="C2772" s="3" t="s">
        <v>5009</v>
      </c>
      <c r="D2772" t="s">
        <v>5013</v>
      </c>
      <c r="E2772" t="s">
        <v>5019</v>
      </c>
      <c r="F2772" t="s">
        <v>5019</v>
      </c>
      <c r="G2772" t="s">
        <v>5022</v>
      </c>
      <c r="H2772" s="5" t="s">
        <v>5022</v>
      </c>
      <c r="I2772" t="s">
        <v>5022</v>
      </c>
      <c r="J2772" t="b">
        <f>AND(CCData[[#This Row],[Date]]&gt;=Calculation!$E$3,CCData[[#This Row],[Date]]&lt;Calculation!$E$3+7)</f>
        <v>0</v>
      </c>
    </row>
    <row r="2773" spans="1:10">
      <c r="A2773" t="s">
        <v>2772</v>
      </c>
      <c r="B2773" s="2">
        <v>42052.716999999997</v>
      </c>
      <c r="C2773" s="3" t="s">
        <v>5007</v>
      </c>
      <c r="D2773" t="s">
        <v>5015</v>
      </c>
      <c r="E2773" t="s">
        <v>5018</v>
      </c>
      <c r="F2773" t="s">
        <v>5018</v>
      </c>
      <c r="G2773">
        <v>123</v>
      </c>
      <c r="H2773" s="5">
        <v>1.2489427223254176E-3</v>
      </c>
      <c r="I2773">
        <v>3</v>
      </c>
      <c r="J2773" t="b">
        <f>AND(CCData[[#This Row],[Date]]&gt;=Calculation!$E$3,CCData[[#This Row],[Date]]&lt;Calculation!$E$3+7)</f>
        <v>0</v>
      </c>
    </row>
    <row r="2774" spans="1:10">
      <c r="A2774" t="s">
        <v>2773</v>
      </c>
      <c r="B2774" s="2">
        <v>42052.739000000001</v>
      </c>
      <c r="C2774" s="3" t="s">
        <v>5008</v>
      </c>
      <c r="D2774" t="s">
        <v>5015</v>
      </c>
      <c r="E2774" t="s">
        <v>5019</v>
      </c>
      <c r="F2774" t="s">
        <v>5019</v>
      </c>
      <c r="G2774" t="s">
        <v>5022</v>
      </c>
      <c r="H2774" s="5" t="s">
        <v>5022</v>
      </c>
      <c r="I2774" t="s">
        <v>5022</v>
      </c>
      <c r="J2774" t="b">
        <f>AND(CCData[[#This Row],[Date]]&gt;=Calculation!$E$3,CCData[[#This Row],[Date]]&lt;Calculation!$E$3+7)</f>
        <v>0</v>
      </c>
    </row>
    <row r="2775" spans="1:10">
      <c r="A2775" t="s">
        <v>2774</v>
      </c>
      <c r="B2775" s="2">
        <v>42052.739000000001</v>
      </c>
      <c r="C2775" s="3" t="s">
        <v>5009</v>
      </c>
      <c r="D2775" t="s">
        <v>5015</v>
      </c>
      <c r="E2775" t="s">
        <v>5018</v>
      </c>
      <c r="F2775" t="s">
        <v>5019</v>
      </c>
      <c r="G2775">
        <v>48</v>
      </c>
      <c r="H2775" s="5">
        <v>2.4826178789989772E-3</v>
      </c>
      <c r="I2775">
        <v>4</v>
      </c>
      <c r="J2775" t="b">
        <f>AND(CCData[[#This Row],[Date]]&gt;=Calculation!$E$3,CCData[[#This Row],[Date]]&lt;Calculation!$E$3+7)</f>
        <v>0</v>
      </c>
    </row>
    <row r="2776" spans="1:10">
      <c r="A2776" t="s">
        <v>2775</v>
      </c>
      <c r="B2776" s="2">
        <v>42052.745999999999</v>
      </c>
      <c r="C2776" s="3" t="s">
        <v>5008</v>
      </c>
      <c r="D2776" t="s">
        <v>5012</v>
      </c>
      <c r="E2776" t="s">
        <v>5018</v>
      </c>
      <c r="F2776" t="s">
        <v>5018</v>
      </c>
      <c r="G2776">
        <v>78</v>
      </c>
      <c r="H2776" s="5">
        <v>4.8246906479199429E-3</v>
      </c>
      <c r="I2776">
        <v>3</v>
      </c>
      <c r="J2776" t="b">
        <f>AND(CCData[[#This Row],[Date]]&gt;=Calculation!$E$3,CCData[[#This Row],[Date]]&lt;Calculation!$E$3+7)</f>
        <v>0</v>
      </c>
    </row>
    <row r="2777" spans="1:10">
      <c r="A2777" t="s">
        <v>2776</v>
      </c>
      <c r="B2777" s="2">
        <v>42052.745999999999</v>
      </c>
      <c r="C2777" s="3" t="s">
        <v>5008</v>
      </c>
      <c r="D2777" t="s">
        <v>5013</v>
      </c>
      <c r="E2777" t="s">
        <v>5018</v>
      </c>
      <c r="F2777" t="s">
        <v>5018</v>
      </c>
      <c r="G2777">
        <v>109</v>
      </c>
      <c r="H2777" s="5">
        <v>2.8189399642482688E-3</v>
      </c>
      <c r="I2777">
        <v>3</v>
      </c>
      <c r="J2777" t="b">
        <f>AND(CCData[[#This Row],[Date]]&gt;=Calculation!$E$3,CCData[[#This Row],[Date]]&lt;Calculation!$E$3+7)</f>
        <v>0</v>
      </c>
    </row>
    <row r="2778" spans="1:10">
      <c r="A2778" t="s">
        <v>2777</v>
      </c>
      <c r="B2778" s="2">
        <v>42053.391000000003</v>
      </c>
      <c r="C2778" s="3" t="s">
        <v>5010</v>
      </c>
      <c r="D2778" t="s">
        <v>5013</v>
      </c>
      <c r="E2778" t="s">
        <v>5018</v>
      </c>
      <c r="F2778" t="s">
        <v>5019</v>
      </c>
      <c r="G2778">
        <v>61</v>
      </c>
      <c r="H2778" s="5">
        <v>4.0966341617063055E-3</v>
      </c>
      <c r="I2778">
        <v>5</v>
      </c>
      <c r="J2778" t="b">
        <f>AND(CCData[[#This Row],[Date]]&gt;=Calculation!$E$3,CCData[[#This Row],[Date]]&lt;Calculation!$E$3+7)</f>
        <v>0</v>
      </c>
    </row>
    <row r="2779" spans="1:10">
      <c r="A2779" t="s">
        <v>2778</v>
      </c>
      <c r="B2779" s="2">
        <v>42053.391000000003</v>
      </c>
      <c r="C2779" s="3" t="s">
        <v>5006</v>
      </c>
      <c r="D2779" t="s">
        <v>5014</v>
      </c>
      <c r="E2779" t="s">
        <v>5018</v>
      </c>
      <c r="F2779" t="s">
        <v>5018</v>
      </c>
      <c r="G2779">
        <v>86</v>
      </c>
      <c r="H2779" s="5">
        <v>1.1197501227774671E-3</v>
      </c>
      <c r="I2779">
        <v>2</v>
      </c>
      <c r="J2779" t="b">
        <f>AND(CCData[[#This Row],[Date]]&gt;=Calculation!$E$3,CCData[[#This Row],[Date]]&lt;Calculation!$E$3+7)</f>
        <v>0</v>
      </c>
    </row>
    <row r="2780" spans="1:10">
      <c r="A2780" t="s">
        <v>2779</v>
      </c>
      <c r="B2780" s="2">
        <v>42053.404999999999</v>
      </c>
      <c r="C2780" s="3" t="s">
        <v>5006</v>
      </c>
      <c r="D2780" t="s">
        <v>5015</v>
      </c>
      <c r="E2780" t="s">
        <v>5018</v>
      </c>
      <c r="F2780" t="s">
        <v>5018</v>
      </c>
      <c r="G2780">
        <v>74</v>
      </c>
      <c r="H2780" s="5">
        <v>4.771261039615826E-3</v>
      </c>
      <c r="I2780">
        <v>4</v>
      </c>
      <c r="J2780" t="b">
        <f>AND(CCData[[#This Row],[Date]]&gt;=Calculation!$E$3,CCData[[#This Row],[Date]]&lt;Calculation!$E$3+7)</f>
        <v>0</v>
      </c>
    </row>
    <row r="2781" spans="1:10">
      <c r="A2781" t="s">
        <v>2780</v>
      </c>
      <c r="B2781" s="2">
        <v>42053.404999999999</v>
      </c>
      <c r="C2781" s="3" t="s">
        <v>5003</v>
      </c>
      <c r="D2781" t="s">
        <v>5014</v>
      </c>
      <c r="E2781" t="s">
        <v>5018</v>
      </c>
      <c r="F2781" t="s">
        <v>5018</v>
      </c>
      <c r="G2781">
        <v>125</v>
      </c>
      <c r="H2781" s="5">
        <v>3.3905722225225855E-3</v>
      </c>
      <c r="I2781">
        <v>3</v>
      </c>
      <c r="J2781" t="b">
        <f>AND(CCData[[#This Row],[Date]]&gt;=Calculation!$E$3,CCData[[#This Row],[Date]]&lt;Calculation!$E$3+7)</f>
        <v>0</v>
      </c>
    </row>
    <row r="2782" spans="1:10">
      <c r="A2782" t="s">
        <v>2781</v>
      </c>
      <c r="B2782" s="2">
        <v>42053.417000000001</v>
      </c>
      <c r="C2782" s="3" t="s">
        <v>5004</v>
      </c>
      <c r="D2782" t="s">
        <v>5012</v>
      </c>
      <c r="E2782" t="s">
        <v>5018</v>
      </c>
      <c r="F2782" t="s">
        <v>5019</v>
      </c>
      <c r="G2782">
        <v>64</v>
      </c>
      <c r="H2782" s="5">
        <v>4.2661327443344541E-3</v>
      </c>
      <c r="I2782">
        <v>2</v>
      </c>
      <c r="J2782" t="b">
        <f>AND(CCData[[#This Row],[Date]]&gt;=Calculation!$E$3,CCData[[#This Row],[Date]]&lt;Calculation!$E$3+7)</f>
        <v>0</v>
      </c>
    </row>
    <row r="2783" spans="1:10">
      <c r="A2783" t="s">
        <v>2782</v>
      </c>
      <c r="B2783" s="2">
        <v>42053.417000000001</v>
      </c>
      <c r="C2783" s="3" t="s">
        <v>5008</v>
      </c>
      <c r="D2783" t="s">
        <v>5016</v>
      </c>
      <c r="E2783" t="s">
        <v>5018</v>
      </c>
      <c r="F2783" t="s">
        <v>5018</v>
      </c>
      <c r="G2783">
        <v>63</v>
      </c>
      <c r="H2783" s="5">
        <v>1.4603647587627616E-3</v>
      </c>
      <c r="I2783">
        <v>3</v>
      </c>
      <c r="J2783" t="b">
        <f>AND(CCData[[#This Row],[Date]]&gt;=Calculation!$E$3,CCData[[#This Row],[Date]]&lt;Calculation!$E$3+7)</f>
        <v>0</v>
      </c>
    </row>
    <row r="2784" spans="1:10">
      <c r="A2784" t="s">
        <v>2783</v>
      </c>
      <c r="B2784" s="2">
        <v>42053.425999999999</v>
      </c>
      <c r="C2784" s="3" t="s">
        <v>5006</v>
      </c>
      <c r="D2784" t="s">
        <v>5015</v>
      </c>
      <c r="E2784" t="s">
        <v>5018</v>
      </c>
      <c r="F2784" t="s">
        <v>5018</v>
      </c>
      <c r="G2784">
        <v>46</v>
      </c>
      <c r="H2784" s="5">
        <v>4.5789043568825166E-3</v>
      </c>
      <c r="I2784">
        <v>4</v>
      </c>
      <c r="J2784" t="b">
        <f>AND(CCData[[#This Row],[Date]]&gt;=Calculation!$E$3,CCData[[#This Row],[Date]]&lt;Calculation!$E$3+7)</f>
        <v>0</v>
      </c>
    </row>
    <row r="2785" spans="1:10">
      <c r="A2785" t="s">
        <v>2784</v>
      </c>
      <c r="B2785" s="2">
        <v>42053.425999999999</v>
      </c>
      <c r="C2785" s="3" t="s">
        <v>5006</v>
      </c>
      <c r="D2785" t="s">
        <v>5015</v>
      </c>
      <c r="E2785" t="s">
        <v>5018</v>
      </c>
      <c r="F2785" t="s">
        <v>5018</v>
      </c>
      <c r="G2785">
        <v>63</v>
      </c>
      <c r="H2785" s="5">
        <v>2.9555438315936916E-3</v>
      </c>
      <c r="I2785">
        <v>3</v>
      </c>
      <c r="J2785" t="b">
        <f>AND(CCData[[#This Row],[Date]]&gt;=Calculation!$E$3,CCData[[#This Row],[Date]]&lt;Calculation!$E$3+7)</f>
        <v>0</v>
      </c>
    </row>
    <row r="2786" spans="1:10">
      <c r="A2786" t="s">
        <v>2785</v>
      </c>
      <c r="B2786" s="2">
        <v>42053.428</v>
      </c>
      <c r="C2786" s="3" t="s">
        <v>5008</v>
      </c>
      <c r="D2786" t="s">
        <v>5012</v>
      </c>
      <c r="E2786" t="s">
        <v>5018</v>
      </c>
      <c r="F2786" t="s">
        <v>5018</v>
      </c>
      <c r="G2786">
        <v>96</v>
      </c>
      <c r="H2786" s="5">
        <v>5.4576112740514348E-4</v>
      </c>
      <c r="I2786">
        <v>4</v>
      </c>
      <c r="J2786" t="b">
        <f>AND(CCData[[#This Row],[Date]]&gt;=Calculation!$E$3,CCData[[#This Row],[Date]]&lt;Calculation!$E$3+7)</f>
        <v>0</v>
      </c>
    </row>
    <row r="2787" spans="1:10">
      <c r="A2787" t="s">
        <v>2786</v>
      </c>
      <c r="B2787" s="2">
        <v>42053.428</v>
      </c>
      <c r="C2787" s="3" t="s">
        <v>5010</v>
      </c>
      <c r="D2787" t="s">
        <v>5016</v>
      </c>
      <c r="E2787" t="s">
        <v>5018</v>
      </c>
      <c r="F2787" t="s">
        <v>5018</v>
      </c>
      <c r="G2787">
        <v>37</v>
      </c>
      <c r="H2787" s="5">
        <v>3.0633381344173901E-3</v>
      </c>
      <c r="I2787">
        <v>3</v>
      </c>
      <c r="J2787" t="b">
        <f>AND(CCData[[#This Row],[Date]]&gt;=Calculation!$E$3,CCData[[#This Row],[Date]]&lt;Calculation!$E$3+7)</f>
        <v>0</v>
      </c>
    </row>
    <row r="2788" spans="1:10">
      <c r="A2788" t="s">
        <v>2787</v>
      </c>
      <c r="B2788" s="2">
        <v>42053.440000000002</v>
      </c>
      <c r="C2788" s="3" t="s">
        <v>5010</v>
      </c>
      <c r="D2788" t="s">
        <v>5012</v>
      </c>
      <c r="E2788" t="s">
        <v>5018</v>
      </c>
      <c r="F2788" t="s">
        <v>5018</v>
      </c>
      <c r="G2788">
        <v>73</v>
      </c>
      <c r="H2788" s="5">
        <v>2.3600797805679399E-3</v>
      </c>
      <c r="I2788">
        <v>4</v>
      </c>
      <c r="J2788" t="b">
        <f>AND(CCData[[#This Row],[Date]]&gt;=Calculation!$E$3,CCData[[#This Row],[Date]]&lt;Calculation!$E$3+7)</f>
        <v>0</v>
      </c>
    </row>
    <row r="2789" spans="1:10">
      <c r="A2789" t="s">
        <v>2788</v>
      </c>
      <c r="B2789" s="2">
        <v>42053.440000000002</v>
      </c>
      <c r="C2789" s="3" t="s">
        <v>5003</v>
      </c>
      <c r="D2789" t="s">
        <v>5014</v>
      </c>
      <c r="E2789" t="s">
        <v>5018</v>
      </c>
      <c r="F2789" t="s">
        <v>5018</v>
      </c>
      <c r="G2789">
        <v>111</v>
      </c>
      <c r="H2789" s="5">
        <v>1.5927540792230878E-3</v>
      </c>
      <c r="I2789">
        <v>4</v>
      </c>
      <c r="J2789" t="b">
        <f>AND(CCData[[#This Row],[Date]]&gt;=Calculation!$E$3,CCData[[#This Row],[Date]]&lt;Calculation!$E$3+7)</f>
        <v>0</v>
      </c>
    </row>
    <row r="2790" spans="1:10">
      <c r="A2790" t="s">
        <v>2789</v>
      </c>
      <c r="B2790" s="2">
        <v>42053.442999999999</v>
      </c>
      <c r="C2790" s="3" t="s">
        <v>5008</v>
      </c>
      <c r="D2790" t="s">
        <v>5014</v>
      </c>
      <c r="E2790" t="s">
        <v>5019</v>
      </c>
      <c r="F2790" t="s">
        <v>5019</v>
      </c>
      <c r="G2790" t="s">
        <v>5022</v>
      </c>
      <c r="H2790" s="5" t="s">
        <v>5022</v>
      </c>
      <c r="I2790" t="s">
        <v>5022</v>
      </c>
      <c r="J2790" t="b">
        <f>AND(CCData[[#This Row],[Date]]&gt;=Calculation!$E$3,CCData[[#This Row],[Date]]&lt;Calculation!$E$3+7)</f>
        <v>0</v>
      </c>
    </row>
    <row r="2791" spans="1:10">
      <c r="A2791" t="s">
        <v>2790</v>
      </c>
      <c r="B2791" s="2">
        <v>42053.442999999999</v>
      </c>
      <c r="C2791" s="3" t="s">
        <v>5008</v>
      </c>
      <c r="D2791" t="s">
        <v>5016</v>
      </c>
      <c r="E2791" t="s">
        <v>5018</v>
      </c>
      <c r="F2791" t="s">
        <v>5018</v>
      </c>
      <c r="G2791">
        <v>79</v>
      </c>
      <c r="H2791" s="5">
        <v>2.179233731796766E-3</v>
      </c>
      <c r="I2791">
        <v>2</v>
      </c>
      <c r="J2791" t="b">
        <f>AND(CCData[[#This Row],[Date]]&gt;=Calculation!$E$3,CCData[[#This Row],[Date]]&lt;Calculation!$E$3+7)</f>
        <v>0</v>
      </c>
    </row>
    <row r="2792" spans="1:10">
      <c r="A2792" t="s">
        <v>2791</v>
      </c>
      <c r="B2792" s="2">
        <v>42053.455999999998</v>
      </c>
      <c r="C2792" s="3" t="s">
        <v>5006</v>
      </c>
      <c r="D2792" t="s">
        <v>5015</v>
      </c>
      <c r="E2792" t="s">
        <v>5019</v>
      </c>
      <c r="F2792" t="s">
        <v>5019</v>
      </c>
      <c r="G2792" t="s">
        <v>5022</v>
      </c>
      <c r="H2792" s="5" t="s">
        <v>5022</v>
      </c>
      <c r="I2792" t="s">
        <v>5022</v>
      </c>
      <c r="J2792" t="b">
        <f>AND(CCData[[#This Row],[Date]]&gt;=Calculation!$E$3,CCData[[#This Row],[Date]]&lt;Calculation!$E$3+7)</f>
        <v>0</v>
      </c>
    </row>
    <row r="2793" spans="1:10">
      <c r="A2793" t="s">
        <v>2792</v>
      </c>
      <c r="B2793" s="2">
        <v>42053.455999999998</v>
      </c>
      <c r="C2793" s="3" t="s">
        <v>5010</v>
      </c>
      <c r="D2793" t="s">
        <v>5015</v>
      </c>
      <c r="E2793" t="s">
        <v>5018</v>
      </c>
      <c r="F2793" t="s">
        <v>5019</v>
      </c>
      <c r="G2793">
        <v>32</v>
      </c>
      <c r="H2793" s="5">
        <v>3.8844645479317041E-3</v>
      </c>
      <c r="I2793">
        <v>3</v>
      </c>
      <c r="J2793" t="b">
        <f>AND(CCData[[#This Row],[Date]]&gt;=Calculation!$E$3,CCData[[#This Row],[Date]]&lt;Calculation!$E$3+7)</f>
        <v>0</v>
      </c>
    </row>
    <row r="2794" spans="1:10">
      <c r="A2794" t="s">
        <v>2793</v>
      </c>
      <c r="B2794" s="2">
        <v>42053.470999999998</v>
      </c>
      <c r="C2794" s="3" t="s">
        <v>5010</v>
      </c>
      <c r="D2794" t="s">
        <v>5012</v>
      </c>
      <c r="E2794" t="s">
        <v>5018</v>
      </c>
      <c r="F2794" t="s">
        <v>5018</v>
      </c>
      <c r="G2794">
        <v>60</v>
      </c>
      <c r="H2794" s="5">
        <v>3.3621636254419118E-3</v>
      </c>
      <c r="I2794">
        <v>3</v>
      </c>
      <c r="J2794" t="b">
        <f>AND(CCData[[#This Row],[Date]]&gt;=Calculation!$E$3,CCData[[#This Row],[Date]]&lt;Calculation!$E$3+7)</f>
        <v>0</v>
      </c>
    </row>
    <row r="2795" spans="1:10">
      <c r="A2795" t="s">
        <v>2794</v>
      </c>
      <c r="B2795" s="2">
        <v>42053.470999999998</v>
      </c>
      <c r="C2795" s="3" t="s">
        <v>5010</v>
      </c>
      <c r="D2795" t="s">
        <v>5014</v>
      </c>
      <c r="E2795" t="s">
        <v>5018</v>
      </c>
      <c r="F2795" t="s">
        <v>5018</v>
      </c>
      <c r="G2795">
        <v>25</v>
      </c>
      <c r="H2795" s="5">
        <v>3.8291312785454106E-3</v>
      </c>
      <c r="I2795">
        <v>3</v>
      </c>
      <c r="J2795" t="b">
        <f>AND(CCData[[#This Row],[Date]]&gt;=Calculation!$E$3,CCData[[#This Row],[Date]]&lt;Calculation!$E$3+7)</f>
        <v>0</v>
      </c>
    </row>
    <row r="2796" spans="1:10">
      <c r="A2796" t="s">
        <v>2795</v>
      </c>
      <c r="B2796" s="2">
        <v>42053.470999999998</v>
      </c>
      <c r="C2796" s="3" t="s">
        <v>5007</v>
      </c>
      <c r="D2796" t="s">
        <v>5014</v>
      </c>
      <c r="E2796" t="s">
        <v>5018</v>
      </c>
      <c r="F2796" t="s">
        <v>5018</v>
      </c>
      <c r="G2796">
        <v>72</v>
      </c>
      <c r="H2796" s="5">
        <v>2.9052795473435704E-3</v>
      </c>
      <c r="I2796">
        <v>4</v>
      </c>
      <c r="J2796" t="b">
        <f>AND(CCData[[#This Row],[Date]]&gt;=Calculation!$E$3,CCData[[#This Row],[Date]]&lt;Calculation!$E$3+7)</f>
        <v>0</v>
      </c>
    </row>
    <row r="2797" spans="1:10">
      <c r="A2797" t="s">
        <v>2796</v>
      </c>
      <c r="B2797" s="2">
        <v>42053.470999999998</v>
      </c>
      <c r="C2797" s="3" t="s">
        <v>5010</v>
      </c>
      <c r="D2797" t="s">
        <v>5013</v>
      </c>
      <c r="E2797" t="s">
        <v>5018</v>
      </c>
      <c r="F2797" t="s">
        <v>5018</v>
      </c>
      <c r="G2797">
        <v>82</v>
      </c>
      <c r="H2797" s="5">
        <v>7.7211736587684369E-4</v>
      </c>
      <c r="I2797">
        <v>3</v>
      </c>
      <c r="J2797" t="b">
        <f>AND(CCData[[#This Row],[Date]]&gt;=Calculation!$E$3,CCData[[#This Row],[Date]]&lt;Calculation!$E$3+7)</f>
        <v>0</v>
      </c>
    </row>
    <row r="2798" spans="1:10">
      <c r="A2798" t="s">
        <v>2797</v>
      </c>
      <c r="B2798" s="2">
        <v>42053.476000000002</v>
      </c>
      <c r="C2798" s="3" t="s">
        <v>5007</v>
      </c>
      <c r="D2798" t="s">
        <v>5014</v>
      </c>
      <c r="E2798" t="s">
        <v>5019</v>
      </c>
      <c r="F2798" t="s">
        <v>5019</v>
      </c>
      <c r="G2798" t="s">
        <v>5022</v>
      </c>
      <c r="H2798" s="5" t="s">
        <v>5022</v>
      </c>
      <c r="I2798" t="s">
        <v>5022</v>
      </c>
      <c r="J2798" t="b">
        <f>AND(CCData[[#This Row],[Date]]&gt;=Calculation!$E$3,CCData[[#This Row],[Date]]&lt;Calculation!$E$3+7)</f>
        <v>0</v>
      </c>
    </row>
    <row r="2799" spans="1:10">
      <c r="A2799" t="s">
        <v>2798</v>
      </c>
      <c r="B2799" s="2">
        <v>42053.476000000002</v>
      </c>
      <c r="C2799" s="3" t="s">
        <v>5003</v>
      </c>
      <c r="D2799" t="s">
        <v>5015</v>
      </c>
      <c r="E2799" t="s">
        <v>5018</v>
      </c>
      <c r="F2799" t="s">
        <v>5018</v>
      </c>
      <c r="G2799">
        <v>104</v>
      </c>
      <c r="H2799" s="5">
        <v>4.6806846356489155E-3</v>
      </c>
      <c r="I2799">
        <v>4</v>
      </c>
      <c r="J2799" t="b">
        <f>AND(CCData[[#This Row],[Date]]&gt;=Calculation!$E$3,CCData[[#This Row],[Date]]&lt;Calculation!$E$3+7)</f>
        <v>0</v>
      </c>
    </row>
    <row r="2800" spans="1:10">
      <c r="A2800" t="s">
        <v>2799</v>
      </c>
      <c r="B2800" s="2">
        <v>42053.482000000004</v>
      </c>
      <c r="C2800" s="3" t="s">
        <v>5005</v>
      </c>
      <c r="D2800" t="s">
        <v>5013</v>
      </c>
      <c r="E2800" t="s">
        <v>5019</v>
      </c>
      <c r="F2800" t="s">
        <v>5019</v>
      </c>
      <c r="G2800" t="s">
        <v>5022</v>
      </c>
      <c r="H2800" s="5" t="s">
        <v>5022</v>
      </c>
      <c r="I2800" t="s">
        <v>5022</v>
      </c>
      <c r="J2800" t="b">
        <f>AND(CCData[[#This Row],[Date]]&gt;=Calculation!$E$3,CCData[[#This Row],[Date]]&lt;Calculation!$E$3+7)</f>
        <v>0</v>
      </c>
    </row>
    <row r="2801" spans="1:10">
      <c r="A2801" t="s">
        <v>2800</v>
      </c>
      <c r="B2801" s="2">
        <v>42053.482000000004</v>
      </c>
      <c r="C2801" s="3" t="s">
        <v>5004</v>
      </c>
      <c r="D2801" t="s">
        <v>5013</v>
      </c>
      <c r="E2801" t="s">
        <v>5018</v>
      </c>
      <c r="F2801" t="s">
        <v>5018</v>
      </c>
      <c r="G2801">
        <v>102</v>
      </c>
      <c r="H2801" s="5">
        <v>1.6645066972908208E-3</v>
      </c>
      <c r="I2801">
        <v>5</v>
      </c>
      <c r="J2801" t="b">
        <f>AND(CCData[[#This Row],[Date]]&gt;=Calculation!$E$3,CCData[[#This Row],[Date]]&lt;Calculation!$E$3+7)</f>
        <v>0</v>
      </c>
    </row>
    <row r="2802" spans="1:10">
      <c r="A2802" t="s">
        <v>2801</v>
      </c>
      <c r="B2802" s="2">
        <v>42053.485000000001</v>
      </c>
      <c r="C2802" s="3" t="s">
        <v>5010</v>
      </c>
      <c r="D2802" t="s">
        <v>5016</v>
      </c>
      <c r="E2802" t="s">
        <v>5019</v>
      </c>
      <c r="F2802" t="s">
        <v>5019</v>
      </c>
      <c r="G2802" t="s">
        <v>5022</v>
      </c>
      <c r="H2802" s="5" t="s">
        <v>5022</v>
      </c>
      <c r="I2802" t="s">
        <v>5022</v>
      </c>
      <c r="J2802" t="b">
        <f>AND(CCData[[#This Row],[Date]]&gt;=Calculation!$E$3,CCData[[#This Row],[Date]]&lt;Calculation!$E$3+7)</f>
        <v>0</v>
      </c>
    </row>
    <row r="2803" spans="1:10">
      <c r="A2803" t="s">
        <v>2802</v>
      </c>
      <c r="B2803" s="2">
        <v>42053.485000000001</v>
      </c>
      <c r="C2803" s="3" t="s">
        <v>5010</v>
      </c>
      <c r="D2803" t="s">
        <v>5013</v>
      </c>
      <c r="E2803" t="s">
        <v>5019</v>
      </c>
      <c r="F2803" t="s">
        <v>5019</v>
      </c>
      <c r="G2803" t="s">
        <v>5022</v>
      </c>
      <c r="H2803" s="5" t="s">
        <v>5022</v>
      </c>
      <c r="I2803" t="s">
        <v>5022</v>
      </c>
      <c r="J2803" t="b">
        <f>AND(CCData[[#This Row],[Date]]&gt;=Calculation!$E$3,CCData[[#This Row],[Date]]&lt;Calculation!$E$3+7)</f>
        <v>0</v>
      </c>
    </row>
    <row r="2804" spans="1:10">
      <c r="A2804" t="s">
        <v>2803</v>
      </c>
      <c r="B2804" s="2">
        <v>42053.544999999998</v>
      </c>
      <c r="C2804" s="3" t="s">
        <v>5009</v>
      </c>
      <c r="D2804" t="s">
        <v>5016</v>
      </c>
      <c r="E2804" t="s">
        <v>5018</v>
      </c>
      <c r="F2804" t="s">
        <v>5019</v>
      </c>
      <c r="G2804">
        <v>86</v>
      </c>
      <c r="H2804" s="5">
        <v>1.0946377681596013E-3</v>
      </c>
      <c r="I2804">
        <v>3</v>
      </c>
      <c r="J2804" t="b">
        <f>AND(CCData[[#This Row],[Date]]&gt;=Calculation!$E$3,CCData[[#This Row],[Date]]&lt;Calculation!$E$3+7)</f>
        <v>0</v>
      </c>
    </row>
    <row r="2805" spans="1:10">
      <c r="A2805" t="s">
        <v>2804</v>
      </c>
      <c r="B2805" s="2">
        <v>42053.544999999998</v>
      </c>
      <c r="C2805" s="3" t="s">
        <v>5004</v>
      </c>
      <c r="D2805" t="s">
        <v>5013</v>
      </c>
      <c r="E2805" t="s">
        <v>5018</v>
      </c>
      <c r="F2805" t="s">
        <v>5018</v>
      </c>
      <c r="G2805">
        <v>93</v>
      </c>
      <c r="H2805" s="5">
        <v>4.2083335840048704E-3</v>
      </c>
      <c r="I2805">
        <v>2</v>
      </c>
      <c r="J2805" t="b">
        <f>AND(CCData[[#This Row],[Date]]&gt;=Calculation!$E$3,CCData[[#This Row],[Date]]&lt;Calculation!$E$3+7)</f>
        <v>0</v>
      </c>
    </row>
    <row r="2806" spans="1:10">
      <c r="A2806" t="s">
        <v>2805</v>
      </c>
      <c r="B2806" s="2">
        <v>42053.565000000002</v>
      </c>
      <c r="C2806" s="3" t="s">
        <v>5005</v>
      </c>
      <c r="D2806" t="s">
        <v>5015</v>
      </c>
      <c r="E2806" t="s">
        <v>5019</v>
      </c>
      <c r="F2806" t="s">
        <v>5019</v>
      </c>
      <c r="G2806" t="s">
        <v>5022</v>
      </c>
      <c r="H2806" s="5" t="s">
        <v>5022</v>
      </c>
      <c r="I2806" t="s">
        <v>5022</v>
      </c>
      <c r="J2806" t="b">
        <f>AND(CCData[[#This Row],[Date]]&gt;=Calculation!$E$3,CCData[[#This Row],[Date]]&lt;Calculation!$E$3+7)</f>
        <v>0</v>
      </c>
    </row>
    <row r="2807" spans="1:10">
      <c r="A2807" t="s">
        <v>2806</v>
      </c>
      <c r="B2807" s="2">
        <v>42053.565000000002</v>
      </c>
      <c r="C2807" s="3" t="s">
        <v>5007</v>
      </c>
      <c r="D2807" t="s">
        <v>5016</v>
      </c>
      <c r="E2807" t="s">
        <v>5019</v>
      </c>
      <c r="F2807" t="s">
        <v>5019</v>
      </c>
      <c r="G2807" t="s">
        <v>5022</v>
      </c>
      <c r="H2807" s="5" t="s">
        <v>5022</v>
      </c>
      <c r="I2807" t="s">
        <v>5022</v>
      </c>
      <c r="J2807" t="b">
        <f>AND(CCData[[#This Row],[Date]]&gt;=Calculation!$E$3,CCData[[#This Row],[Date]]&lt;Calculation!$E$3+7)</f>
        <v>0</v>
      </c>
    </row>
    <row r="2808" spans="1:10">
      <c r="A2808" t="s">
        <v>2807</v>
      </c>
      <c r="B2808" s="2">
        <v>42053.567999999999</v>
      </c>
      <c r="C2808" s="3" t="s">
        <v>5010</v>
      </c>
      <c r="D2808" t="s">
        <v>5013</v>
      </c>
      <c r="E2808" t="s">
        <v>5018</v>
      </c>
      <c r="F2808" t="s">
        <v>5018</v>
      </c>
      <c r="G2808">
        <v>39</v>
      </c>
      <c r="H2808" s="5">
        <v>2.9224575896377113E-3</v>
      </c>
      <c r="I2808">
        <v>2</v>
      </c>
      <c r="J2808" t="b">
        <f>AND(CCData[[#This Row],[Date]]&gt;=Calculation!$E$3,CCData[[#This Row],[Date]]&lt;Calculation!$E$3+7)</f>
        <v>0</v>
      </c>
    </row>
    <row r="2809" spans="1:10">
      <c r="A2809" t="s">
        <v>2808</v>
      </c>
      <c r="B2809" s="2">
        <v>42053.567999999999</v>
      </c>
      <c r="C2809" s="3" t="s">
        <v>5005</v>
      </c>
      <c r="D2809" t="s">
        <v>5015</v>
      </c>
      <c r="E2809" t="s">
        <v>5018</v>
      </c>
      <c r="F2809" t="s">
        <v>5018</v>
      </c>
      <c r="G2809">
        <v>119</v>
      </c>
      <c r="H2809" s="5">
        <v>5.2670211801174728E-4</v>
      </c>
      <c r="I2809">
        <v>4</v>
      </c>
      <c r="J2809" t="b">
        <f>AND(CCData[[#This Row],[Date]]&gt;=Calculation!$E$3,CCData[[#This Row],[Date]]&lt;Calculation!$E$3+7)</f>
        <v>0</v>
      </c>
    </row>
    <row r="2810" spans="1:10">
      <c r="A2810" t="s">
        <v>2809</v>
      </c>
      <c r="B2810" s="2">
        <v>42053.572999999997</v>
      </c>
      <c r="C2810" s="3" t="s">
        <v>5009</v>
      </c>
      <c r="D2810" t="s">
        <v>5012</v>
      </c>
      <c r="E2810" t="s">
        <v>5019</v>
      </c>
      <c r="F2810" t="s">
        <v>5019</v>
      </c>
      <c r="G2810" t="s">
        <v>5022</v>
      </c>
      <c r="H2810" s="5" t="s">
        <v>5022</v>
      </c>
      <c r="I2810" t="s">
        <v>5022</v>
      </c>
      <c r="J2810" t="b">
        <f>AND(CCData[[#This Row],[Date]]&gt;=Calculation!$E$3,CCData[[#This Row],[Date]]&lt;Calculation!$E$3+7)</f>
        <v>0</v>
      </c>
    </row>
    <row r="2811" spans="1:10">
      <c r="A2811" t="s">
        <v>2810</v>
      </c>
      <c r="B2811" s="2">
        <v>42053.572999999997</v>
      </c>
      <c r="C2811" s="3" t="s">
        <v>5005</v>
      </c>
      <c r="D2811" t="s">
        <v>5013</v>
      </c>
      <c r="E2811" t="s">
        <v>5018</v>
      </c>
      <c r="F2811" t="s">
        <v>5018</v>
      </c>
      <c r="G2811">
        <v>71</v>
      </c>
      <c r="H2811" s="5">
        <v>4.8035053961028001E-4</v>
      </c>
      <c r="I2811">
        <v>3</v>
      </c>
      <c r="J2811" t="b">
        <f>AND(CCData[[#This Row],[Date]]&gt;=Calculation!$E$3,CCData[[#This Row],[Date]]&lt;Calculation!$E$3+7)</f>
        <v>0</v>
      </c>
    </row>
    <row r="2812" spans="1:10">
      <c r="A2812" t="s">
        <v>2811</v>
      </c>
      <c r="B2812" s="2">
        <v>42053.574999999997</v>
      </c>
      <c r="C2812" s="3" t="s">
        <v>5008</v>
      </c>
      <c r="D2812" t="s">
        <v>5016</v>
      </c>
      <c r="E2812" t="s">
        <v>5018</v>
      </c>
      <c r="F2812" t="s">
        <v>5018</v>
      </c>
      <c r="G2812">
        <v>111</v>
      </c>
      <c r="H2812" s="5">
        <v>4.7897274280066064E-3</v>
      </c>
      <c r="I2812">
        <v>1</v>
      </c>
      <c r="J2812" t="b">
        <f>AND(CCData[[#This Row],[Date]]&gt;=Calculation!$E$3,CCData[[#This Row],[Date]]&lt;Calculation!$E$3+7)</f>
        <v>0</v>
      </c>
    </row>
    <row r="2813" spans="1:10">
      <c r="A2813" t="s">
        <v>2812</v>
      </c>
      <c r="B2813" s="2">
        <v>42053.574999999997</v>
      </c>
      <c r="C2813" s="3" t="s">
        <v>5009</v>
      </c>
      <c r="D2813" t="s">
        <v>5016</v>
      </c>
      <c r="E2813" t="s">
        <v>5018</v>
      </c>
      <c r="F2813" t="s">
        <v>5019</v>
      </c>
      <c r="G2813">
        <v>120</v>
      </c>
      <c r="H2813" s="5">
        <v>2.7738019864973237E-3</v>
      </c>
      <c r="I2813">
        <v>1</v>
      </c>
      <c r="J2813" t="b">
        <f>AND(CCData[[#This Row],[Date]]&gt;=Calculation!$E$3,CCData[[#This Row],[Date]]&lt;Calculation!$E$3+7)</f>
        <v>0</v>
      </c>
    </row>
    <row r="2814" spans="1:10">
      <c r="A2814" t="s">
        <v>2813</v>
      </c>
      <c r="B2814" s="2">
        <v>42053.616000000002</v>
      </c>
      <c r="C2814" s="3" t="s">
        <v>5008</v>
      </c>
      <c r="D2814" t="s">
        <v>5013</v>
      </c>
      <c r="E2814" t="s">
        <v>5019</v>
      </c>
      <c r="F2814" t="s">
        <v>5019</v>
      </c>
      <c r="G2814" t="s">
        <v>5022</v>
      </c>
      <c r="H2814" s="5" t="s">
        <v>5022</v>
      </c>
      <c r="I2814" t="s">
        <v>5022</v>
      </c>
      <c r="J2814" t="b">
        <f>AND(CCData[[#This Row],[Date]]&gt;=Calculation!$E$3,CCData[[#This Row],[Date]]&lt;Calculation!$E$3+7)</f>
        <v>0</v>
      </c>
    </row>
    <row r="2815" spans="1:10">
      <c r="A2815" t="s">
        <v>2814</v>
      </c>
      <c r="B2815" s="2">
        <v>42053.616000000002</v>
      </c>
      <c r="C2815" s="3" t="s">
        <v>5003</v>
      </c>
      <c r="D2815" t="s">
        <v>5015</v>
      </c>
      <c r="E2815" t="s">
        <v>5018</v>
      </c>
      <c r="F2815" t="s">
        <v>5018</v>
      </c>
      <c r="G2815">
        <v>81</v>
      </c>
      <c r="H2815" s="5">
        <v>2.1079899971093849E-3</v>
      </c>
      <c r="I2815">
        <v>5</v>
      </c>
      <c r="J2815" t="b">
        <f>AND(CCData[[#This Row],[Date]]&gt;=Calculation!$E$3,CCData[[#This Row],[Date]]&lt;Calculation!$E$3+7)</f>
        <v>0</v>
      </c>
    </row>
    <row r="2816" spans="1:10">
      <c r="A2816" t="s">
        <v>2815</v>
      </c>
      <c r="B2816" s="2">
        <v>42053.62</v>
      </c>
      <c r="C2816" s="3" t="s">
        <v>5007</v>
      </c>
      <c r="D2816" t="s">
        <v>5014</v>
      </c>
      <c r="E2816" t="s">
        <v>5019</v>
      </c>
      <c r="F2816" t="s">
        <v>5019</v>
      </c>
      <c r="G2816" t="s">
        <v>5022</v>
      </c>
      <c r="H2816" s="5" t="s">
        <v>5022</v>
      </c>
      <c r="I2816" t="s">
        <v>5022</v>
      </c>
      <c r="J2816" t="b">
        <f>AND(CCData[[#This Row],[Date]]&gt;=Calculation!$E$3,CCData[[#This Row],[Date]]&lt;Calculation!$E$3+7)</f>
        <v>0</v>
      </c>
    </row>
    <row r="2817" spans="1:10">
      <c r="A2817" t="s">
        <v>2816</v>
      </c>
      <c r="B2817" s="2">
        <v>42053.62</v>
      </c>
      <c r="C2817" s="3" t="s">
        <v>5009</v>
      </c>
      <c r="D2817" t="s">
        <v>5016</v>
      </c>
      <c r="E2817" t="s">
        <v>5018</v>
      </c>
      <c r="F2817" t="s">
        <v>5018</v>
      </c>
      <c r="G2817">
        <v>40</v>
      </c>
      <c r="H2817" s="5">
        <v>1.6584151189703927E-3</v>
      </c>
      <c r="I2817">
        <v>1</v>
      </c>
      <c r="J2817" t="b">
        <f>AND(CCData[[#This Row],[Date]]&gt;=Calculation!$E$3,CCData[[#This Row],[Date]]&lt;Calculation!$E$3+7)</f>
        <v>0</v>
      </c>
    </row>
    <row r="2818" spans="1:10">
      <c r="A2818" t="s">
        <v>2817</v>
      </c>
      <c r="B2818" s="2">
        <v>42053.635999999999</v>
      </c>
      <c r="C2818" s="3" t="s">
        <v>5010</v>
      </c>
      <c r="D2818" t="s">
        <v>5015</v>
      </c>
      <c r="E2818" t="s">
        <v>5018</v>
      </c>
      <c r="F2818" t="s">
        <v>5018</v>
      </c>
      <c r="G2818">
        <v>114</v>
      </c>
      <c r="H2818" s="5">
        <v>2.0763680251564857E-3</v>
      </c>
      <c r="I2818">
        <v>5</v>
      </c>
      <c r="J2818" t="b">
        <f>AND(CCData[[#This Row],[Date]]&gt;=Calculation!$E$3,CCData[[#This Row],[Date]]&lt;Calculation!$E$3+7)</f>
        <v>0</v>
      </c>
    </row>
    <row r="2819" spans="1:10">
      <c r="A2819" t="s">
        <v>2818</v>
      </c>
      <c r="B2819" s="2">
        <v>42053.635999999999</v>
      </c>
      <c r="C2819" s="3" t="s">
        <v>5007</v>
      </c>
      <c r="D2819" t="s">
        <v>5012</v>
      </c>
      <c r="E2819" t="s">
        <v>5019</v>
      </c>
      <c r="F2819" t="s">
        <v>5019</v>
      </c>
      <c r="G2819" t="s">
        <v>5022</v>
      </c>
      <c r="H2819" s="5" t="s">
        <v>5022</v>
      </c>
      <c r="I2819" t="s">
        <v>5022</v>
      </c>
      <c r="J2819" t="b">
        <f>AND(CCData[[#This Row],[Date]]&gt;=Calculation!$E$3,CCData[[#This Row],[Date]]&lt;Calculation!$E$3+7)</f>
        <v>0</v>
      </c>
    </row>
    <row r="2820" spans="1:10">
      <c r="A2820" t="s">
        <v>2819</v>
      </c>
      <c r="B2820" s="2">
        <v>42053.667000000001</v>
      </c>
      <c r="C2820" s="3" t="s">
        <v>5007</v>
      </c>
      <c r="D2820" t="s">
        <v>5014</v>
      </c>
      <c r="E2820" t="s">
        <v>5019</v>
      </c>
      <c r="F2820" t="s">
        <v>5019</v>
      </c>
      <c r="G2820" t="s">
        <v>5022</v>
      </c>
      <c r="H2820" s="5" t="s">
        <v>5022</v>
      </c>
      <c r="I2820" t="s">
        <v>5022</v>
      </c>
      <c r="J2820" t="b">
        <f>AND(CCData[[#This Row],[Date]]&gt;=Calculation!$E$3,CCData[[#This Row],[Date]]&lt;Calculation!$E$3+7)</f>
        <v>0</v>
      </c>
    </row>
    <row r="2821" spans="1:10">
      <c r="A2821" t="s">
        <v>2820</v>
      </c>
      <c r="B2821" s="2">
        <v>42053.667000000001</v>
      </c>
      <c r="C2821" s="3" t="s">
        <v>5007</v>
      </c>
      <c r="D2821" t="s">
        <v>5012</v>
      </c>
      <c r="E2821" t="s">
        <v>5018</v>
      </c>
      <c r="F2821" t="s">
        <v>5018</v>
      </c>
      <c r="G2821">
        <v>29</v>
      </c>
      <c r="H2821" s="5">
        <v>5.5389431399206367E-4</v>
      </c>
      <c r="I2821">
        <v>4</v>
      </c>
      <c r="J2821" t="b">
        <f>AND(CCData[[#This Row],[Date]]&gt;=Calculation!$E$3,CCData[[#This Row],[Date]]&lt;Calculation!$E$3+7)</f>
        <v>0</v>
      </c>
    </row>
    <row r="2822" spans="1:10">
      <c r="A2822" t="s">
        <v>2821</v>
      </c>
      <c r="B2822" s="2">
        <v>42053.669000000002</v>
      </c>
      <c r="C2822" s="3" t="s">
        <v>5007</v>
      </c>
      <c r="D2822" t="s">
        <v>5013</v>
      </c>
      <c r="E2822" t="s">
        <v>5018</v>
      </c>
      <c r="F2822" t="s">
        <v>5018</v>
      </c>
      <c r="G2822">
        <v>56</v>
      </c>
      <c r="H2822" s="5">
        <v>4.5154217633493242E-3</v>
      </c>
      <c r="I2822">
        <v>3</v>
      </c>
      <c r="J2822" t="b">
        <f>AND(CCData[[#This Row],[Date]]&gt;=Calculation!$E$3,CCData[[#This Row],[Date]]&lt;Calculation!$E$3+7)</f>
        <v>0</v>
      </c>
    </row>
    <row r="2823" spans="1:10">
      <c r="A2823" t="s">
        <v>2822</v>
      </c>
      <c r="B2823" s="2">
        <v>42053.669000000002</v>
      </c>
      <c r="C2823" s="3" t="s">
        <v>5003</v>
      </c>
      <c r="D2823" t="s">
        <v>5013</v>
      </c>
      <c r="E2823" t="s">
        <v>5018</v>
      </c>
      <c r="F2823" t="s">
        <v>5019</v>
      </c>
      <c r="G2823">
        <v>58</v>
      </c>
      <c r="H2823" s="5">
        <v>1.9141109111119436E-3</v>
      </c>
      <c r="I2823">
        <v>4</v>
      </c>
      <c r="J2823" t="b">
        <f>AND(CCData[[#This Row],[Date]]&gt;=Calculation!$E$3,CCData[[#This Row],[Date]]&lt;Calculation!$E$3+7)</f>
        <v>0</v>
      </c>
    </row>
    <row r="2824" spans="1:10">
      <c r="A2824" t="s">
        <v>2823</v>
      </c>
      <c r="B2824" s="2">
        <v>42053.707000000002</v>
      </c>
      <c r="C2824" s="3" t="s">
        <v>5009</v>
      </c>
      <c r="D2824" t="s">
        <v>5013</v>
      </c>
      <c r="E2824" t="s">
        <v>5018</v>
      </c>
      <c r="F2824" t="s">
        <v>5018</v>
      </c>
      <c r="G2824">
        <v>68</v>
      </c>
      <c r="H2824" s="5">
        <v>2.1066627727107149E-3</v>
      </c>
      <c r="I2824">
        <v>5</v>
      </c>
      <c r="J2824" t="b">
        <f>AND(CCData[[#This Row],[Date]]&gt;=Calculation!$E$3,CCData[[#This Row],[Date]]&lt;Calculation!$E$3+7)</f>
        <v>0</v>
      </c>
    </row>
    <row r="2825" spans="1:10">
      <c r="A2825" t="s">
        <v>2824</v>
      </c>
      <c r="B2825" s="2">
        <v>42053.707000000002</v>
      </c>
      <c r="C2825" s="3" t="s">
        <v>5007</v>
      </c>
      <c r="D2825" t="s">
        <v>5015</v>
      </c>
      <c r="E2825" t="s">
        <v>5018</v>
      </c>
      <c r="F2825" t="s">
        <v>5019</v>
      </c>
      <c r="G2825">
        <v>114</v>
      </c>
      <c r="H2825" s="5">
        <v>7.5280906219306917E-4</v>
      </c>
      <c r="I2825">
        <v>3</v>
      </c>
      <c r="J2825" t="b">
        <f>AND(CCData[[#This Row],[Date]]&gt;=Calculation!$E$3,CCData[[#This Row],[Date]]&lt;Calculation!$E$3+7)</f>
        <v>0</v>
      </c>
    </row>
    <row r="2826" spans="1:10">
      <c r="A2826" t="s">
        <v>2825</v>
      </c>
      <c r="B2826" s="2">
        <v>42053.707999999999</v>
      </c>
      <c r="C2826" s="3" t="s">
        <v>5006</v>
      </c>
      <c r="D2826" t="s">
        <v>5013</v>
      </c>
      <c r="E2826" t="s">
        <v>5018</v>
      </c>
      <c r="F2826" t="s">
        <v>5018</v>
      </c>
      <c r="G2826">
        <v>11</v>
      </c>
      <c r="H2826" s="5">
        <v>2.1760142568525362E-3</v>
      </c>
      <c r="I2826">
        <v>3</v>
      </c>
      <c r="J2826" t="b">
        <f>AND(CCData[[#This Row],[Date]]&gt;=Calculation!$E$3,CCData[[#This Row],[Date]]&lt;Calculation!$E$3+7)</f>
        <v>0</v>
      </c>
    </row>
    <row r="2827" spans="1:10">
      <c r="A2827" t="s">
        <v>2826</v>
      </c>
      <c r="B2827" s="2">
        <v>42053.707999999999</v>
      </c>
      <c r="C2827" s="3" t="s">
        <v>5004</v>
      </c>
      <c r="D2827" t="s">
        <v>5016</v>
      </c>
      <c r="E2827" t="s">
        <v>5018</v>
      </c>
      <c r="F2827" t="s">
        <v>5018</v>
      </c>
      <c r="G2827">
        <v>46</v>
      </c>
      <c r="H2827" s="5">
        <v>1.1961208225792917E-3</v>
      </c>
      <c r="I2827">
        <v>3</v>
      </c>
      <c r="J2827" t="b">
        <f>AND(CCData[[#This Row],[Date]]&gt;=Calculation!$E$3,CCData[[#This Row],[Date]]&lt;Calculation!$E$3+7)</f>
        <v>0</v>
      </c>
    </row>
    <row r="2828" spans="1:10">
      <c r="A2828" t="s">
        <v>2827</v>
      </c>
      <c r="B2828" s="2">
        <v>42054.375999999997</v>
      </c>
      <c r="C2828" s="3" t="s">
        <v>5007</v>
      </c>
      <c r="D2828" t="s">
        <v>5015</v>
      </c>
      <c r="E2828" t="s">
        <v>5018</v>
      </c>
      <c r="F2828" t="s">
        <v>5018</v>
      </c>
      <c r="G2828">
        <v>78</v>
      </c>
      <c r="H2828" s="5">
        <v>4.6945797791314919E-3</v>
      </c>
      <c r="I2828">
        <v>4</v>
      </c>
      <c r="J2828" t="b">
        <f>AND(CCData[[#This Row],[Date]]&gt;=Calculation!$E$3,CCData[[#This Row],[Date]]&lt;Calculation!$E$3+7)</f>
        <v>0</v>
      </c>
    </row>
    <row r="2829" spans="1:10">
      <c r="A2829" t="s">
        <v>2828</v>
      </c>
      <c r="B2829" s="2">
        <v>42054.375999999997</v>
      </c>
      <c r="C2829" s="3" t="s">
        <v>5008</v>
      </c>
      <c r="D2829" t="s">
        <v>5014</v>
      </c>
      <c r="E2829" t="s">
        <v>5019</v>
      </c>
      <c r="F2829" t="s">
        <v>5019</v>
      </c>
      <c r="G2829" t="s">
        <v>5022</v>
      </c>
      <c r="H2829" s="5" t="s">
        <v>5022</v>
      </c>
      <c r="I2829" t="s">
        <v>5022</v>
      </c>
      <c r="J2829" t="b">
        <f>AND(CCData[[#This Row],[Date]]&gt;=Calculation!$E$3,CCData[[#This Row],[Date]]&lt;Calculation!$E$3+7)</f>
        <v>0</v>
      </c>
    </row>
    <row r="2830" spans="1:10">
      <c r="A2830" t="s">
        <v>2829</v>
      </c>
      <c r="B2830" s="2">
        <v>42054.387000000002</v>
      </c>
      <c r="C2830" s="3" t="s">
        <v>5008</v>
      </c>
      <c r="D2830" t="s">
        <v>5015</v>
      </c>
      <c r="E2830" t="s">
        <v>5018</v>
      </c>
      <c r="F2830" t="s">
        <v>5018</v>
      </c>
      <c r="G2830">
        <v>53</v>
      </c>
      <c r="H2830" s="5">
        <v>3.4783433318363393E-3</v>
      </c>
      <c r="I2830">
        <v>3</v>
      </c>
      <c r="J2830" t="b">
        <f>AND(CCData[[#This Row],[Date]]&gt;=Calculation!$E$3,CCData[[#This Row],[Date]]&lt;Calculation!$E$3+7)</f>
        <v>0</v>
      </c>
    </row>
    <row r="2831" spans="1:10">
      <c r="A2831" t="s">
        <v>2830</v>
      </c>
      <c r="B2831" s="2">
        <v>42054.387000000002</v>
      </c>
      <c r="C2831" s="3" t="s">
        <v>5007</v>
      </c>
      <c r="D2831" t="s">
        <v>5014</v>
      </c>
      <c r="E2831" t="s">
        <v>5018</v>
      </c>
      <c r="F2831" t="s">
        <v>5018</v>
      </c>
      <c r="G2831">
        <v>37</v>
      </c>
      <c r="H2831" s="5">
        <v>2.3234361914910308E-3</v>
      </c>
      <c r="I2831">
        <v>1</v>
      </c>
      <c r="J2831" t="b">
        <f>AND(CCData[[#This Row],[Date]]&gt;=Calculation!$E$3,CCData[[#This Row],[Date]]&lt;Calculation!$E$3+7)</f>
        <v>0</v>
      </c>
    </row>
    <row r="2832" spans="1:10">
      <c r="A2832" t="s">
        <v>2831</v>
      </c>
      <c r="B2832" s="2">
        <v>42054.387999999999</v>
      </c>
      <c r="C2832" s="3" t="s">
        <v>5003</v>
      </c>
      <c r="D2832" t="s">
        <v>5016</v>
      </c>
      <c r="E2832" t="s">
        <v>5018</v>
      </c>
      <c r="F2832" t="s">
        <v>5018</v>
      </c>
      <c r="G2832">
        <v>111</v>
      </c>
      <c r="H2832" s="5">
        <v>2.5514520593293843E-3</v>
      </c>
      <c r="I2832">
        <v>4</v>
      </c>
      <c r="J2832" t="b">
        <f>AND(CCData[[#This Row],[Date]]&gt;=Calculation!$E$3,CCData[[#This Row],[Date]]&lt;Calculation!$E$3+7)</f>
        <v>0</v>
      </c>
    </row>
    <row r="2833" spans="1:10">
      <c r="A2833" t="s">
        <v>2832</v>
      </c>
      <c r="B2833" s="2">
        <v>42054.387999999999</v>
      </c>
      <c r="C2833" s="3" t="s">
        <v>5010</v>
      </c>
      <c r="D2833" t="s">
        <v>5012</v>
      </c>
      <c r="E2833" t="s">
        <v>5018</v>
      </c>
      <c r="F2833" t="s">
        <v>5019</v>
      </c>
      <c r="G2833">
        <v>14</v>
      </c>
      <c r="H2833" s="5">
        <v>6.2171336334942116E-4</v>
      </c>
      <c r="I2833">
        <v>5</v>
      </c>
      <c r="J2833" t="b">
        <f>AND(CCData[[#This Row],[Date]]&gt;=Calculation!$E$3,CCData[[#This Row],[Date]]&lt;Calculation!$E$3+7)</f>
        <v>0</v>
      </c>
    </row>
    <row r="2834" spans="1:10">
      <c r="A2834" t="s">
        <v>2833</v>
      </c>
      <c r="B2834" s="2">
        <v>42054.392999999996</v>
      </c>
      <c r="C2834" s="3" t="s">
        <v>5003</v>
      </c>
      <c r="D2834" t="s">
        <v>5016</v>
      </c>
      <c r="E2834" t="s">
        <v>5018</v>
      </c>
      <c r="F2834" t="s">
        <v>5018</v>
      </c>
      <c r="G2834">
        <v>82</v>
      </c>
      <c r="H2834" s="5">
        <v>1.9475673049408671E-3</v>
      </c>
      <c r="I2834">
        <v>3</v>
      </c>
      <c r="J2834" t="b">
        <f>AND(CCData[[#This Row],[Date]]&gt;=Calculation!$E$3,CCData[[#This Row],[Date]]&lt;Calculation!$E$3+7)</f>
        <v>0</v>
      </c>
    </row>
    <row r="2835" spans="1:10">
      <c r="A2835" t="s">
        <v>2834</v>
      </c>
      <c r="B2835" s="2">
        <v>42054.392999999996</v>
      </c>
      <c r="C2835" s="3" t="s">
        <v>5005</v>
      </c>
      <c r="D2835" t="s">
        <v>5012</v>
      </c>
      <c r="E2835" t="s">
        <v>5019</v>
      </c>
      <c r="F2835" t="s">
        <v>5019</v>
      </c>
      <c r="G2835" t="s">
        <v>5022</v>
      </c>
      <c r="H2835" s="5" t="s">
        <v>5022</v>
      </c>
      <c r="I2835" t="s">
        <v>5022</v>
      </c>
      <c r="J2835" t="b">
        <f>AND(CCData[[#This Row],[Date]]&gt;=Calculation!$E$3,CCData[[#This Row],[Date]]&lt;Calculation!$E$3+7)</f>
        <v>0</v>
      </c>
    </row>
    <row r="2836" spans="1:10">
      <c r="A2836" t="s">
        <v>2835</v>
      </c>
      <c r="B2836" s="2">
        <v>42054.449000000001</v>
      </c>
      <c r="C2836" s="3" t="s">
        <v>5010</v>
      </c>
      <c r="D2836" t="s">
        <v>5014</v>
      </c>
      <c r="E2836" t="s">
        <v>5019</v>
      </c>
      <c r="F2836" t="s">
        <v>5019</v>
      </c>
      <c r="G2836" t="s">
        <v>5022</v>
      </c>
      <c r="H2836" s="5" t="s">
        <v>5022</v>
      </c>
      <c r="I2836" t="s">
        <v>5022</v>
      </c>
      <c r="J2836" t="b">
        <f>AND(CCData[[#This Row],[Date]]&gt;=Calculation!$E$3,CCData[[#This Row],[Date]]&lt;Calculation!$E$3+7)</f>
        <v>0</v>
      </c>
    </row>
    <row r="2837" spans="1:10">
      <c r="A2837" t="s">
        <v>2836</v>
      </c>
      <c r="B2837" s="2">
        <v>42054.449000000001</v>
      </c>
      <c r="C2837" s="3" t="s">
        <v>5007</v>
      </c>
      <c r="D2837" t="s">
        <v>5015</v>
      </c>
      <c r="E2837" t="s">
        <v>5019</v>
      </c>
      <c r="F2837" t="s">
        <v>5019</v>
      </c>
      <c r="G2837" t="s">
        <v>5022</v>
      </c>
      <c r="H2837" s="5" t="s">
        <v>5022</v>
      </c>
      <c r="I2837" t="s">
        <v>5022</v>
      </c>
      <c r="J2837" t="b">
        <f>AND(CCData[[#This Row],[Date]]&gt;=Calculation!$E$3,CCData[[#This Row],[Date]]&lt;Calculation!$E$3+7)</f>
        <v>0</v>
      </c>
    </row>
    <row r="2838" spans="1:10">
      <c r="A2838" t="s">
        <v>2837</v>
      </c>
      <c r="B2838" s="2">
        <v>42054.474000000002</v>
      </c>
      <c r="C2838" s="3" t="s">
        <v>5005</v>
      </c>
      <c r="D2838" t="s">
        <v>5012</v>
      </c>
      <c r="E2838" t="s">
        <v>5018</v>
      </c>
      <c r="F2838" t="s">
        <v>5018</v>
      </c>
      <c r="G2838">
        <v>69</v>
      </c>
      <c r="H2838" s="5">
        <v>3.3976769327071108E-3</v>
      </c>
      <c r="I2838">
        <v>3</v>
      </c>
      <c r="J2838" t="b">
        <f>AND(CCData[[#This Row],[Date]]&gt;=Calculation!$E$3,CCData[[#This Row],[Date]]&lt;Calculation!$E$3+7)</f>
        <v>0</v>
      </c>
    </row>
    <row r="2839" spans="1:10">
      <c r="A2839" t="s">
        <v>2838</v>
      </c>
      <c r="B2839" s="2">
        <v>42054.474000000002</v>
      </c>
      <c r="C2839" s="3" t="s">
        <v>5003</v>
      </c>
      <c r="D2839" t="s">
        <v>5016</v>
      </c>
      <c r="E2839" t="s">
        <v>5018</v>
      </c>
      <c r="F2839" t="s">
        <v>5018</v>
      </c>
      <c r="G2839">
        <v>21</v>
      </c>
      <c r="H2839" s="5">
        <v>4.7930175393510986E-3</v>
      </c>
      <c r="I2839">
        <v>3</v>
      </c>
      <c r="J2839" t="b">
        <f>AND(CCData[[#This Row],[Date]]&gt;=Calculation!$E$3,CCData[[#This Row],[Date]]&lt;Calculation!$E$3+7)</f>
        <v>0</v>
      </c>
    </row>
    <row r="2840" spans="1:10">
      <c r="A2840" t="s">
        <v>2839</v>
      </c>
      <c r="B2840" s="2">
        <v>42054.487999999998</v>
      </c>
      <c r="C2840" s="3" t="s">
        <v>5004</v>
      </c>
      <c r="D2840" t="s">
        <v>5014</v>
      </c>
      <c r="E2840" t="s">
        <v>5018</v>
      </c>
      <c r="F2840" t="s">
        <v>5018</v>
      </c>
      <c r="G2840">
        <v>113</v>
      </c>
      <c r="H2840" s="5">
        <v>4.7453170093683889E-4</v>
      </c>
      <c r="I2840">
        <v>2</v>
      </c>
      <c r="J2840" t="b">
        <f>AND(CCData[[#This Row],[Date]]&gt;=Calculation!$E$3,CCData[[#This Row],[Date]]&lt;Calculation!$E$3+7)</f>
        <v>0</v>
      </c>
    </row>
    <row r="2841" spans="1:10">
      <c r="A2841" t="s">
        <v>2840</v>
      </c>
      <c r="B2841" s="2">
        <v>42054.487999999998</v>
      </c>
      <c r="C2841" s="3" t="s">
        <v>5009</v>
      </c>
      <c r="D2841" t="s">
        <v>5016</v>
      </c>
      <c r="E2841" t="s">
        <v>5018</v>
      </c>
      <c r="F2841" t="s">
        <v>5018</v>
      </c>
      <c r="G2841">
        <v>34</v>
      </c>
      <c r="H2841" s="5">
        <v>2.4412412190696858E-3</v>
      </c>
      <c r="I2841">
        <v>3</v>
      </c>
      <c r="J2841" t="b">
        <f>AND(CCData[[#This Row],[Date]]&gt;=Calculation!$E$3,CCData[[#This Row],[Date]]&lt;Calculation!$E$3+7)</f>
        <v>0</v>
      </c>
    </row>
    <row r="2842" spans="1:10">
      <c r="A2842" t="s">
        <v>2841</v>
      </c>
      <c r="B2842" s="2">
        <v>42054.495999999999</v>
      </c>
      <c r="C2842" s="3" t="s">
        <v>5007</v>
      </c>
      <c r="D2842" t="s">
        <v>5014</v>
      </c>
      <c r="E2842" t="s">
        <v>5018</v>
      </c>
      <c r="F2842" t="s">
        <v>5019</v>
      </c>
      <c r="G2842">
        <v>26</v>
      </c>
      <c r="H2842" s="5">
        <v>4.576126649428397E-4</v>
      </c>
      <c r="I2842">
        <v>3</v>
      </c>
      <c r="J2842" t="b">
        <f>AND(CCData[[#This Row],[Date]]&gt;=Calculation!$E$3,CCData[[#This Row],[Date]]&lt;Calculation!$E$3+7)</f>
        <v>0</v>
      </c>
    </row>
    <row r="2843" spans="1:10">
      <c r="A2843" t="s">
        <v>2842</v>
      </c>
      <c r="B2843" s="2">
        <v>42054.495999999999</v>
      </c>
      <c r="C2843" s="3" t="s">
        <v>5007</v>
      </c>
      <c r="D2843" t="s">
        <v>5015</v>
      </c>
      <c r="E2843" t="s">
        <v>5018</v>
      </c>
      <c r="F2843" t="s">
        <v>5018</v>
      </c>
      <c r="G2843">
        <v>76</v>
      </c>
      <c r="H2843" s="5">
        <v>3.7066816062510106E-3</v>
      </c>
      <c r="I2843">
        <v>3</v>
      </c>
      <c r="J2843" t="b">
        <f>AND(CCData[[#This Row],[Date]]&gt;=Calculation!$E$3,CCData[[#This Row],[Date]]&lt;Calculation!$E$3+7)</f>
        <v>0</v>
      </c>
    </row>
    <row r="2844" spans="1:10">
      <c r="A2844" t="s">
        <v>2843</v>
      </c>
      <c r="B2844" s="2">
        <v>42054.510999999999</v>
      </c>
      <c r="C2844" s="3" t="s">
        <v>5003</v>
      </c>
      <c r="D2844" t="s">
        <v>5015</v>
      </c>
      <c r="E2844" t="s">
        <v>5019</v>
      </c>
      <c r="F2844" t="s">
        <v>5019</v>
      </c>
      <c r="G2844" t="s">
        <v>5022</v>
      </c>
      <c r="H2844" s="5" t="s">
        <v>5022</v>
      </c>
      <c r="I2844" t="s">
        <v>5022</v>
      </c>
      <c r="J2844" t="b">
        <f>AND(CCData[[#This Row],[Date]]&gt;=Calculation!$E$3,CCData[[#This Row],[Date]]&lt;Calculation!$E$3+7)</f>
        <v>0</v>
      </c>
    </row>
    <row r="2845" spans="1:10">
      <c r="A2845" t="s">
        <v>2844</v>
      </c>
      <c r="B2845" s="2">
        <v>42054.510999999999</v>
      </c>
      <c r="C2845" s="3" t="s">
        <v>5009</v>
      </c>
      <c r="D2845" t="s">
        <v>5014</v>
      </c>
      <c r="E2845" t="s">
        <v>5019</v>
      </c>
      <c r="F2845" t="s">
        <v>5019</v>
      </c>
      <c r="G2845" t="s">
        <v>5022</v>
      </c>
      <c r="H2845" s="5" t="s">
        <v>5022</v>
      </c>
      <c r="I2845" t="s">
        <v>5022</v>
      </c>
      <c r="J2845" t="b">
        <f>AND(CCData[[#This Row],[Date]]&gt;=Calculation!$E$3,CCData[[#This Row],[Date]]&lt;Calculation!$E$3+7)</f>
        <v>0</v>
      </c>
    </row>
    <row r="2846" spans="1:10">
      <c r="A2846" t="s">
        <v>2845</v>
      </c>
      <c r="B2846" s="2">
        <v>42054.561999999998</v>
      </c>
      <c r="C2846" s="3" t="s">
        <v>5007</v>
      </c>
      <c r="D2846" t="s">
        <v>5013</v>
      </c>
      <c r="E2846" t="s">
        <v>5018</v>
      </c>
      <c r="F2846" t="s">
        <v>5018</v>
      </c>
      <c r="G2846">
        <v>63</v>
      </c>
      <c r="H2846" s="5">
        <v>2.625780613765543E-3</v>
      </c>
      <c r="I2846">
        <v>1</v>
      </c>
      <c r="J2846" t="b">
        <f>AND(CCData[[#This Row],[Date]]&gt;=Calculation!$E$3,CCData[[#This Row],[Date]]&lt;Calculation!$E$3+7)</f>
        <v>0</v>
      </c>
    </row>
    <row r="2847" spans="1:10">
      <c r="A2847" t="s">
        <v>2846</v>
      </c>
      <c r="B2847" s="2">
        <v>42054.561999999998</v>
      </c>
      <c r="C2847" s="3" t="s">
        <v>5005</v>
      </c>
      <c r="D2847" t="s">
        <v>5015</v>
      </c>
      <c r="E2847" t="s">
        <v>5018</v>
      </c>
      <c r="F2847" t="s">
        <v>5018</v>
      </c>
      <c r="G2847">
        <v>80</v>
      </c>
      <c r="H2847" s="5">
        <v>2.8709120178844008E-3</v>
      </c>
      <c r="I2847">
        <v>3</v>
      </c>
      <c r="J2847" t="b">
        <f>AND(CCData[[#This Row],[Date]]&gt;=Calculation!$E$3,CCData[[#This Row],[Date]]&lt;Calculation!$E$3+7)</f>
        <v>0</v>
      </c>
    </row>
    <row r="2848" spans="1:10">
      <c r="A2848" t="s">
        <v>2847</v>
      </c>
      <c r="B2848" s="2">
        <v>42054.563999999998</v>
      </c>
      <c r="C2848" s="3" t="s">
        <v>5007</v>
      </c>
      <c r="D2848" t="s">
        <v>5015</v>
      </c>
      <c r="E2848" t="s">
        <v>5018</v>
      </c>
      <c r="F2848" t="s">
        <v>5018</v>
      </c>
      <c r="G2848">
        <v>36</v>
      </c>
      <c r="H2848" s="5">
        <v>4.3663175093292175E-3</v>
      </c>
      <c r="I2848">
        <v>1</v>
      </c>
      <c r="J2848" t="b">
        <f>AND(CCData[[#This Row],[Date]]&gt;=Calculation!$E$3,CCData[[#This Row],[Date]]&lt;Calculation!$E$3+7)</f>
        <v>0</v>
      </c>
    </row>
    <row r="2849" spans="1:10">
      <c r="A2849" t="s">
        <v>2848</v>
      </c>
      <c r="B2849" s="2">
        <v>42054.563999999998</v>
      </c>
      <c r="C2849" s="3" t="s">
        <v>5003</v>
      </c>
      <c r="D2849" t="s">
        <v>5015</v>
      </c>
      <c r="E2849" t="s">
        <v>5018</v>
      </c>
      <c r="F2849" t="s">
        <v>5018</v>
      </c>
      <c r="G2849">
        <v>22</v>
      </c>
      <c r="H2849" s="5">
        <v>1.3272911552009545E-3</v>
      </c>
      <c r="I2849">
        <v>5</v>
      </c>
      <c r="J2849" t="b">
        <f>AND(CCData[[#This Row],[Date]]&gt;=Calculation!$E$3,CCData[[#This Row],[Date]]&lt;Calculation!$E$3+7)</f>
        <v>0</v>
      </c>
    </row>
    <row r="2850" spans="1:10">
      <c r="A2850" t="s">
        <v>2849</v>
      </c>
      <c r="B2850" s="2">
        <v>42054.572999999997</v>
      </c>
      <c r="C2850" s="3" t="s">
        <v>5005</v>
      </c>
      <c r="D2850" t="s">
        <v>5016</v>
      </c>
      <c r="E2850" t="s">
        <v>5018</v>
      </c>
      <c r="F2850" t="s">
        <v>5018</v>
      </c>
      <c r="G2850">
        <v>80</v>
      </c>
      <c r="H2850" s="5">
        <v>3.0959242357357208E-3</v>
      </c>
      <c r="I2850">
        <v>2</v>
      </c>
      <c r="J2850" t="b">
        <f>AND(CCData[[#This Row],[Date]]&gt;=Calculation!$E$3,CCData[[#This Row],[Date]]&lt;Calculation!$E$3+7)</f>
        <v>0</v>
      </c>
    </row>
    <row r="2851" spans="1:10">
      <c r="A2851" t="s">
        <v>2850</v>
      </c>
      <c r="B2851" s="2">
        <v>42054.572999999997</v>
      </c>
      <c r="C2851" s="3" t="s">
        <v>5007</v>
      </c>
      <c r="D2851" t="s">
        <v>5013</v>
      </c>
      <c r="E2851" t="s">
        <v>5018</v>
      </c>
      <c r="F2851" t="s">
        <v>5018</v>
      </c>
      <c r="G2851">
        <v>109</v>
      </c>
      <c r="H2851" s="5">
        <v>5.1023043591106156E-4</v>
      </c>
      <c r="I2851">
        <v>1</v>
      </c>
      <c r="J2851" t="b">
        <f>AND(CCData[[#This Row],[Date]]&gt;=Calculation!$E$3,CCData[[#This Row],[Date]]&lt;Calculation!$E$3+7)</f>
        <v>0</v>
      </c>
    </row>
    <row r="2852" spans="1:10">
      <c r="A2852" t="s">
        <v>2851</v>
      </c>
      <c r="B2852" s="2">
        <v>42054.599000000002</v>
      </c>
      <c r="C2852" s="3" t="s">
        <v>5005</v>
      </c>
      <c r="D2852" t="s">
        <v>5013</v>
      </c>
      <c r="E2852" t="s">
        <v>5018</v>
      </c>
      <c r="F2852" t="s">
        <v>5018</v>
      </c>
      <c r="G2852">
        <v>80</v>
      </c>
      <c r="H2852" s="5">
        <v>3.9167149835404825E-3</v>
      </c>
      <c r="I2852">
        <v>3</v>
      </c>
      <c r="J2852" t="b">
        <f>AND(CCData[[#This Row],[Date]]&gt;=Calculation!$E$3,CCData[[#This Row],[Date]]&lt;Calculation!$E$3+7)</f>
        <v>0</v>
      </c>
    </row>
    <row r="2853" spans="1:10">
      <c r="A2853" t="s">
        <v>2852</v>
      </c>
      <c r="B2853" s="2">
        <v>42054.599000000002</v>
      </c>
      <c r="C2853" s="3" t="s">
        <v>5008</v>
      </c>
      <c r="D2853" t="s">
        <v>5015</v>
      </c>
      <c r="E2853" t="s">
        <v>5018</v>
      </c>
      <c r="F2853" t="s">
        <v>5018</v>
      </c>
      <c r="G2853">
        <v>108</v>
      </c>
      <c r="H2853" s="5">
        <v>3.3217576045373749E-3</v>
      </c>
      <c r="I2853">
        <v>4</v>
      </c>
      <c r="J2853" t="b">
        <f>AND(CCData[[#This Row],[Date]]&gt;=Calculation!$E$3,CCData[[#This Row],[Date]]&lt;Calculation!$E$3+7)</f>
        <v>0</v>
      </c>
    </row>
    <row r="2854" spans="1:10">
      <c r="A2854" t="s">
        <v>2853</v>
      </c>
      <c r="B2854" s="2">
        <v>42054.601999999999</v>
      </c>
      <c r="C2854" s="3" t="s">
        <v>5004</v>
      </c>
      <c r="D2854" t="s">
        <v>5012</v>
      </c>
      <c r="E2854" t="s">
        <v>5018</v>
      </c>
      <c r="F2854" t="s">
        <v>5018</v>
      </c>
      <c r="G2854">
        <v>10</v>
      </c>
      <c r="H2854" s="5">
        <v>3.9862367128315705E-3</v>
      </c>
      <c r="I2854">
        <v>4</v>
      </c>
      <c r="J2854" t="b">
        <f>AND(CCData[[#This Row],[Date]]&gt;=Calculation!$E$3,CCData[[#This Row],[Date]]&lt;Calculation!$E$3+7)</f>
        <v>0</v>
      </c>
    </row>
    <row r="2855" spans="1:10">
      <c r="A2855" t="s">
        <v>2854</v>
      </c>
      <c r="B2855" s="2">
        <v>42054.601999999999</v>
      </c>
      <c r="C2855" s="3" t="s">
        <v>5006</v>
      </c>
      <c r="D2855" t="s">
        <v>5013</v>
      </c>
      <c r="E2855" t="s">
        <v>5019</v>
      </c>
      <c r="F2855" t="s">
        <v>5019</v>
      </c>
      <c r="G2855" t="s">
        <v>5022</v>
      </c>
      <c r="H2855" s="5" t="s">
        <v>5022</v>
      </c>
      <c r="I2855" t="s">
        <v>5022</v>
      </c>
      <c r="J2855" t="b">
        <f>AND(CCData[[#This Row],[Date]]&gt;=Calculation!$E$3,CCData[[#This Row],[Date]]&lt;Calculation!$E$3+7)</f>
        <v>0</v>
      </c>
    </row>
    <row r="2856" spans="1:10">
      <c r="A2856" t="s">
        <v>2855</v>
      </c>
      <c r="B2856" s="2">
        <v>42054.614999999998</v>
      </c>
      <c r="C2856" s="3" t="s">
        <v>5009</v>
      </c>
      <c r="D2856" t="s">
        <v>5013</v>
      </c>
      <c r="E2856" t="s">
        <v>5018</v>
      </c>
      <c r="F2856" t="s">
        <v>5018</v>
      </c>
      <c r="G2856">
        <v>115</v>
      </c>
      <c r="H2856" s="5">
        <v>1.8313428946515021E-3</v>
      </c>
      <c r="I2856">
        <v>3</v>
      </c>
      <c r="J2856" t="b">
        <f>AND(CCData[[#This Row],[Date]]&gt;=Calculation!$E$3,CCData[[#This Row],[Date]]&lt;Calculation!$E$3+7)</f>
        <v>0</v>
      </c>
    </row>
    <row r="2857" spans="1:10">
      <c r="A2857" t="s">
        <v>2856</v>
      </c>
      <c r="B2857" s="2">
        <v>42054.614999999998</v>
      </c>
      <c r="C2857" s="3" t="s">
        <v>5004</v>
      </c>
      <c r="D2857" t="s">
        <v>5015</v>
      </c>
      <c r="E2857" t="s">
        <v>5018</v>
      </c>
      <c r="F2857" t="s">
        <v>5018</v>
      </c>
      <c r="G2857">
        <v>79</v>
      </c>
      <c r="H2857" s="5">
        <v>3.1354010507330925E-3</v>
      </c>
      <c r="I2857">
        <v>3</v>
      </c>
      <c r="J2857" t="b">
        <f>AND(CCData[[#This Row],[Date]]&gt;=Calculation!$E$3,CCData[[#This Row],[Date]]&lt;Calculation!$E$3+7)</f>
        <v>0</v>
      </c>
    </row>
    <row r="2858" spans="1:10">
      <c r="A2858" t="s">
        <v>2857</v>
      </c>
      <c r="B2858" s="2">
        <v>42054.62</v>
      </c>
      <c r="C2858" s="3" t="s">
        <v>5005</v>
      </c>
      <c r="D2858" t="s">
        <v>5015</v>
      </c>
      <c r="E2858" t="s">
        <v>5018</v>
      </c>
      <c r="F2858" t="s">
        <v>5018</v>
      </c>
      <c r="G2858">
        <v>109</v>
      </c>
      <c r="H2858" s="5">
        <v>4.5464724485225043E-4</v>
      </c>
      <c r="I2858">
        <v>2</v>
      </c>
      <c r="J2858" t="b">
        <f>AND(CCData[[#This Row],[Date]]&gt;=Calculation!$E$3,CCData[[#This Row],[Date]]&lt;Calculation!$E$3+7)</f>
        <v>0</v>
      </c>
    </row>
    <row r="2859" spans="1:10">
      <c r="A2859" t="s">
        <v>2858</v>
      </c>
      <c r="B2859" s="2">
        <v>42054.62</v>
      </c>
      <c r="C2859" s="3" t="s">
        <v>5007</v>
      </c>
      <c r="D2859" t="s">
        <v>5012</v>
      </c>
      <c r="E2859" t="s">
        <v>5018</v>
      </c>
      <c r="F2859" t="s">
        <v>5018</v>
      </c>
      <c r="G2859">
        <v>12</v>
      </c>
      <c r="H2859" s="5">
        <v>3.6401142062678733E-3</v>
      </c>
      <c r="I2859">
        <v>4</v>
      </c>
      <c r="J2859" t="b">
        <f>AND(CCData[[#This Row],[Date]]&gt;=Calculation!$E$3,CCData[[#This Row],[Date]]&lt;Calculation!$E$3+7)</f>
        <v>0</v>
      </c>
    </row>
    <row r="2860" spans="1:10">
      <c r="A2860" t="s">
        <v>2859</v>
      </c>
      <c r="B2860" s="2">
        <v>42054.627</v>
      </c>
      <c r="C2860" s="3" t="s">
        <v>5008</v>
      </c>
      <c r="D2860" t="s">
        <v>5016</v>
      </c>
      <c r="E2860" t="s">
        <v>5018</v>
      </c>
      <c r="F2860" t="s">
        <v>5018</v>
      </c>
      <c r="G2860">
        <v>87</v>
      </c>
      <c r="H2860" s="5">
        <v>1.5518990793139968E-3</v>
      </c>
      <c r="I2860">
        <v>3</v>
      </c>
      <c r="J2860" t="b">
        <f>AND(CCData[[#This Row],[Date]]&gt;=Calculation!$E$3,CCData[[#This Row],[Date]]&lt;Calculation!$E$3+7)</f>
        <v>0</v>
      </c>
    </row>
    <row r="2861" spans="1:10">
      <c r="A2861" t="s">
        <v>2860</v>
      </c>
      <c r="B2861" s="2">
        <v>42054.627</v>
      </c>
      <c r="C2861" s="3" t="s">
        <v>5005</v>
      </c>
      <c r="D2861" t="s">
        <v>5015</v>
      </c>
      <c r="E2861" t="s">
        <v>5018</v>
      </c>
      <c r="F2861" t="s">
        <v>5018</v>
      </c>
      <c r="G2861">
        <v>55</v>
      </c>
      <c r="H2861" s="5">
        <v>3.9356480566435119E-3</v>
      </c>
      <c r="I2861">
        <v>3</v>
      </c>
      <c r="J2861" t="b">
        <f>AND(CCData[[#This Row],[Date]]&gt;=Calculation!$E$3,CCData[[#This Row],[Date]]&lt;Calculation!$E$3+7)</f>
        <v>0</v>
      </c>
    </row>
    <row r="2862" spans="1:10">
      <c r="A2862" t="s">
        <v>2861</v>
      </c>
      <c r="B2862" s="2">
        <v>42054.648000000001</v>
      </c>
      <c r="C2862" s="3" t="s">
        <v>5008</v>
      </c>
      <c r="D2862" t="s">
        <v>5014</v>
      </c>
      <c r="E2862" t="s">
        <v>5018</v>
      </c>
      <c r="F2862" t="s">
        <v>5018</v>
      </c>
      <c r="G2862">
        <v>109</v>
      </c>
      <c r="H2862" s="5">
        <v>3.8726377587426884E-3</v>
      </c>
      <c r="I2862">
        <v>4</v>
      </c>
      <c r="J2862" t="b">
        <f>AND(CCData[[#This Row],[Date]]&gt;=Calculation!$E$3,CCData[[#This Row],[Date]]&lt;Calculation!$E$3+7)</f>
        <v>0</v>
      </c>
    </row>
    <row r="2863" spans="1:10">
      <c r="A2863" t="s">
        <v>2862</v>
      </c>
      <c r="B2863" s="2">
        <v>42054.648000000001</v>
      </c>
      <c r="C2863" s="3" t="s">
        <v>5004</v>
      </c>
      <c r="D2863" t="s">
        <v>5012</v>
      </c>
      <c r="E2863" t="s">
        <v>5019</v>
      </c>
      <c r="F2863" t="s">
        <v>5019</v>
      </c>
      <c r="G2863" t="s">
        <v>5022</v>
      </c>
      <c r="H2863" s="5" t="s">
        <v>5022</v>
      </c>
      <c r="I2863" t="s">
        <v>5022</v>
      </c>
      <c r="J2863" t="b">
        <f>AND(CCData[[#This Row],[Date]]&gt;=Calculation!$E$3,CCData[[#This Row],[Date]]&lt;Calculation!$E$3+7)</f>
        <v>0</v>
      </c>
    </row>
    <row r="2864" spans="1:10">
      <c r="A2864" t="s">
        <v>2863</v>
      </c>
      <c r="B2864" s="2">
        <v>42054.648000000001</v>
      </c>
      <c r="C2864" s="3" t="s">
        <v>5003</v>
      </c>
      <c r="D2864" t="s">
        <v>5014</v>
      </c>
      <c r="E2864" t="s">
        <v>5019</v>
      </c>
      <c r="F2864" t="s">
        <v>5019</v>
      </c>
      <c r="G2864" t="s">
        <v>5022</v>
      </c>
      <c r="H2864" s="5" t="s">
        <v>5022</v>
      </c>
      <c r="I2864" t="s">
        <v>5022</v>
      </c>
      <c r="J2864" t="b">
        <f>AND(CCData[[#This Row],[Date]]&gt;=Calculation!$E$3,CCData[[#This Row],[Date]]&lt;Calculation!$E$3+7)</f>
        <v>0</v>
      </c>
    </row>
    <row r="2865" spans="1:10">
      <c r="A2865" t="s">
        <v>2864</v>
      </c>
      <c r="B2865" s="2">
        <v>42054.648000000001</v>
      </c>
      <c r="C2865" s="3" t="s">
        <v>5004</v>
      </c>
      <c r="D2865" t="s">
        <v>5014</v>
      </c>
      <c r="E2865" t="s">
        <v>5018</v>
      </c>
      <c r="F2865" t="s">
        <v>5018</v>
      </c>
      <c r="G2865">
        <v>12</v>
      </c>
      <c r="H2865" s="5">
        <v>8.0429136042994116E-4</v>
      </c>
      <c r="I2865">
        <v>4</v>
      </c>
      <c r="J2865" t="b">
        <f>AND(CCData[[#This Row],[Date]]&gt;=Calculation!$E$3,CCData[[#This Row],[Date]]&lt;Calculation!$E$3+7)</f>
        <v>0</v>
      </c>
    </row>
    <row r="2866" spans="1:10">
      <c r="A2866" t="s">
        <v>2865</v>
      </c>
      <c r="B2866" s="2">
        <v>42054.67</v>
      </c>
      <c r="C2866" s="3" t="s">
        <v>5009</v>
      </c>
      <c r="D2866" t="s">
        <v>5014</v>
      </c>
      <c r="E2866" t="s">
        <v>5018</v>
      </c>
      <c r="F2866" t="s">
        <v>5018</v>
      </c>
      <c r="G2866">
        <v>71</v>
      </c>
      <c r="H2866" s="5">
        <v>1.9848725838803698E-3</v>
      </c>
      <c r="I2866">
        <v>5</v>
      </c>
      <c r="J2866" t="b">
        <f>AND(CCData[[#This Row],[Date]]&gt;=Calculation!$E$3,CCData[[#This Row],[Date]]&lt;Calculation!$E$3+7)</f>
        <v>0</v>
      </c>
    </row>
    <row r="2867" spans="1:10">
      <c r="A2867" t="s">
        <v>2866</v>
      </c>
      <c r="B2867" s="2">
        <v>42054.67</v>
      </c>
      <c r="C2867" s="3" t="s">
        <v>5010</v>
      </c>
      <c r="D2867" t="s">
        <v>5013</v>
      </c>
      <c r="E2867" t="s">
        <v>5019</v>
      </c>
      <c r="F2867" t="s">
        <v>5019</v>
      </c>
      <c r="G2867" t="s">
        <v>5022</v>
      </c>
      <c r="H2867" s="5" t="s">
        <v>5022</v>
      </c>
      <c r="I2867" t="s">
        <v>5022</v>
      </c>
      <c r="J2867" t="b">
        <f>AND(CCData[[#This Row],[Date]]&gt;=Calculation!$E$3,CCData[[#This Row],[Date]]&lt;Calculation!$E$3+7)</f>
        <v>0</v>
      </c>
    </row>
    <row r="2868" spans="1:10">
      <c r="A2868" t="s">
        <v>2867</v>
      </c>
      <c r="B2868" s="2">
        <v>42054.684999999998</v>
      </c>
      <c r="C2868" s="3" t="s">
        <v>5005</v>
      </c>
      <c r="D2868" t="s">
        <v>5016</v>
      </c>
      <c r="E2868" t="s">
        <v>5018</v>
      </c>
      <c r="F2868" t="s">
        <v>5019</v>
      </c>
      <c r="G2868">
        <v>104</v>
      </c>
      <c r="H2868" s="5">
        <v>4.5041415113260081E-3</v>
      </c>
      <c r="I2868">
        <v>4</v>
      </c>
      <c r="J2868" t="b">
        <f>AND(CCData[[#This Row],[Date]]&gt;=Calculation!$E$3,CCData[[#This Row],[Date]]&lt;Calculation!$E$3+7)</f>
        <v>0</v>
      </c>
    </row>
    <row r="2869" spans="1:10">
      <c r="A2869" t="s">
        <v>2868</v>
      </c>
      <c r="B2869" s="2">
        <v>42054.684999999998</v>
      </c>
      <c r="C2869" s="3" t="s">
        <v>5005</v>
      </c>
      <c r="D2869" t="s">
        <v>5014</v>
      </c>
      <c r="E2869" t="s">
        <v>5018</v>
      </c>
      <c r="F2869" t="s">
        <v>5018</v>
      </c>
      <c r="G2869">
        <v>110</v>
      </c>
      <c r="H2869" s="5">
        <v>1.3131114587903079E-3</v>
      </c>
      <c r="I2869">
        <v>1</v>
      </c>
      <c r="J2869" t="b">
        <f>AND(CCData[[#This Row],[Date]]&gt;=Calculation!$E$3,CCData[[#This Row],[Date]]&lt;Calculation!$E$3+7)</f>
        <v>0</v>
      </c>
    </row>
    <row r="2870" spans="1:10">
      <c r="A2870" t="s">
        <v>2869</v>
      </c>
      <c r="B2870" s="2">
        <v>42054.722999999998</v>
      </c>
      <c r="C2870" s="3" t="s">
        <v>5009</v>
      </c>
      <c r="D2870" t="s">
        <v>5016</v>
      </c>
      <c r="E2870" t="s">
        <v>5018</v>
      </c>
      <c r="F2870" t="s">
        <v>5018</v>
      </c>
      <c r="G2870">
        <v>108</v>
      </c>
      <c r="H2870" s="5">
        <v>1.9018924395305125E-3</v>
      </c>
      <c r="I2870">
        <v>1</v>
      </c>
      <c r="J2870" t="b">
        <f>AND(CCData[[#This Row],[Date]]&gt;=Calculation!$E$3,CCData[[#This Row],[Date]]&lt;Calculation!$E$3+7)</f>
        <v>0</v>
      </c>
    </row>
    <row r="2871" spans="1:10">
      <c r="A2871" t="s">
        <v>2870</v>
      </c>
      <c r="B2871" s="2">
        <v>42054.722999999998</v>
      </c>
      <c r="C2871" s="3" t="s">
        <v>5010</v>
      </c>
      <c r="D2871" t="s">
        <v>5013</v>
      </c>
      <c r="E2871" t="s">
        <v>5018</v>
      </c>
      <c r="F2871" t="s">
        <v>5018</v>
      </c>
      <c r="G2871">
        <v>88</v>
      </c>
      <c r="H2871" s="5">
        <v>6.3840680431769708E-4</v>
      </c>
      <c r="I2871">
        <v>1</v>
      </c>
      <c r="J2871" t="b">
        <f>AND(CCData[[#This Row],[Date]]&gt;=Calculation!$E$3,CCData[[#This Row],[Date]]&lt;Calculation!$E$3+7)</f>
        <v>0</v>
      </c>
    </row>
    <row r="2872" spans="1:10">
      <c r="A2872" t="s">
        <v>2871</v>
      </c>
      <c r="B2872" s="2">
        <v>42054.728999999999</v>
      </c>
      <c r="C2872" s="3" t="s">
        <v>5005</v>
      </c>
      <c r="D2872" t="s">
        <v>5012</v>
      </c>
      <c r="E2872" t="s">
        <v>5019</v>
      </c>
      <c r="F2872" t="s">
        <v>5019</v>
      </c>
      <c r="G2872" t="s">
        <v>5022</v>
      </c>
      <c r="H2872" s="5" t="s">
        <v>5022</v>
      </c>
      <c r="I2872" t="s">
        <v>5022</v>
      </c>
      <c r="J2872" t="b">
        <f>AND(CCData[[#This Row],[Date]]&gt;=Calculation!$E$3,CCData[[#This Row],[Date]]&lt;Calculation!$E$3+7)</f>
        <v>0</v>
      </c>
    </row>
    <row r="2873" spans="1:10">
      <c r="A2873" t="s">
        <v>2872</v>
      </c>
      <c r="B2873" s="2">
        <v>42054.728999999999</v>
      </c>
      <c r="C2873" s="3" t="s">
        <v>5008</v>
      </c>
      <c r="D2873" t="s">
        <v>5015</v>
      </c>
      <c r="E2873" t="s">
        <v>5018</v>
      </c>
      <c r="F2873" t="s">
        <v>5018</v>
      </c>
      <c r="G2873">
        <v>32</v>
      </c>
      <c r="H2873" s="5">
        <v>4.2555781486119954E-3</v>
      </c>
      <c r="I2873">
        <v>1</v>
      </c>
      <c r="J2873" t="b">
        <f>AND(CCData[[#This Row],[Date]]&gt;=Calculation!$E$3,CCData[[#This Row],[Date]]&lt;Calculation!$E$3+7)</f>
        <v>0</v>
      </c>
    </row>
    <row r="2874" spans="1:10">
      <c r="A2874" t="s">
        <v>2873</v>
      </c>
      <c r="B2874" s="2">
        <v>42054.735000000001</v>
      </c>
      <c r="C2874" s="3" t="s">
        <v>5003</v>
      </c>
      <c r="D2874" t="s">
        <v>5012</v>
      </c>
      <c r="E2874" t="s">
        <v>5018</v>
      </c>
      <c r="F2874" t="s">
        <v>5018</v>
      </c>
      <c r="G2874">
        <v>37</v>
      </c>
      <c r="H2874" s="5">
        <v>4.3217982502756326E-3</v>
      </c>
      <c r="I2874">
        <v>4</v>
      </c>
      <c r="J2874" t="b">
        <f>AND(CCData[[#This Row],[Date]]&gt;=Calculation!$E$3,CCData[[#This Row],[Date]]&lt;Calculation!$E$3+7)</f>
        <v>0</v>
      </c>
    </row>
    <row r="2875" spans="1:10">
      <c r="A2875" t="s">
        <v>2874</v>
      </c>
      <c r="B2875" s="2">
        <v>42054.735000000001</v>
      </c>
      <c r="C2875" s="3" t="s">
        <v>5006</v>
      </c>
      <c r="D2875" t="s">
        <v>5014</v>
      </c>
      <c r="E2875" t="s">
        <v>5018</v>
      </c>
      <c r="F2875" t="s">
        <v>5018</v>
      </c>
      <c r="G2875">
        <v>58</v>
      </c>
      <c r="H2875" s="5">
        <v>2.3693466053878003E-3</v>
      </c>
      <c r="I2875">
        <v>5</v>
      </c>
      <c r="J2875" t="b">
        <f>AND(CCData[[#This Row],[Date]]&gt;=Calculation!$E$3,CCData[[#This Row],[Date]]&lt;Calculation!$E$3+7)</f>
        <v>0</v>
      </c>
    </row>
    <row r="2876" spans="1:10">
      <c r="A2876" t="s">
        <v>2875</v>
      </c>
      <c r="B2876" s="2">
        <v>42055.392</v>
      </c>
      <c r="C2876" s="3" t="s">
        <v>5006</v>
      </c>
      <c r="D2876" t="s">
        <v>5012</v>
      </c>
      <c r="E2876" t="s">
        <v>5018</v>
      </c>
      <c r="F2876" t="s">
        <v>5018</v>
      </c>
      <c r="G2876">
        <v>61</v>
      </c>
      <c r="H2876" s="5">
        <v>2.847749455891438E-3</v>
      </c>
      <c r="I2876">
        <v>4</v>
      </c>
      <c r="J2876" t="b">
        <f>AND(CCData[[#This Row],[Date]]&gt;=Calculation!$E$3,CCData[[#This Row],[Date]]&lt;Calculation!$E$3+7)</f>
        <v>0</v>
      </c>
    </row>
    <row r="2877" spans="1:10">
      <c r="A2877" t="s">
        <v>2876</v>
      </c>
      <c r="B2877" s="2">
        <v>42055.392</v>
      </c>
      <c r="C2877" s="3" t="s">
        <v>5007</v>
      </c>
      <c r="D2877" t="s">
        <v>5012</v>
      </c>
      <c r="E2877" t="s">
        <v>5018</v>
      </c>
      <c r="F2877" t="s">
        <v>5018</v>
      </c>
      <c r="G2877">
        <v>39</v>
      </c>
      <c r="H2877" s="5">
        <v>1.2209475441170405E-3</v>
      </c>
      <c r="I2877">
        <v>1</v>
      </c>
      <c r="J2877" t="b">
        <f>AND(CCData[[#This Row],[Date]]&gt;=Calculation!$E$3,CCData[[#This Row],[Date]]&lt;Calculation!$E$3+7)</f>
        <v>0</v>
      </c>
    </row>
    <row r="2878" spans="1:10">
      <c r="A2878" t="s">
        <v>2877</v>
      </c>
      <c r="B2878" s="2">
        <v>42055.398000000001</v>
      </c>
      <c r="C2878" s="3" t="s">
        <v>5008</v>
      </c>
      <c r="D2878" t="s">
        <v>5012</v>
      </c>
      <c r="E2878" t="s">
        <v>5018</v>
      </c>
      <c r="F2878" t="s">
        <v>5018</v>
      </c>
      <c r="G2878">
        <v>39</v>
      </c>
      <c r="H2878" s="5">
        <v>3.9485168547621768E-3</v>
      </c>
      <c r="I2878">
        <v>4</v>
      </c>
      <c r="J2878" t="b">
        <f>AND(CCData[[#This Row],[Date]]&gt;=Calculation!$E$3,CCData[[#This Row],[Date]]&lt;Calculation!$E$3+7)</f>
        <v>0</v>
      </c>
    </row>
    <row r="2879" spans="1:10">
      <c r="A2879" t="s">
        <v>2878</v>
      </c>
      <c r="B2879" s="2">
        <v>42055.398000000001</v>
      </c>
      <c r="C2879" s="3" t="s">
        <v>5003</v>
      </c>
      <c r="D2879" t="s">
        <v>5016</v>
      </c>
      <c r="E2879" t="s">
        <v>5018</v>
      </c>
      <c r="F2879" t="s">
        <v>5018</v>
      </c>
      <c r="G2879">
        <v>53</v>
      </c>
      <c r="H2879" s="5">
        <v>1.2387421523034662E-3</v>
      </c>
      <c r="I2879">
        <v>5</v>
      </c>
      <c r="J2879" t="b">
        <f>AND(CCData[[#This Row],[Date]]&gt;=Calculation!$E$3,CCData[[#This Row],[Date]]&lt;Calculation!$E$3+7)</f>
        <v>0</v>
      </c>
    </row>
    <row r="2880" spans="1:10">
      <c r="A2880" t="s">
        <v>2879</v>
      </c>
      <c r="B2880" s="2">
        <v>42055.417999999998</v>
      </c>
      <c r="C2880" s="3" t="s">
        <v>5008</v>
      </c>
      <c r="D2880" t="s">
        <v>5012</v>
      </c>
      <c r="E2880" t="s">
        <v>5019</v>
      </c>
      <c r="F2880" t="s">
        <v>5019</v>
      </c>
      <c r="G2880" t="s">
        <v>5022</v>
      </c>
      <c r="H2880" s="5" t="s">
        <v>5022</v>
      </c>
      <c r="I2880" t="s">
        <v>5022</v>
      </c>
      <c r="J2880" t="b">
        <f>AND(CCData[[#This Row],[Date]]&gt;=Calculation!$E$3,CCData[[#This Row],[Date]]&lt;Calculation!$E$3+7)</f>
        <v>0</v>
      </c>
    </row>
    <row r="2881" spans="1:10">
      <c r="A2881" t="s">
        <v>2880</v>
      </c>
      <c r="B2881" s="2">
        <v>42055.417999999998</v>
      </c>
      <c r="C2881" s="3" t="s">
        <v>5005</v>
      </c>
      <c r="D2881" t="s">
        <v>5016</v>
      </c>
      <c r="E2881" t="s">
        <v>5018</v>
      </c>
      <c r="F2881" t="s">
        <v>5018</v>
      </c>
      <c r="G2881">
        <v>64</v>
      </c>
      <c r="H2881" s="5">
        <v>3.6043151515024962E-3</v>
      </c>
      <c r="I2881">
        <v>4</v>
      </c>
      <c r="J2881" t="b">
        <f>AND(CCData[[#This Row],[Date]]&gt;=Calculation!$E$3,CCData[[#This Row],[Date]]&lt;Calculation!$E$3+7)</f>
        <v>0</v>
      </c>
    </row>
    <row r="2882" spans="1:10">
      <c r="A2882" t="s">
        <v>2881</v>
      </c>
      <c r="B2882" s="2">
        <v>42055.423999999999</v>
      </c>
      <c r="C2882" s="3" t="s">
        <v>5008</v>
      </c>
      <c r="D2882" t="s">
        <v>5013</v>
      </c>
      <c r="E2882" t="s">
        <v>5018</v>
      </c>
      <c r="F2882" t="s">
        <v>5018</v>
      </c>
      <c r="G2882">
        <v>77</v>
      </c>
      <c r="H2882" s="5">
        <v>2.5515844579299066E-3</v>
      </c>
      <c r="I2882">
        <v>3</v>
      </c>
      <c r="J2882" t="b">
        <f>AND(CCData[[#This Row],[Date]]&gt;=Calculation!$E$3,CCData[[#This Row],[Date]]&lt;Calculation!$E$3+7)</f>
        <v>0</v>
      </c>
    </row>
    <row r="2883" spans="1:10">
      <c r="A2883" t="s">
        <v>2882</v>
      </c>
      <c r="B2883" s="2">
        <v>42055.423999999999</v>
      </c>
      <c r="C2883" s="3" t="s">
        <v>5010</v>
      </c>
      <c r="D2883" t="s">
        <v>5012</v>
      </c>
      <c r="E2883" t="s">
        <v>5018</v>
      </c>
      <c r="F2883" t="s">
        <v>5018</v>
      </c>
      <c r="G2883">
        <v>20</v>
      </c>
      <c r="H2883" s="5">
        <v>5.7283565939866918E-4</v>
      </c>
      <c r="I2883">
        <v>1</v>
      </c>
      <c r="J2883" t="b">
        <f>AND(CCData[[#This Row],[Date]]&gt;=Calculation!$E$3,CCData[[#This Row],[Date]]&lt;Calculation!$E$3+7)</f>
        <v>0</v>
      </c>
    </row>
    <row r="2884" spans="1:10">
      <c r="A2884" t="s">
        <v>2883</v>
      </c>
      <c r="B2884" s="2">
        <v>42055.434000000001</v>
      </c>
      <c r="C2884" s="3" t="s">
        <v>5009</v>
      </c>
      <c r="D2884" t="s">
        <v>5012</v>
      </c>
      <c r="E2884" t="s">
        <v>5019</v>
      </c>
      <c r="F2884" t="s">
        <v>5019</v>
      </c>
      <c r="G2884" t="s">
        <v>5022</v>
      </c>
      <c r="H2884" s="5" t="s">
        <v>5022</v>
      </c>
      <c r="I2884" t="s">
        <v>5022</v>
      </c>
      <c r="J2884" t="b">
        <f>AND(CCData[[#This Row],[Date]]&gt;=Calculation!$E$3,CCData[[#This Row],[Date]]&lt;Calculation!$E$3+7)</f>
        <v>0</v>
      </c>
    </row>
    <row r="2885" spans="1:10">
      <c r="A2885" t="s">
        <v>2884</v>
      </c>
      <c r="B2885" s="2">
        <v>42055.434000000001</v>
      </c>
      <c r="C2885" s="3" t="s">
        <v>5008</v>
      </c>
      <c r="D2885" t="s">
        <v>5015</v>
      </c>
      <c r="E2885" t="s">
        <v>5019</v>
      </c>
      <c r="F2885" t="s">
        <v>5019</v>
      </c>
      <c r="G2885" t="s">
        <v>5022</v>
      </c>
      <c r="H2885" s="5" t="s">
        <v>5022</v>
      </c>
      <c r="I2885" t="s">
        <v>5022</v>
      </c>
      <c r="J2885" t="b">
        <f>AND(CCData[[#This Row],[Date]]&gt;=Calculation!$E$3,CCData[[#This Row],[Date]]&lt;Calculation!$E$3+7)</f>
        <v>0</v>
      </c>
    </row>
    <row r="2886" spans="1:10">
      <c r="A2886" t="s">
        <v>2885</v>
      </c>
      <c r="B2886" s="2">
        <v>42055.451999999997</v>
      </c>
      <c r="C2886" s="3" t="s">
        <v>5010</v>
      </c>
      <c r="D2886" t="s">
        <v>5015</v>
      </c>
      <c r="E2886" t="s">
        <v>5018</v>
      </c>
      <c r="F2886" t="s">
        <v>5018</v>
      </c>
      <c r="G2886">
        <v>26</v>
      </c>
      <c r="H2886" s="5">
        <v>4.3135979136160862E-3</v>
      </c>
      <c r="I2886">
        <v>5</v>
      </c>
      <c r="J2886" t="b">
        <f>AND(CCData[[#This Row],[Date]]&gt;=Calculation!$E$3,CCData[[#This Row],[Date]]&lt;Calculation!$E$3+7)</f>
        <v>0</v>
      </c>
    </row>
    <row r="2887" spans="1:10">
      <c r="A2887" t="s">
        <v>2886</v>
      </c>
      <c r="B2887" s="2">
        <v>42055.451999999997</v>
      </c>
      <c r="C2887" s="3" t="s">
        <v>5003</v>
      </c>
      <c r="D2887" t="s">
        <v>5013</v>
      </c>
      <c r="E2887" t="s">
        <v>5018</v>
      </c>
      <c r="F2887" t="s">
        <v>5018</v>
      </c>
      <c r="G2887">
        <v>33</v>
      </c>
      <c r="H2887" s="5">
        <v>3.4660326299896351E-3</v>
      </c>
      <c r="I2887">
        <v>3</v>
      </c>
      <c r="J2887" t="b">
        <f>AND(CCData[[#This Row],[Date]]&gt;=Calculation!$E$3,CCData[[#This Row],[Date]]&lt;Calculation!$E$3+7)</f>
        <v>0</v>
      </c>
    </row>
    <row r="2888" spans="1:10">
      <c r="A2888" t="s">
        <v>2887</v>
      </c>
      <c r="B2888" s="2">
        <v>42055.459000000003</v>
      </c>
      <c r="C2888" s="3" t="s">
        <v>5007</v>
      </c>
      <c r="D2888" t="s">
        <v>5015</v>
      </c>
      <c r="E2888" t="s">
        <v>5019</v>
      </c>
      <c r="F2888" t="s">
        <v>5019</v>
      </c>
      <c r="G2888" t="s">
        <v>5022</v>
      </c>
      <c r="H2888" s="5" t="s">
        <v>5022</v>
      </c>
      <c r="I2888" t="s">
        <v>5022</v>
      </c>
      <c r="J2888" t="b">
        <f>AND(CCData[[#This Row],[Date]]&gt;=Calculation!$E$3,CCData[[#This Row],[Date]]&lt;Calculation!$E$3+7)</f>
        <v>0</v>
      </c>
    </row>
    <row r="2889" spans="1:10">
      <c r="A2889" t="s">
        <v>2888</v>
      </c>
      <c r="B2889" s="2">
        <v>42055.459000000003</v>
      </c>
      <c r="C2889" s="3" t="s">
        <v>5004</v>
      </c>
      <c r="D2889" t="s">
        <v>5012</v>
      </c>
      <c r="E2889" t="s">
        <v>5018</v>
      </c>
      <c r="F2889" t="s">
        <v>5018</v>
      </c>
      <c r="G2889">
        <v>122</v>
      </c>
      <c r="H2889" s="5">
        <v>1.4814956967501001E-3</v>
      </c>
      <c r="I2889">
        <v>3</v>
      </c>
      <c r="J2889" t="b">
        <f>AND(CCData[[#This Row],[Date]]&gt;=Calculation!$E$3,CCData[[#This Row],[Date]]&lt;Calculation!$E$3+7)</f>
        <v>0</v>
      </c>
    </row>
    <row r="2890" spans="1:10">
      <c r="A2890" t="s">
        <v>2889</v>
      </c>
      <c r="B2890" s="2">
        <v>42055.466</v>
      </c>
      <c r="C2890" s="3" t="s">
        <v>5009</v>
      </c>
      <c r="D2890" t="s">
        <v>5012</v>
      </c>
      <c r="E2890" t="s">
        <v>5019</v>
      </c>
      <c r="F2890" t="s">
        <v>5019</v>
      </c>
      <c r="G2890" t="s">
        <v>5022</v>
      </c>
      <c r="H2890" s="5" t="s">
        <v>5022</v>
      </c>
      <c r="I2890" t="s">
        <v>5022</v>
      </c>
      <c r="J2890" t="b">
        <f>AND(CCData[[#This Row],[Date]]&gt;=Calculation!$E$3,CCData[[#This Row],[Date]]&lt;Calculation!$E$3+7)</f>
        <v>0</v>
      </c>
    </row>
    <row r="2891" spans="1:10">
      <c r="A2891" t="s">
        <v>2890</v>
      </c>
      <c r="B2891" s="2">
        <v>42055.466</v>
      </c>
      <c r="C2891" s="3" t="s">
        <v>5009</v>
      </c>
      <c r="D2891" t="s">
        <v>5014</v>
      </c>
      <c r="E2891" t="s">
        <v>5018</v>
      </c>
      <c r="F2891" t="s">
        <v>5018</v>
      </c>
      <c r="G2891">
        <v>75</v>
      </c>
      <c r="H2891" s="5">
        <v>2.6129777758361547E-3</v>
      </c>
      <c r="I2891">
        <v>3</v>
      </c>
      <c r="J2891" t="b">
        <f>AND(CCData[[#This Row],[Date]]&gt;=Calculation!$E$3,CCData[[#This Row],[Date]]&lt;Calculation!$E$3+7)</f>
        <v>0</v>
      </c>
    </row>
    <row r="2892" spans="1:10">
      <c r="A2892" t="s">
        <v>2891</v>
      </c>
      <c r="B2892" s="2">
        <v>42055.472999999998</v>
      </c>
      <c r="C2892" s="3" t="s">
        <v>5009</v>
      </c>
      <c r="D2892" t="s">
        <v>5015</v>
      </c>
      <c r="E2892" t="s">
        <v>5018</v>
      </c>
      <c r="F2892" t="s">
        <v>5018</v>
      </c>
      <c r="G2892">
        <v>27</v>
      </c>
      <c r="H2892" s="5">
        <v>1.141112527154522E-3</v>
      </c>
      <c r="I2892">
        <v>4</v>
      </c>
      <c r="J2892" t="b">
        <f>AND(CCData[[#This Row],[Date]]&gt;=Calculation!$E$3,CCData[[#This Row],[Date]]&lt;Calculation!$E$3+7)</f>
        <v>0</v>
      </c>
    </row>
    <row r="2893" spans="1:10">
      <c r="A2893" t="s">
        <v>2892</v>
      </c>
      <c r="B2893" s="2">
        <v>42055.472999999998</v>
      </c>
      <c r="C2893" s="3" t="s">
        <v>5003</v>
      </c>
      <c r="D2893" t="s">
        <v>5012</v>
      </c>
      <c r="E2893" t="s">
        <v>5018</v>
      </c>
      <c r="F2893" t="s">
        <v>5018</v>
      </c>
      <c r="G2893">
        <v>37</v>
      </c>
      <c r="H2893" s="5">
        <v>4.0251942384323721E-3</v>
      </c>
      <c r="I2893">
        <v>3</v>
      </c>
      <c r="J2893" t="b">
        <f>AND(CCData[[#This Row],[Date]]&gt;=Calculation!$E$3,CCData[[#This Row],[Date]]&lt;Calculation!$E$3+7)</f>
        <v>0</v>
      </c>
    </row>
    <row r="2894" spans="1:10">
      <c r="A2894" t="s">
        <v>2893</v>
      </c>
      <c r="B2894" s="2">
        <v>42055.482000000004</v>
      </c>
      <c r="C2894" s="3" t="s">
        <v>5003</v>
      </c>
      <c r="D2894" t="s">
        <v>5015</v>
      </c>
      <c r="E2894" t="s">
        <v>5018</v>
      </c>
      <c r="F2894" t="s">
        <v>5018</v>
      </c>
      <c r="G2894">
        <v>24</v>
      </c>
      <c r="H2894" s="5">
        <v>1.6729691638532934E-3</v>
      </c>
      <c r="I2894">
        <v>3</v>
      </c>
      <c r="J2894" t="b">
        <f>AND(CCData[[#This Row],[Date]]&gt;=Calculation!$E$3,CCData[[#This Row],[Date]]&lt;Calculation!$E$3+7)</f>
        <v>0</v>
      </c>
    </row>
    <row r="2895" spans="1:10">
      <c r="A2895" t="s">
        <v>2894</v>
      </c>
      <c r="B2895" s="2">
        <v>42055.482000000004</v>
      </c>
      <c r="C2895" s="3" t="s">
        <v>5004</v>
      </c>
      <c r="D2895" t="s">
        <v>5016</v>
      </c>
      <c r="E2895" t="s">
        <v>5018</v>
      </c>
      <c r="F2895" t="s">
        <v>5018</v>
      </c>
      <c r="G2895">
        <v>70</v>
      </c>
      <c r="H2895" s="5">
        <v>3.727207940925088E-3</v>
      </c>
      <c r="I2895">
        <v>1</v>
      </c>
      <c r="J2895" t="b">
        <f>AND(CCData[[#This Row],[Date]]&gt;=Calculation!$E$3,CCData[[#This Row],[Date]]&lt;Calculation!$E$3+7)</f>
        <v>0</v>
      </c>
    </row>
    <row r="2896" spans="1:10">
      <c r="A2896" t="s">
        <v>2895</v>
      </c>
      <c r="B2896" s="2">
        <v>42055.487000000001</v>
      </c>
      <c r="C2896" s="3" t="s">
        <v>5004</v>
      </c>
      <c r="D2896" t="s">
        <v>5013</v>
      </c>
      <c r="E2896" t="s">
        <v>5018</v>
      </c>
      <c r="F2896" t="s">
        <v>5018</v>
      </c>
      <c r="G2896">
        <v>117</v>
      </c>
      <c r="H2896" s="5">
        <v>1.323213428229902E-3</v>
      </c>
      <c r="I2896">
        <v>4</v>
      </c>
      <c r="J2896" t="b">
        <f>AND(CCData[[#This Row],[Date]]&gt;=Calculation!$E$3,CCData[[#This Row],[Date]]&lt;Calculation!$E$3+7)</f>
        <v>0</v>
      </c>
    </row>
    <row r="2897" spans="1:10">
      <c r="A2897" t="s">
        <v>2896</v>
      </c>
      <c r="B2897" s="2">
        <v>42055.487000000001</v>
      </c>
      <c r="C2897" s="3" t="s">
        <v>5003</v>
      </c>
      <c r="D2897" t="s">
        <v>5014</v>
      </c>
      <c r="E2897" t="s">
        <v>5018</v>
      </c>
      <c r="F2897" t="s">
        <v>5018</v>
      </c>
      <c r="G2897">
        <v>15</v>
      </c>
      <c r="H2897" s="5">
        <v>3.2008936485045615E-3</v>
      </c>
      <c r="I2897">
        <v>1</v>
      </c>
      <c r="J2897" t="b">
        <f>AND(CCData[[#This Row],[Date]]&gt;=Calculation!$E$3,CCData[[#This Row],[Date]]&lt;Calculation!$E$3+7)</f>
        <v>0</v>
      </c>
    </row>
    <row r="2898" spans="1:10">
      <c r="A2898" t="s">
        <v>2897</v>
      </c>
      <c r="B2898" s="2">
        <v>42055.495999999999</v>
      </c>
      <c r="C2898" s="3" t="s">
        <v>5006</v>
      </c>
      <c r="D2898" t="s">
        <v>5016</v>
      </c>
      <c r="E2898" t="s">
        <v>5018</v>
      </c>
      <c r="F2898" t="s">
        <v>5018</v>
      </c>
      <c r="G2898">
        <v>20</v>
      </c>
      <c r="H2898" s="5">
        <v>2.4835381502624648E-3</v>
      </c>
      <c r="I2898">
        <v>3</v>
      </c>
      <c r="J2898" t="b">
        <f>AND(CCData[[#This Row],[Date]]&gt;=Calculation!$E$3,CCData[[#This Row],[Date]]&lt;Calculation!$E$3+7)</f>
        <v>0</v>
      </c>
    </row>
    <row r="2899" spans="1:10">
      <c r="A2899" t="s">
        <v>2898</v>
      </c>
      <c r="B2899" s="2">
        <v>42055.495999999999</v>
      </c>
      <c r="C2899" s="3" t="s">
        <v>5010</v>
      </c>
      <c r="D2899" t="s">
        <v>5016</v>
      </c>
      <c r="E2899" t="s">
        <v>5018</v>
      </c>
      <c r="F2899" t="s">
        <v>5018</v>
      </c>
      <c r="G2899">
        <v>36</v>
      </c>
      <c r="H2899" s="5">
        <v>2.9615111759815436E-3</v>
      </c>
      <c r="I2899">
        <v>2</v>
      </c>
      <c r="J2899" t="b">
        <f>AND(CCData[[#This Row],[Date]]&gt;=Calculation!$E$3,CCData[[#This Row],[Date]]&lt;Calculation!$E$3+7)</f>
        <v>0</v>
      </c>
    </row>
    <row r="2900" spans="1:10">
      <c r="A2900" t="s">
        <v>2899</v>
      </c>
      <c r="B2900" s="2">
        <v>42055.502</v>
      </c>
      <c r="C2900" s="3" t="s">
        <v>5003</v>
      </c>
      <c r="D2900" t="s">
        <v>5013</v>
      </c>
      <c r="E2900" t="s">
        <v>5018</v>
      </c>
      <c r="F2900" t="s">
        <v>5018</v>
      </c>
      <c r="G2900">
        <v>63</v>
      </c>
      <c r="H2900" s="5">
        <v>3.3256262084369183E-3</v>
      </c>
      <c r="I2900">
        <v>1</v>
      </c>
      <c r="J2900" t="b">
        <f>AND(CCData[[#This Row],[Date]]&gt;=Calculation!$E$3,CCData[[#This Row],[Date]]&lt;Calculation!$E$3+7)</f>
        <v>0</v>
      </c>
    </row>
    <row r="2901" spans="1:10">
      <c r="A2901" t="s">
        <v>2900</v>
      </c>
      <c r="B2901" s="2">
        <v>42055.502</v>
      </c>
      <c r="C2901" s="3" t="s">
        <v>5004</v>
      </c>
      <c r="D2901" t="s">
        <v>5014</v>
      </c>
      <c r="E2901" t="s">
        <v>5018</v>
      </c>
      <c r="F2901" t="s">
        <v>5018</v>
      </c>
      <c r="G2901">
        <v>20</v>
      </c>
      <c r="H2901" s="5">
        <v>4.4194744556811816E-3</v>
      </c>
      <c r="I2901">
        <v>3</v>
      </c>
      <c r="J2901" t="b">
        <f>AND(CCData[[#This Row],[Date]]&gt;=Calculation!$E$3,CCData[[#This Row],[Date]]&lt;Calculation!$E$3+7)</f>
        <v>0</v>
      </c>
    </row>
    <row r="2902" spans="1:10">
      <c r="A2902" t="s">
        <v>2901</v>
      </c>
      <c r="B2902" s="2">
        <v>42055.506999999998</v>
      </c>
      <c r="C2902" s="3" t="s">
        <v>5010</v>
      </c>
      <c r="D2902" t="s">
        <v>5012</v>
      </c>
      <c r="E2902" t="s">
        <v>5018</v>
      </c>
      <c r="F2902" t="s">
        <v>5019</v>
      </c>
      <c r="G2902">
        <v>115</v>
      </c>
      <c r="H2902" s="5">
        <v>3.8744250195608251E-3</v>
      </c>
      <c r="I2902">
        <v>4</v>
      </c>
      <c r="J2902" t="b">
        <f>AND(CCData[[#This Row],[Date]]&gt;=Calculation!$E$3,CCData[[#This Row],[Date]]&lt;Calculation!$E$3+7)</f>
        <v>0</v>
      </c>
    </row>
    <row r="2903" spans="1:10">
      <c r="A2903" t="s">
        <v>2902</v>
      </c>
      <c r="B2903" s="2">
        <v>42055.506999999998</v>
      </c>
      <c r="C2903" s="3" t="s">
        <v>5008</v>
      </c>
      <c r="D2903" t="s">
        <v>5012</v>
      </c>
      <c r="E2903" t="s">
        <v>5019</v>
      </c>
      <c r="F2903" t="s">
        <v>5019</v>
      </c>
      <c r="G2903" t="s">
        <v>5022</v>
      </c>
      <c r="H2903" s="5" t="s">
        <v>5022</v>
      </c>
      <c r="I2903" t="s">
        <v>5022</v>
      </c>
      <c r="J2903" t="b">
        <f>AND(CCData[[#This Row],[Date]]&gt;=Calculation!$E$3,CCData[[#This Row],[Date]]&lt;Calculation!$E$3+7)</f>
        <v>0</v>
      </c>
    </row>
    <row r="2904" spans="1:10">
      <c r="A2904" t="s">
        <v>2903</v>
      </c>
      <c r="B2904" s="2">
        <v>42055.517999999996</v>
      </c>
      <c r="C2904" s="3" t="s">
        <v>5010</v>
      </c>
      <c r="D2904" t="s">
        <v>5013</v>
      </c>
      <c r="E2904" t="s">
        <v>5018</v>
      </c>
      <c r="F2904" t="s">
        <v>5018</v>
      </c>
      <c r="G2904">
        <v>95</v>
      </c>
      <c r="H2904" s="5">
        <v>3.4477335304284283E-3</v>
      </c>
      <c r="I2904">
        <v>3</v>
      </c>
      <c r="J2904" t="b">
        <f>AND(CCData[[#This Row],[Date]]&gt;=Calculation!$E$3,CCData[[#This Row],[Date]]&lt;Calculation!$E$3+7)</f>
        <v>0</v>
      </c>
    </row>
    <row r="2905" spans="1:10">
      <c r="A2905" t="s">
        <v>2904</v>
      </c>
      <c r="B2905" s="2">
        <v>42055.517999999996</v>
      </c>
      <c r="C2905" s="3" t="s">
        <v>5004</v>
      </c>
      <c r="D2905" t="s">
        <v>5014</v>
      </c>
      <c r="E2905" t="s">
        <v>5018</v>
      </c>
      <c r="F2905" t="s">
        <v>5018</v>
      </c>
      <c r="G2905">
        <v>114</v>
      </c>
      <c r="H2905" s="5">
        <v>2.1595822332163891E-3</v>
      </c>
      <c r="I2905">
        <v>4</v>
      </c>
      <c r="J2905" t="b">
        <f>AND(CCData[[#This Row],[Date]]&gt;=Calculation!$E$3,CCData[[#This Row],[Date]]&lt;Calculation!$E$3+7)</f>
        <v>0</v>
      </c>
    </row>
    <row r="2906" spans="1:10">
      <c r="A2906" t="s">
        <v>2905</v>
      </c>
      <c r="B2906" s="2">
        <v>42055.531999999999</v>
      </c>
      <c r="C2906" s="3" t="s">
        <v>5009</v>
      </c>
      <c r="D2906" t="s">
        <v>5012</v>
      </c>
      <c r="E2906" t="s">
        <v>5018</v>
      </c>
      <c r="F2906" t="s">
        <v>5018</v>
      </c>
      <c r="G2906">
        <v>71</v>
      </c>
      <c r="H2906" s="5">
        <v>1.4023994756675888E-3</v>
      </c>
      <c r="I2906">
        <v>4</v>
      </c>
      <c r="J2906" t="b">
        <f>AND(CCData[[#This Row],[Date]]&gt;=Calculation!$E$3,CCData[[#This Row],[Date]]&lt;Calculation!$E$3+7)</f>
        <v>0</v>
      </c>
    </row>
    <row r="2907" spans="1:10">
      <c r="A2907" t="s">
        <v>2906</v>
      </c>
      <c r="B2907" s="2">
        <v>42055.531999999999</v>
      </c>
      <c r="C2907" s="3" t="s">
        <v>5005</v>
      </c>
      <c r="D2907" t="s">
        <v>5014</v>
      </c>
      <c r="E2907" t="s">
        <v>5018</v>
      </c>
      <c r="F2907" t="s">
        <v>5018</v>
      </c>
      <c r="G2907">
        <v>44</v>
      </c>
      <c r="H2907" s="5">
        <v>4.195205502310703E-3</v>
      </c>
      <c r="I2907">
        <v>1</v>
      </c>
      <c r="J2907" t="b">
        <f>AND(CCData[[#This Row],[Date]]&gt;=Calculation!$E$3,CCData[[#This Row],[Date]]&lt;Calculation!$E$3+7)</f>
        <v>0</v>
      </c>
    </row>
    <row r="2908" spans="1:10">
      <c r="A2908" t="s">
        <v>2907</v>
      </c>
      <c r="B2908" s="2">
        <v>42055.536</v>
      </c>
      <c r="C2908" s="3" t="s">
        <v>5006</v>
      </c>
      <c r="D2908" t="s">
        <v>5013</v>
      </c>
      <c r="E2908" t="s">
        <v>5019</v>
      </c>
      <c r="F2908" t="s">
        <v>5019</v>
      </c>
      <c r="G2908" t="s">
        <v>5022</v>
      </c>
      <c r="H2908" s="5" t="s">
        <v>5022</v>
      </c>
      <c r="I2908" t="s">
        <v>5022</v>
      </c>
      <c r="J2908" t="b">
        <f>AND(CCData[[#This Row],[Date]]&gt;=Calculation!$E$3,CCData[[#This Row],[Date]]&lt;Calculation!$E$3+7)</f>
        <v>0</v>
      </c>
    </row>
    <row r="2909" spans="1:10">
      <c r="A2909" t="s">
        <v>2908</v>
      </c>
      <c r="B2909" s="2">
        <v>42055.536</v>
      </c>
      <c r="C2909" s="3" t="s">
        <v>5004</v>
      </c>
      <c r="D2909" t="s">
        <v>5013</v>
      </c>
      <c r="E2909" t="s">
        <v>5019</v>
      </c>
      <c r="F2909" t="s">
        <v>5019</v>
      </c>
      <c r="G2909" t="s">
        <v>5022</v>
      </c>
      <c r="H2909" s="5" t="s">
        <v>5022</v>
      </c>
      <c r="I2909" t="s">
        <v>5022</v>
      </c>
      <c r="J2909" t="b">
        <f>AND(CCData[[#This Row],[Date]]&gt;=Calculation!$E$3,CCData[[#This Row],[Date]]&lt;Calculation!$E$3+7)</f>
        <v>0</v>
      </c>
    </row>
    <row r="2910" spans="1:10">
      <c r="A2910" t="s">
        <v>2909</v>
      </c>
      <c r="B2910" s="2">
        <v>42055.565999999999</v>
      </c>
      <c r="C2910" s="3" t="s">
        <v>5005</v>
      </c>
      <c r="D2910" t="s">
        <v>5014</v>
      </c>
      <c r="E2910" t="s">
        <v>5018</v>
      </c>
      <c r="F2910" t="s">
        <v>5018</v>
      </c>
      <c r="G2910">
        <v>24</v>
      </c>
      <c r="H2910" s="5">
        <v>1.3235525477591091E-3</v>
      </c>
      <c r="I2910">
        <v>3</v>
      </c>
      <c r="J2910" t="b">
        <f>AND(CCData[[#This Row],[Date]]&gt;=Calculation!$E$3,CCData[[#This Row],[Date]]&lt;Calculation!$E$3+7)</f>
        <v>0</v>
      </c>
    </row>
    <row r="2911" spans="1:10">
      <c r="A2911" t="s">
        <v>2910</v>
      </c>
      <c r="B2911" s="2">
        <v>42055.565999999999</v>
      </c>
      <c r="C2911" s="3" t="s">
        <v>5006</v>
      </c>
      <c r="D2911" t="s">
        <v>5016</v>
      </c>
      <c r="E2911" t="s">
        <v>5019</v>
      </c>
      <c r="F2911" t="s">
        <v>5019</v>
      </c>
      <c r="G2911" t="s">
        <v>5022</v>
      </c>
      <c r="H2911" s="5" t="s">
        <v>5022</v>
      </c>
      <c r="I2911" t="s">
        <v>5022</v>
      </c>
      <c r="J2911" t="b">
        <f>AND(CCData[[#This Row],[Date]]&gt;=Calculation!$E$3,CCData[[#This Row],[Date]]&lt;Calculation!$E$3+7)</f>
        <v>0</v>
      </c>
    </row>
    <row r="2912" spans="1:10">
      <c r="A2912" t="s">
        <v>2911</v>
      </c>
      <c r="B2912" s="2">
        <v>42055.580999999998</v>
      </c>
      <c r="C2912" s="3" t="s">
        <v>5010</v>
      </c>
      <c r="D2912" t="s">
        <v>5012</v>
      </c>
      <c r="E2912" t="s">
        <v>5018</v>
      </c>
      <c r="F2912" t="s">
        <v>5018</v>
      </c>
      <c r="G2912">
        <v>70</v>
      </c>
      <c r="H2912" s="5">
        <v>2.0663658114935162E-3</v>
      </c>
      <c r="I2912">
        <v>3</v>
      </c>
      <c r="J2912" t="b">
        <f>AND(CCData[[#This Row],[Date]]&gt;=Calculation!$E$3,CCData[[#This Row],[Date]]&lt;Calculation!$E$3+7)</f>
        <v>0</v>
      </c>
    </row>
    <row r="2913" spans="1:10">
      <c r="A2913" t="s">
        <v>2912</v>
      </c>
      <c r="B2913" s="2">
        <v>42055.580999999998</v>
      </c>
      <c r="C2913" s="3" t="s">
        <v>5007</v>
      </c>
      <c r="D2913" t="s">
        <v>5016</v>
      </c>
      <c r="E2913" t="s">
        <v>5019</v>
      </c>
      <c r="F2913" t="s">
        <v>5019</v>
      </c>
      <c r="G2913" t="s">
        <v>5022</v>
      </c>
      <c r="H2913" s="5" t="s">
        <v>5022</v>
      </c>
      <c r="I2913" t="s">
        <v>5022</v>
      </c>
      <c r="J2913" t="b">
        <f>AND(CCData[[#This Row],[Date]]&gt;=Calculation!$E$3,CCData[[#This Row],[Date]]&lt;Calculation!$E$3+7)</f>
        <v>0</v>
      </c>
    </row>
    <row r="2914" spans="1:10">
      <c r="A2914" t="s">
        <v>2913</v>
      </c>
      <c r="B2914" s="2">
        <v>42055.593000000001</v>
      </c>
      <c r="C2914" s="3" t="s">
        <v>5010</v>
      </c>
      <c r="D2914" t="s">
        <v>5015</v>
      </c>
      <c r="E2914" t="s">
        <v>5018</v>
      </c>
      <c r="F2914" t="s">
        <v>5018</v>
      </c>
      <c r="G2914">
        <v>33</v>
      </c>
      <c r="H2914" s="5">
        <v>4.6153426888840822E-4</v>
      </c>
      <c r="I2914">
        <v>1</v>
      </c>
      <c r="J2914" t="b">
        <f>AND(CCData[[#This Row],[Date]]&gt;=Calculation!$E$3,CCData[[#This Row],[Date]]&lt;Calculation!$E$3+7)</f>
        <v>0</v>
      </c>
    </row>
    <row r="2915" spans="1:10">
      <c r="A2915" t="s">
        <v>2914</v>
      </c>
      <c r="B2915" s="2">
        <v>42055.593000000001</v>
      </c>
      <c r="C2915" s="3" t="s">
        <v>5003</v>
      </c>
      <c r="D2915" t="s">
        <v>5012</v>
      </c>
      <c r="E2915" t="s">
        <v>5019</v>
      </c>
      <c r="F2915" t="s">
        <v>5019</v>
      </c>
      <c r="G2915" t="s">
        <v>5022</v>
      </c>
      <c r="H2915" s="5" t="s">
        <v>5022</v>
      </c>
      <c r="I2915" t="s">
        <v>5022</v>
      </c>
      <c r="J2915" t="b">
        <f>AND(CCData[[#This Row],[Date]]&gt;=Calculation!$E$3,CCData[[#This Row],[Date]]&lt;Calculation!$E$3+7)</f>
        <v>0</v>
      </c>
    </row>
    <row r="2916" spans="1:10">
      <c r="A2916" t="s">
        <v>2915</v>
      </c>
      <c r="B2916" s="2">
        <v>42055.603000000003</v>
      </c>
      <c r="C2916" s="3" t="s">
        <v>5006</v>
      </c>
      <c r="D2916" t="s">
        <v>5015</v>
      </c>
      <c r="E2916" t="s">
        <v>5018</v>
      </c>
      <c r="F2916" t="s">
        <v>5019</v>
      </c>
      <c r="G2916">
        <v>15</v>
      </c>
      <c r="H2916" s="5">
        <v>3.8387432940350354E-3</v>
      </c>
      <c r="I2916">
        <v>1</v>
      </c>
      <c r="J2916" t="b">
        <f>AND(CCData[[#This Row],[Date]]&gt;=Calculation!$E$3,CCData[[#This Row],[Date]]&lt;Calculation!$E$3+7)</f>
        <v>0</v>
      </c>
    </row>
    <row r="2917" spans="1:10">
      <c r="A2917" t="s">
        <v>2916</v>
      </c>
      <c r="B2917" s="2">
        <v>42055.603000000003</v>
      </c>
      <c r="C2917" s="3" t="s">
        <v>5008</v>
      </c>
      <c r="D2917" t="s">
        <v>5016</v>
      </c>
      <c r="E2917" t="s">
        <v>5018</v>
      </c>
      <c r="F2917" t="s">
        <v>5018</v>
      </c>
      <c r="G2917">
        <v>103</v>
      </c>
      <c r="H2917" s="5">
        <v>3.4225857599630674E-3</v>
      </c>
      <c r="I2917">
        <v>4</v>
      </c>
      <c r="J2917" t="b">
        <f>AND(CCData[[#This Row],[Date]]&gt;=Calculation!$E$3,CCData[[#This Row],[Date]]&lt;Calculation!$E$3+7)</f>
        <v>0</v>
      </c>
    </row>
    <row r="2918" spans="1:10">
      <c r="A2918" t="s">
        <v>2917</v>
      </c>
      <c r="B2918" s="2">
        <v>42055.63</v>
      </c>
      <c r="C2918" s="3" t="s">
        <v>5009</v>
      </c>
      <c r="D2918" t="s">
        <v>5012</v>
      </c>
      <c r="E2918" t="s">
        <v>5018</v>
      </c>
      <c r="F2918" t="s">
        <v>5018</v>
      </c>
      <c r="G2918">
        <v>61</v>
      </c>
      <c r="H2918" s="5">
        <v>4.0481630101883177E-3</v>
      </c>
      <c r="I2918">
        <v>5</v>
      </c>
      <c r="J2918" t="b">
        <f>AND(CCData[[#This Row],[Date]]&gt;=Calculation!$E$3,CCData[[#This Row],[Date]]&lt;Calculation!$E$3+7)</f>
        <v>0</v>
      </c>
    </row>
    <row r="2919" spans="1:10">
      <c r="A2919" t="s">
        <v>2918</v>
      </c>
      <c r="B2919" s="2">
        <v>42055.63</v>
      </c>
      <c r="C2919" s="3" t="s">
        <v>5006</v>
      </c>
      <c r="D2919" t="s">
        <v>5015</v>
      </c>
      <c r="E2919" t="s">
        <v>5019</v>
      </c>
      <c r="F2919" t="s">
        <v>5019</v>
      </c>
      <c r="G2919" t="s">
        <v>5022</v>
      </c>
      <c r="H2919" s="5" t="s">
        <v>5022</v>
      </c>
      <c r="I2919" t="s">
        <v>5022</v>
      </c>
      <c r="J2919" t="b">
        <f>AND(CCData[[#This Row],[Date]]&gt;=Calculation!$E$3,CCData[[#This Row],[Date]]&lt;Calculation!$E$3+7)</f>
        <v>0</v>
      </c>
    </row>
    <row r="2920" spans="1:10">
      <c r="A2920" t="s">
        <v>2919</v>
      </c>
      <c r="B2920" s="2">
        <v>42055.633000000002</v>
      </c>
      <c r="C2920" s="3" t="s">
        <v>5006</v>
      </c>
      <c r="D2920" t="s">
        <v>5012</v>
      </c>
      <c r="E2920" t="s">
        <v>5018</v>
      </c>
      <c r="F2920" t="s">
        <v>5018</v>
      </c>
      <c r="G2920">
        <v>32</v>
      </c>
      <c r="H2920" s="5">
        <v>9.787675449174733E-4</v>
      </c>
      <c r="I2920">
        <v>4</v>
      </c>
      <c r="J2920" t="b">
        <f>AND(CCData[[#This Row],[Date]]&gt;=Calculation!$E$3,CCData[[#This Row],[Date]]&lt;Calculation!$E$3+7)</f>
        <v>0</v>
      </c>
    </row>
    <row r="2921" spans="1:10">
      <c r="A2921" t="s">
        <v>2920</v>
      </c>
      <c r="B2921" s="2">
        <v>42055.633000000002</v>
      </c>
      <c r="C2921" s="3" t="s">
        <v>5010</v>
      </c>
      <c r="D2921" t="s">
        <v>5015</v>
      </c>
      <c r="E2921" t="s">
        <v>5018</v>
      </c>
      <c r="F2921" t="s">
        <v>5018</v>
      </c>
      <c r="G2921">
        <v>33</v>
      </c>
      <c r="H2921" s="5">
        <v>1.1832618875741198E-3</v>
      </c>
      <c r="I2921">
        <v>4</v>
      </c>
      <c r="J2921" t="b">
        <f>AND(CCData[[#This Row],[Date]]&gt;=Calculation!$E$3,CCData[[#This Row],[Date]]&lt;Calculation!$E$3+7)</f>
        <v>0</v>
      </c>
    </row>
    <row r="2922" spans="1:10">
      <c r="A2922" t="s">
        <v>2921</v>
      </c>
      <c r="B2922" s="2">
        <v>42055.633999999998</v>
      </c>
      <c r="C2922" s="3" t="s">
        <v>5004</v>
      </c>
      <c r="D2922" t="s">
        <v>5014</v>
      </c>
      <c r="E2922" t="s">
        <v>5018</v>
      </c>
      <c r="F2922" t="s">
        <v>5018</v>
      </c>
      <c r="G2922">
        <v>30</v>
      </c>
      <c r="H2922" s="5">
        <v>4.0559103332579961E-3</v>
      </c>
      <c r="I2922">
        <v>3</v>
      </c>
      <c r="J2922" t="b">
        <f>AND(CCData[[#This Row],[Date]]&gt;=Calculation!$E$3,CCData[[#This Row],[Date]]&lt;Calculation!$E$3+7)</f>
        <v>0</v>
      </c>
    </row>
    <row r="2923" spans="1:10">
      <c r="A2923" t="s">
        <v>2922</v>
      </c>
      <c r="B2923" s="2">
        <v>42055.633999999998</v>
      </c>
      <c r="C2923" s="3" t="s">
        <v>5005</v>
      </c>
      <c r="D2923" t="s">
        <v>5016</v>
      </c>
      <c r="E2923" t="s">
        <v>5018</v>
      </c>
      <c r="F2923" t="s">
        <v>5018</v>
      </c>
      <c r="G2923">
        <v>36</v>
      </c>
      <c r="H2923" s="5">
        <v>3.7730777855361063E-3</v>
      </c>
      <c r="I2923">
        <v>4</v>
      </c>
      <c r="J2923" t="b">
        <f>AND(CCData[[#This Row],[Date]]&gt;=Calculation!$E$3,CCData[[#This Row],[Date]]&lt;Calculation!$E$3+7)</f>
        <v>0</v>
      </c>
    </row>
    <row r="2924" spans="1:10">
      <c r="A2924" t="s">
        <v>2923</v>
      </c>
      <c r="B2924" s="2">
        <v>42055.64</v>
      </c>
      <c r="C2924" s="3" t="s">
        <v>5010</v>
      </c>
      <c r="D2924" t="s">
        <v>5013</v>
      </c>
      <c r="E2924" t="s">
        <v>5018</v>
      </c>
      <c r="F2924" t="s">
        <v>5018</v>
      </c>
      <c r="G2924">
        <v>16</v>
      </c>
      <c r="H2924" s="5">
        <v>3.0043358726588518E-3</v>
      </c>
      <c r="I2924">
        <v>4</v>
      </c>
      <c r="J2924" t="b">
        <f>AND(CCData[[#This Row],[Date]]&gt;=Calculation!$E$3,CCData[[#This Row],[Date]]&lt;Calculation!$E$3+7)</f>
        <v>0</v>
      </c>
    </row>
    <row r="2925" spans="1:10">
      <c r="A2925" t="s">
        <v>2924</v>
      </c>
      <c r="B2925" s="2">
        <v>42055.64</v>
      </c>
      <c r="C2925" s="3" t="s">
        <v>5005</v>
      </c>
      <c r="D2925" t="s">
        <v>5013</v>
      </c>
      <c r="E2925" t="s">
        <v>5018</v>
      </c>
      <c r="F2925" t="s">
        <v>5018</v>
      </c>
      <c r="G2925">
        <v>60</v>
      </c>
      <c r="H2925" s="5">
        <v>3.0867572823456415E-3</v>
      </c>
      <c r="I2925">
        <v>3</v>
      </c>
      <c r="J2925" t="b">
        <f>AND(CCData[[#This Row],[Date]]&gt;=Calculation!$E$3,CCData[[#This Row],[Date]]&lt;Calculation!$E$3+7)</f>
        <v>0</v>
      </c>
    </row>
    <row r="2926" spans="1:10">
      <c r="A2926" t="s">
        <v>2925</v>
      </c>
      <c r="B2926" s="2">
        <v>42055.661999999997</v>
      </c>
      <c r="C2926" s="3" t="s">
        <v>5005</v>
      </c>
      <c r="D2926" t="s">
        <v>5013</v>
      </c>
      <c r="E2926" t="s">
        <v>5019</v>
      </c>
      <c r="F2926" t="s">
        <v>5019</v>
      </c>
      <c r="G2926" t="s">
        <v>5022</v>
      </c>
      <c r="H2926" s="5" t="s">
        <v>5022</v>
      </c>
      <c r="I2926" t="s">
        <v>5022</v>
      </c>
      <c r="J2926" t="b">
        <f>AND(CCData[[#This Row],[Date]]&gt;=Calculation!$E$3,CCData[[#This Row],[Date]]&lt;Calculation!$E$3+7)</f>
        <v>0</v>
      </c>
    </row>
    <row r="2927" spans="1:10">
      <c r="A2927" t="s">
        <v>2926</v>
      </c>
      <c r="B2927" s="2">
        <v>42055.661999999997</v>
      </c>
      <c r="C2927" s="3" t="s">
        <v>5005</v>
      </c>
      <c r="D2927" t="s">
        <v>5012</v>
      </c>
      <c r="E2927" t="s">
        <v>5018</v>
      </c>
      <c r="F2927" t="s">
        <v>5018</v>
      </c>
      <c r="G2927">
        <v>42</v>
      </c>
      <c r="H2927" s="5">
        <v>3.4204681149552249E-3</v>
      </c>
      <c r="I2927">
        <v>4</v>
      </c>
      <c r="J2927" t="b">
        <f>AND(CCData[[#This Row],[Date]]&gt;=Calculation!$E$3,CCData[[#This Row],[Date]]&lt;Calculation!$E$3+7)</f>
        <v>0</v>
      </c>
    </row>
    <row r="2928" spans="1:10">
      <c r="A2928" t="s">
        <v>2927</v>
      </c>
      <c r="B2928" s="2">
        <v>42055.667000000001</v>
      </c>
      <c r="C2928" s="3" t="s">
        <v>5010</v>
      </c>
      <c r="D2928" t="s">
        <v>5012</v>
      </c>
      <c r="E2928" t="s">
        <v>5018</v>
      </c>
      <c r="F2928" t="s">
        <v>5018</v>
      </c>
      <c r="G2928">
        <v>58</v>
      </c>
      <c r="H2928" s="5">
        <v>3.9458195323885297E-3</v>
      </c>
      <c r="I2928">
        <v>1</v>
      </c>
      <c r="J2928" t="b">
        <f>AND(CCData[[#This Row],[Date]]&gt;=Calculation!$E$3,CCData[[#This Row],[Date]]&lt;Calculation!$E$3+7)</f>
        <v>0</v>
      </c>
    </row>
    <row r="2929" spans="1:10">
      <c r="A2929" t="s">
        <v>2928</v>
      </c>
      <c r="B2929" s="2">
        <v>42055.667000000001</v>
      </c>
      <c r="C2929" s="3" t="s">
        <v>5006</v>
      </c>
      <c r="D2929" t="s">
        <v>5014</v>
      </c>
      <c r="E2929" t="s">
        <v>5018</v>
      </c>
      <c r="F2929" t="s">
        <v>5019</v>
      </c>
      <c r="G2929">
        <v>44</v>
      </c>
      <c r="H2929" s="5">
        <v>1.5929054501968389E-3</v>
      </c>
      <c r="I2929">
        <v>1</v>
      </c>
      <c r="J2929" t="b">
        <f>AND(CCData[[#This Row],[Date]]&gt;=Calculation!$E$3,CCData[[#This Row],[Date]]&lt;Calculation!$E$3+7)</f>
        <v>0</v>
      </c>
    </row>
    <row r="2930" spans="1:10">
      <c r="A2930" t="s">
        <v>2929</v>
      </c>
      <c r="B2930" s="2">
        <v>42055.673999999999</v>
      </c>
      <c r="C2930" s="3" t="s">
        <v>5009</v>
      </c>
      <c r="D2930" t="s">
        <v>5016</v>
      </c>
      <c r="E2930" t="s">
        <v>5018</v>
      </c>
      <c r="F2930" t="s">
        <v>5019</v>
      </c>
      <c r="G2930">
        <v>72</v>
      </c>
      <c r="H2930" s="5">
        <v>1.7726490182564114E-3</v>
      </c>
      <c r="I2930">
        <v>1</v>
      </c>
      <c r="J2930" t="b">
        <f>AND(CCData[[#This Row],[Date]]&gt;=Calculation!$E$3,CCData[[#This Row],[Date]]&lt;Calculation!$E$3+7)</f>
        <v>0</v>
      </c>
    </row>
    <row r="2931" spans="1:10">
      <c r="A2931" t="s">
        <v>2930</v>
      </c>
      <c r="B2931" s="2">
        <v>42055.673999999999</v>
      </c>
      <c r="C2931" s="3" t="s">
        <v>5005</v>
      </c>
      <c r="D2931" t="s">
        <v>5016</v>
      </c>
      <c r="E2931" t="s">
        <v>5018</v>
      </c>
      <c r="F2931" t="s">
        <v>5018</v>
      </c>
      <c r="G2931">
        <v>13</v>
      </c>
      <c r="H2931" s="5">
        <v>2.7463114067363577E-3</v>
      </c>
      <c r="I2931">
        <v>4</v>
      </c>
      <c r="J2931" t="b">
        <f>AND(CCData[[#This Row],[Date]]&gt;=Calculation!$E$3,CCData[[#This Row],[Date]]&lt;Calculation!$E$3+7)</f>
        <v>0</v>
      </c>
    </row>
    <row r="2932" spans="1:10">
      <c r="A2932" t="s">
        <v>2931</v>
      </c>
      <c r="B2932" s="2">
        <v>42055.677000000003</v>
      </c>
      <c r="C2932" s="3" t="s">
        <v>5007</v>
      </c>
      <c r="D2932" t="s">
        <v>5016</v>
      </c>
      <c r="E2932" t="s">
        <v>5018</v>
      </c>
      <c r="F2932" t="s">
        <v>5018</v>
      </c>
      <c r="G2932">
        <v>113</v>
      </c>
      <c r="H2932" s="5">
        <v>2.443321224478164E-3</v>
      </c>
      <c r="I2932">
        <v>4</v>
      </c>
      <c r="J2932" t="b">
        <f>AND(CCData[[#This Row],[Date]]&gt;=Calculation!$E$3,CCData[[#This Row],[Date]]&lt;Calculation!$E$3+7)</f>
        <v>0</v>
      </c>
    </row>
    <row r="2933" spans="1:10">
      <c r="A2933" t="s">
        <v>2932</v>
      </c>
      <c r="B2933" s="2">
        <v>42055.677000000003</v>
      </c>
      <c r="C2933" s="3" t="s">
        <v>5008</v>
      </c>
      <c r="D2933" t="s">
        <v>5016</v>
      </c>
      <c r="E2933" t="s">
        <v>5019</v>
      </c>
      <c r="F2933" t="s">
        <v>5019</v>
      </c>
      <c r="G2933" t="s">
        <v>5022</v>
      </c>
      <c r="H2933" s="5" t="s">
        <v>5022</v>
      </c>
      <c r="I2933" t="s">
        <v>5022</v>
      </c>
      <c r="J2933" t="b">
        <f>AND(CCData[[#This Row],[Date]]&gt;=Calculation!$E$3,CCData[[#This Row],[Date]]&lt;Calculation!$E$3+7)</f>
        <v>0</v>
      </c>
    </row>
    <row r="2934" spans="1:10">
      <c r="A2934" t="s">
        <v>2933</v>
      </c>
      <c r="B2934" s="2">
        <v>42055.678</v>
      </c>
      <c r="C2934" s="3" t="s">
        <v>5006</v>
      </c>
      <c r="D2934" t="s">
        <v>5012</v>
      </c>
      <c r="E2934" t="s">
        <v>5018</v>
      </c>
      <c r="F2934" t="s">
        <v>5018</v>
      </c>
      <c r="G2934">
        <v>51</v>
      </c>
      <c r="H2934" s="5">
        <v>4.5164757013183938E-3</v>
      </c>
      <c r="I2934">
        <v>4</v>
      </c>
      <c r="J2934" t="b">
        <f>AND(CCData[[#This Row],[Date]]&gt;=Calculation!$E$3,CCData[[#This Row],[Date]]&lt;Calculation!$E$3+7)</f>
        <v>0</v>
      </c>
    </row>
    <row r="2935" spans="1:10">
      <c r="A2935" t="s">
        <v>2934</v>
      </c>
      <c r="B2935" s="2">
        <v>42055.678</v>
      </c>
      <c r="C2935" s="3" t="s">
        <v>5006</v>
      </c>
      <c r="D2935" t="s">
        <v>5012</v>
      </c>
      <c r="E2935" t="s">
        <v>5018</v>
      </c>
      <c r="F2935" t="s">
        <v>5019</v>
      </c>
      <c r="G2935">
        <v>85</v>
      </c>
      <c r="H2935" s="5">
        <v>3.6299386370304853E-3</v>
      </c>
      <c r="I2935">
        <v>1</v>
      </c>
      <c r="J2935" t="b">
        <f>AND(CCData[[#This Row],[Date]]&gt;=Calculation!$E$3,CCData[[#This Row],[Date]]&lt;Calculation!$E$3+7)</f>
        <v>0</v>
      </c>
    </row>
    <row r="2936" spans="1:10">
      <c r="A2936" t="s">
        <v>2935</v>
      </c>
      <c r="B2936" s="2">
        <v>42055.688999999998</v>
      </c>
      <c r="C2936" s="3" t="s">
        <v>5005</v>
      </c>
      <c r="D2936" t="s">
        <v>5014</v>
      </c>
      <c r="E2936" t="s">
        <v>5018</v>
      </c>
      <c r="F2936" t="s">
        <v>5019</v>
      </c>
      <c r="G2936">
        <v>27</v>
      </c>
      <c r="H2936" s="5">
        <v>4.4454272514487083E-3</v>
      </c>
      <c r="I2936">
        <v>4</v>
      </c>
      <c r="J2936" t="b">
        <f>AND(CCData[[#This Row],[Date]]&gt;=Calculation!$E$3,CCData[[#This Row],[Date]]&lt;Calculation!$E$3+7)</f>
        <v>0</v>
      </c>
    </row>
    <row r="2937" spans="1:10">
      <c r="A2937" t="s">
        <v>2936</v>
      </c>
      <c r="B2937" s="2">
        <v>42055.688999999998</v>
      </c>
      <c r="C2937" s="3" t="s">
        <v>5010</v>
      </c>
      <c r="D2937" t="s">
        <v>5012</v>
      </c>
      <c r="E2937" t="s">
        <v>5018</v>
      </c>
      <c r="F2937" t="s">
        <v>5018</v>
      </c>
      <c r="G2937">
        <v>75</v>
      </c>
      <c r="H2937" s="5">
        <v>2.3707403666944973E-3</v>
      </c>
      <c r="I2937">
        <v>3</v>
      </c>
      <c r="J2937" t="b">
        <f>AND(CCData[[#This Row],[Date]]&gt;=Calculation!$E$3,CCData[[#This Row],[Date]]&lt;Calculation!$E$3+7)</f>
        <v>0</v>
      </c>
    </row>
    <row r="2938" spans="1:10">
      <c r="A2938" t="s">
        <v>2937</v>
      </c>
      <c r="B2938" s="2">
        <v>42055.703000000001</v>
      </c>
      <c r="C2938" s="3" t="s">
        <v>5007</v>
      </c>
      <c r="D2938" t="s">
        <v>5012</v>
      </c>
      <c r="E2938" t="s">
        <v>5018</v>
      </c>
      <c r="F2938" t="s">
        <v>5018</v>
      </c>
      <c r="G2938">
        <v>63</v>
      </c>
      <c r="H2938" s="5">
        <v>3.8556414723554004E-3</v>
      </c>
      <c r="I2938">
        <v>2</v>
      </c>
      <c r="J2938" t="b">
        <f>AND(CCData[[#This Row],[Date]]&gt;=Calculation!$E$3,CCData[[#This Row],[Date]]&lt;Calculation!$E$3+7)</f>
        <v>0</v>
      </c>
    </row>
    <row r="2939" spans="1:10">
      <c r="A2939" t="s">
        <v>2938</v>
      </c>
      <c r="B2939" s="2">
        <v>42055.703000000001</v>
      </c>
      <c r="C2939" s="3" t="s">
        <v>5010</v>
      </c>
      <c r="D2939" t="s">
        <v>5015</v>
      </c>
      <c r="E2939" t="s">
        <v>5019</v>
      </c>
      <c r="F2939" t="s">
        <v>5019</v>
      </c>
      <c r="G2939" t="s">
        <v>5022</v>
      </c>
      <c r="H2939" s="5" t="s">
        <v>5022</v>
      </c>
      <c r="I2939" t="s">
        <v>5022</v>
      </c>
      <c r="J2939" t="b">
        <f>AND(CCData[[#This Row],[Date]]&gt;=Calculation!$E$3,CCData[[#This Row],[Date]]&lt;Calculation!$E$3+7)</f>
        <v>0</v>
      </c>
    </row>
    <row r="2940" spans="1:10">
      <c r="A2940" t="s">
        <v>2939</v>
      </c>
      <c r="B2940" s="2">
        <v>42055.726000000002</v>
      </c>
      <c r="C2940" s="3" t="s">
        <v>5003</v>
      </c>
      <c r="D2940" t="s">
        <v>5014</v>
      </c>
      <c r="E2940" t="s">
        <v>5018</v>
      </c>
      <c r="F2940" t="s">
        <v>5018</v>
      </c>
      <c r="G2940">
        <v>22</v>
      </c>
      <c r="H2940" s="5">
        <v>5.8674089940758192E-4</v>
      </c>
      <c r="I2940">
        <v>3</v>
      </c>
      <c r="J2940" t="b">
        <f>AND(CCData[[#This Row],[Date]]&gt;=Calculation!$E$3,CCData[[#This Row],[Date]]&lt;Calculation!$E$3+7)</f>
        <v>0</v>
      </c>
    </row>
    <row r="2941" spans="1:10">
      <c r="A2941" t="s">
        <v>2940</v>
      </c>
      <c r="B2941" s="2">
        <v>42055.726000000002</v>
      </c>
      <c r="C2941" s="3" t="s">
        <v>5004</v>
      </c>
      <c r="D2941" t="s">
        <v>5012</v>
      </c>
      <c r="E2941" t="s">
        <v>5019</v>
      </c>
      <c r="F2941" t="s">
        <v>5019</v>
      </c>
      <c r="G2941" t="s">
        <v>5022</v>
      </c>
      <c r="H2941" s="5" t="s">
        <v>5022</v>
      </c>
      <c r="I2941" t="s">
        <v>5022</v>
      </c>
      <c r="J2941" t="b">
        <f>AND(CCData[[#This Row],[Date]]&gt;=Calculation!$E$3,CCData[[#This Row],[Date]]&lt;Calculation!$E$3+7)</f>
        <v>0</v>
      </c>
    </row>
    <row r="2942" spans="1:10">
      <c r="A2942" t="s">
        <v>2941</v>
      </c>
      <c r="B2942" s="2">
        <v>42055.748</v>
      </c>
      <c r="C2942" s="3" t="s">
        <v>5005</v>
      </c>
      <c r="D2942" t="s">
        <v>5015</v>
      </c>
      <c r="E2942" t="s">
        <v>5018</v>
      </c>
      <c r="F2942" t="s">
        <v>5019</v>
      </c>
      <c r="G2942">
        <v>106</v>
      </c>
      <c r="H2942" s="5">
        <v>2.6050379220052479E-3</v>
      </c>
      <c r="I2942">
        <v>3</v>
      </c>
      <c r="J2942" t="b">
        <f>AND(CCData[[#This Row],[Date]]&gt;=Calculation!$E$3,CCData[[#This Row],[Date]]&lt;Calculation!$E$3+7)</f>
        <v>0</v>
      </c>
    </row>
    <row r="2943" spans="1:10">
      <c r="A2943" t="s">
        <v>2942</v>
      </c>
      <c r="B2943" s="2">
        <v>42055.748</v>
      </c>
      <c r="C2943" s="3" t="s">
        <v>5006</v>
      </c>
      <c r="D2943" t="s">
        <v>5016</v>
      </c>
      <c r="E2943" t="s">
        <v>5018</v>
      </c>
      <c r="F2943" t="s">
        <v>5018</v>
      </c>
      <c r="G2943">
        <v>86</v>
      </c>
      <c r="H2943" s="5">
        <v>1.8516344248937216E-3</v>
      </c>
      <c r="I2943">
        <v>4</v>
      </c>
      <c r="J2943" t="b">
        <f>AND(CCData[[#This Row],[Date]]&gt;=Calculation!$E$3,CCData[[#This Row],[Date]]&lt;Calculation!$E$3+7)</f>
        <v>0</v>
      </c>
    </row>
    <row r="2944" spans="1:10">
      <c r="A2944" t="s">
        <v>2943</v>
      </c>
      <c r="B2944" s="2">
        <v>42056.415000000001</v>
      </c>
      <c r="C2944" s="3" t="s">
        <v>5005</v>
      </c>
      <c r="D2944" t="s">
        <v>5012</v>
      </c>
      <c r="E2944" t="s">
        <v>5018</v>
      </c>
      <c r="F2944" t="s">
        <v>5018</v>
      </c>
      <c r="G2944">
        <v>55</v>
      </c>
      <c r="H2944" s="5">
        <v>4.2104864383774475E-3</v>
      </c>
      <c r="I2944">
        <v>3</v>
      </c>
      <c r="J2944" t="b">
        <f>AND(CCData[[#This Row],[Date]]&gt;=Calculation!$E$3,CCData[[#This Row],[Date]]&lt;Calculation!$E$3+7)</f>
        <v>0</v>
      </c>
    </row>
    <row r="2945" spans="1:10">
      <c r="A2945" t="s">
        <v>2944</v>
      </c>
      <c r="B2945" s="2">
        <v>42056.415000000001</v>
      </c>
      <c r="C2945" s="3" t="s">
        <v>5009</v>
      </c>
      <c r="D2945" t="s">
        <v>5015</v>
      </c>
      <c r="E2945" t="s">
        <v>5018</v>
      </c>
      <c r="F2945" t="s">
        <v>5018</v>
      </c>
      <c r="G2945">
        <v>74</v>
      </c>
      <c r="H2945" s="5">
        <v>4.7008290781782305E-3</v>
      </c>
      <c r="I2945">
        <v>2</v>
      </c>
      <c r="J2945" t="b">
        <f>AND(CCData[[#This Row],[Date]]&gt;=Calculation!$E$3,CCData[[#This Row],[Date]]&lt;Calculation!$E$3+7)</f>
        <v>0</v>
      </c>
    </row>
    <row r="2946" spans="1:10">
      <c r="A2946" t="s">
        <v>2945</v>
      </c>
      <c r="B2946" s="2">
        <v>42056.425000000003</v>
      </c>
      <c r="C2946" s="3" t="s">
        <v>5005</v>
      </c>
      <c r="D2946" t="s">
        <v>5015</v>
      </c>
      <c r="E2946" t="s">
        <v>5018</v>
      </c>
      <c r="F2946" t="s">
        <v>5018</v>
      </c>
      <c r="G2946">
        <v>53</v>
      </c>
      <c r="H2946" s="5">
        <v>4.3943677139471936E-3</v>
      </c>
      <c r="I2946">
        <v>5</v>
      </c>
      <c r="J2946" t="b">
        <f>AND(CCData[[#This Row],[Date]]&gt;=Calculation!$E$3,CCData[[#This Row],[Date]]&lt;Calculation!$E$3+7)</f>
        <v>0</v>
      </c>
    </row>
    <row r="2947" spans="1:10">
      <c r="A2947" t="s">
        <v>2946</v>
      </c>
      <c r="B2947" s="2">
        <v>42056.425000000003</v>
      </c>
      <c r="C2947" s="3" t="s">
        <v>5008</v>
      </c>
      <c r="D2947" t="s">
        <v>5013</v>
      </c>
      <c r="E2947" t="s">
        <v>5018</v>
      </c>
      <c r="F2947" t="s">
        <v>5018</v>
      </c>
      <c r="G2947">
        <v>115</v>
      </c>
      <c r="H2947" s="5">
        <v>1.4428362958956065E-3</v>
      </c>
      <c r="I2947">
        <v>3</v>
      </c>
      <c r="J2947" t="b">
        <f>AND(CCData[[#This Row],[Date]]&gt;=Calculation!$E$3,CCData[[#This Row],[Date]]&lt;Calculation!$E$3+7)</f>
        <v>0</v>
      </c>
    </row>
    <row r="2948" spans="1:10">
      <c r="A2948" t="s">
        <v>2947</v>
      </c>
      <c r="B2948" s="2">
        <v>42056.432000000001</v>
      </c>
      <c r="C2948" s="3" t="s">
        <v>5007</v>
      </c>
      <c r="D2948" t="s">
        <v>5015</v>
      </c>
      <c r="E2948" t="s">
        <v>5018</v>
      </c>
      <c r="F2948" t="s">
        <v>5018</v>
      </c>
      <c r="G2948">
        <v>29</v>
      </c>
      <c r="H2948" s="5">
        <v>1.0396016589348707E-3</v>
      </c>
      <c r="I2948">
        <v>4</v>
      </c>
      <c r="J2948" t="b">
        <f>AND(CCData[[#This Row],[Date]]&gt;=Calculation!$E$3,CCData[[#This Row],[Date]]&lt;Calculation!$E$3+7)</f>
        <v>0</v>
      </c>
    </row>
    <row r="2949" spans="1:10">
      <c r="A2949" t="s">
        <v>2948</v>
      </c>
      <c r="B2949" s="2">
        <v>42056.432000000001</v>
      </c>
      <c r="C2949" s="3" t="s">
        <v>5008</v>
      </c>
      <c r="D2949" t="s">
        <v>5014</v>
      </c>
      <c r="E2949" t="s">
        <v>5018</v>
      </c>
      <c r="F2949" t="s">
        <v>5018</v>
      </c>
      <c r="G2949">
        <v>16</v>
      </c>
      <c r="H2949" s="5">
        <v>1.5037933821962506E-3</v>
      </c>
      <c r="I2949">
        <v>4</v>
      </c>
      <c r="J2949" t="b">
        <f>AND(CCData[[#This Row],[Date]]&gt;=Calculation!$E$3,CCData[[#This Row],[Date]]&lt;Calculation!$E$3+7)</f>
        <v>0</v>
      </c>
    </row>
    <row r="2950" spans="1:10">
      <c r="A2950" t="s">
        <v>2949</v>
      </c>
      <c r="B2950" s="2">
        <v>42056.463000000003</v>
      </c>
      <c r="C2950" s="3" t="s">
        <v>5009</v>
      </c>
      <c r="D2950" t="s">
        <v>5013</v>
      </c>
      <c r="E2950" t="s">
        <v>5018</v>
      </c>
      <c r="F2950" t="s">
        <v>5019</v>
      </c>
      <c r="G2950">
        <v>26</v>
      </c>
      <c r="H2950" s="5">
        <v>2.6075980965419429E-3</v>
      </c>
      <c r="I2950">
        <v>3</v>
      </c>
      <c r="J2950" t="b">
        <f>AND(CCData[[#This Row],[Date]]&gt;=Calculation!$E$3,CCData[[#This Row],[Date]]&lt;Calculation!$E$3+7)</f>
        <v>0</v>
      </c>
    </row>
    <row r="2951" spans="1:10">
      <c r="A2951" t="s">
        <v>2950</v>
      </c>
      <c r="B2951" s="2">
        <v>42056.463000000003</v>
      </c>
      <c r="C2951" s="3" t="s">
        <v>5004</v>
      </c>
      <c r="D2951" t="s">
        <v>5013</v>
      </c>
      <c r="E2951" t="s">
        <v>5018</v>
      </c>
      <c r="F2951" t="s">
        <v>5018</v>
      </c>
      <c r="G2951">
        <v>71</v>
      </c>
      <c r="H2951" s="5">
        <v>2.6513003409016469E-3</v>
      </c>
      <c r="I2951">
        <v>1</v>
      </c>
      <c r="J2951" t="b">
        <f>AND(CCData[[#This Row],[Date]]&gt;=Calculation!$E$3,CCData[[#This Row],[Date]]&lt;Calculation!$E$3+7)</f>
        <v>0</v>
      </c>
    </row>
    <row r="2952" spans="1:10">
      <c r="A2952" t="s">
        <v>2951</v>
      </c>
      <c r="B2952" s="2">
        <v>42056.464</v>
      </c>
      <c r="C2952" s="3" t="s">
        <v>5008</v>
      </c>
      <c r="D2952" t="s">
        <v>5016</v>
      </c>
      <c r="E2952" t="s">
        <v>5018</v>
      </c>
      <c r="F2952" t="s">
        <v>5018</v>
      </c>
      <c r="G2952">
        <v>109</v>
      </c>
      <c r="H2952" s="5">
        <v>3.1354179988494772E-3</v>
      </c>
      <c r="I2952">
        <v>4</v>
      </c>
      <c r="J2952" t="b">
        <f>AND(CCData[[#This Row],[Date]]&gt;=Calculation!$E$3,CCData[[#This Row],[Date]]&lt;Calculation!$E$3+7)</f>
        <v>0</v>
      </c>
    </row>
    <row r="2953" spans="1:10">
      <c r="A2953" t="s">
        <v>2952</v>
      </c>
      <c r="B2953" s="2">
        <v>42056.464</v>
      </c>
      <c r="C2953" s="3" t="s">
        <v>5008</v>
      </c>
      <c r="D2953" t="s">
        <v>5013</v>
      </c>
      <c r="E2953" t="s">
        <v>5018</v>
      </c>
      <c r="F2953" t="s">
        <v>5018</v>
      </c>
      <c r="G2953">
        <v>102</v>
      </c>
      <c r="H2953" s="5">
        <v>2.6589981579472756E-3</v>
      </c>
      <c r="I2953">
        <v>5</v>
      </c>
      <c r="J2953" t="b">
        <f>AND(CCData[[#This Row],[Date]]&gt;=Calculation!$E$3,CCData[[#This Row],[Date]]&lt;Calculation!$E$3+7)</f>
        <v>0</v>
      </c>
    </row>
    <row r="2954" spans="1:10">
      <c r="A2954" t="s">
        <v>2953</v>
      </c>
      <c r="B2954" s="2">
        <v>42056.466999999997</v>
      </c>
      <c r="C2954" s="3" t="s">
        <v>5008</v>
      </c>
      <c r="D2954" t="s">
        <v>5014</v>
      </c>
      <c r="E2954" t="s">
        <v>5018</v>
      </c>
      <c r="F2954" t="s">
        <v>5018</v>
      </c>
      <c r="G2954">
        <v>115</v>
      </c>
      <c r="H2954" s="5">
        <v>4.279214809202208E-4</v>
      </c>
      <c r="I2954">
        <v>4</v>
      </c>
      <c r="J2954" t="b">
        <f>AND(CCData[[#This Row],[Date]]&gt;=Calculation!$E$3,CCData[[#This Row],[Date]]&lt;Calculation!$E$3+7)</f>
        <v>0</v>
      </c>
    </row>
    <row r="2955" spans="1:10">
      <c r="A2955" t="s">
        <v>2954</v>
      </c>
      <c r="B2955" s="2">
        <v>42056.466999999997</v>
      </c>
      <c r="C2955" s="3" t="s">
        <v>5003</v>
      </c>
      <c r="D2955" t="s">
        <v>5013</v>
      </c>
      <c r="E2955" t="s">
        <v>5018</v>
      </c>
      <c r="F2955" t="s">
        <v>5018</v>
      </c>
      <c r="G2955">
        <v>48</v>
      </c>
      <c r="H2955" s="5">
        <v>1.7040003865679302E-3</v>
      </c>
      <c r="I2955">
        <v>4</v>
      </c>
      <c r="J2955" t="b">
        <f>AND(CCData[[#This Row],[Date]]&gt;=Calculation!$E$3,CCData[[#This Row],[Date]]&lt;Calculation!$E$3+7)</f>
        <v>0</v>
      </c>
    </row>
    <row r="2956" spans="1:10">
      <c r="A2956" t="s">
        <v>2955</v>
      </c>
      <c r="B2956" s="2">
        <v>42056.483</v>
      </c>
      <c r="C2956" s="3" t="s">
        <v>5010</v>
      </c>
      <c r="D2956" t="s">
        <v>5016</v>
      </c>
      <c r="E2956" t="s">
        <v>5018</v>
      </c>
      <c r="F2956" t="s">
        <v>5018</v>
      </c>
      <c r="G2956">
        <v>41</v>
      </c>
      <c r="H2956" s="5">
        <v>3.0927812494672179E-3</v>
      </c>
      <c r="I2956">
        <v>5</v>
      </c>
      <c r="J2956" t="b">
        <f>AND(CCData[[#This Row],[Date]]&gt;=Calculation!$E$3,CCData[[#This Row],[Date]]&lt;Calculation!$E$3+7)</f>
        <v>0</v>
      </c>
    </row>
    <row r="2957" spans="1:10">
      <c r="A2957" t="s">
        <v>2956</v>
      </c>
      <c r="B2957" s="2">
        <v>42056.483</v>
      </c>
      <c r="C2957" s="3" t="s">
        <v>5006</v>
      </c>
      <c r="D2957" t="s">
        <v>5013</v>
      </c>
      <c r="E2957" t="s">
        <v>5018</v>
      </c>
      <c r="F2957" t="s">
        <v>5018</v>
      </c>
      <c r="G2957">
        <v>97</v>
      </c>
      <c r="H2957" s="5">
        <v>2.202331687089856E-3</v>
      </c>
      <c r="I2957">
        <v>4</v>
      </c>
      <c r="J2957" t="b">
        <f>AND(CCData[[#This Row],[Date]]&gt;=Calculation!$E$3,CCData[[#This Row],[Date]]&lt;Calculation!$E$3+7)</f>
        <v>0</v>
      </c>
    </row>
    <row r="2958" spans="1:10">
      <c r="A2958" t="s">
        <v>2957</v>
      </c>
      <c r="B2958" s="2">
        <v>42056.487999999998</v>
      </c>
      <c r="C2958" s="3" t="s">
        <v>5009</v>
      </c>
      <c r="D2958" t="s">
        <v>5014</v>
      </c>
      <c r="E2958" t="s">
        <v>5018</v>
      </c>
      <c r="F2958" t="s">
        <v>5019</v>
      </c>
      <c r="G2958">
        <v>39</v>
      </c>
      <c r="H2958" s="5">
        <v>2.3349167417319283E-3</v>
      </c>
      <c r="I2958">
        <v>3</v>
      </c>
      <c r="J2958" t="b">
        <f>AND(CCData[[#This Row],[Date]]&gt;=Calculation!$E$3,CCData[[#This Row],[Date]]&lt;Calculation!$E$3+7)</f>
        <v>0</v>
      </c>
    </row>
    <row r="2959" spans="1:10">
      <c r="A2959" t="s">
        <v>2958</v>
      </c>
      <c r="B2959" s="2">
        <v>42056.487999999998</v>
      </c>
      <c r="C2959" s="3" t="s">
        <v>5004</v>
      </c>
      <c r="D2959" t="s">
        <v>5015</v>
      </c>
      <c r="E2959" t="s">
        <v>5019</v>
      </c>
      <c r="F2959" t="s">
        <v>5019</v>
      </c>
      <c r="G2959" t="s">
        <v>5022</v>
      </c>
      <c r="H2959" s="5" t="s">
        <v>5022</v>
      </c>
      <c r="I2959" t="s">
        <v>5022</v>
      </c>
      <c r="J2959" t="b">
        <f>AND(CCData[[#This Row],[Date]]&gt;=Calculation!$E$3,CCData[[#This Row],[Date]]&lt;Calculation!$E$3+7)</f>
        <v>0</v>
      </c>
    </row>
    <row r="2960" spans="1:10">
      <c r="A2960" t="s">
        <v>2959</v>
      </c>
      <c r="B2960" s="2">
        <v>42056.495999999999</v>
      </c>
      <c r="C2960" s="3" t="s">
        <v>5007</v>
      </c>
      <c r="D2960" t="s">
        <v>5014</v>
      </c>
      <c r="E2960" t="s">
        <v>5018</v>
      </c>
      <c r="F2960" t="s">
        <v>5018</v>
      </c>
      <c r="G2960">
        <v>73</v>
      </c>
      <c r="H2960" s="5">
        <v>8.4561484780226498E-4</v>
      </c>
      <c r="I2960">
        <v>3</v>
      </c>
      <c r="J2960" t="b">
        <f>AND(CCData[[#This Row],[Date]]&gt;=Calculation!$E$3,CCData[[#This Row],[Date]]&lt;Calculation!$E$3+7)</f>
        <v>0</v>
      </c>
    </row>
    <row r="2961" spans="1:10">
      <c r="A2961" t="s">
        <v>2960</v>
      </c>
      <c r="B2961" s="2">
        <v>42056.495999999999</v>
      </c>
      <c r="C2961" s="3" t="s">
        <v>5010</v>
      </c>
      <c r="D2961" t="s">
        <v>5012</v>
      </c>
      <c r="E2961" t="s">
        <v>5018</v>
      </c>
      <c r="F2961" t="s">
        <v>5018</v>
      </c>
      <c r="G2961">
        <v>25</v>
      </c>
      <c r="H2961" s="5">
        <v>7.6472158402556033E-4</v>
      </c>
      <c r="I2961">
        <v>1</v>
      </c>
      <c r="J2961" t="b">
        <f>AND(CCData[[#This Row],[Date]]&gt;=Calculation!$E$3,CCData[[#This Row],[Date]]&lt;Calculation!$E$3+7)</f>
        <v>0</v>
      </c>
    </row>
    <row r="2962" spans="1:10">
      <c r="A2962" t="s">
        <v>2961</v>
      </c>
      <c r="B2962" s="2">
        <v>42056.514999999999</v>
      </c>
      <c r="C2962" s="3" t="s">
        <v>5004</v>
      </c>
      <c r="D2962" t="s">
        <v>5016</v>
      </c>
      <c r="E2962" t="s">
        <v>5018</v>
      </c>
      <c r="F2962" t="s">
        <v>5018</v>
      </c>
      <c r="G2962">
        <v>84</v>
      </c>
      <c r="H2962" s="5">
        <v>2.6537612349746414E-3</v>
      </c>
      <c r="I2962">
        <v>3</v>
      </c>
      <c r="J2962" t="b">
        <f>AND(CCData[[#This Row],[Date]]&gt;=Calculation!$E$3,CCData[[#This Row],[Date]]&lt;Calculation!$E$3+7)</f>
        <v>0</v>
      </c>
    </row>
    <row r="2963" spans="1:10">
      <c r="A2963" t="s">
        <v>2962</v>
      </c>
      <c r="B2963" s="2">
        <v>42056.514999999999</v>
      </c>
      <c r="C2963" s="3" t="s">
        <v>5004</v>
      </c>
      <c r="D2963" t="s">
        <v>5013</v>
      </c>
      <c r="E2963" t="s">
        <v>5018</v>
      </c>
      <c r="F2963" t="s">
        <v>5018</v>
      </c>
      <c r="G2963">
        <v>99</v>
      </c>
      <c r="H2963" s="5">
        <v>1.7995064737260174E-3</v>
      </c>
      <c r="I2963">
        <v>5</v>
      </c>
      <c r="J2963" t="b">
        <f>AND(CCData[[#This Row],[Date]]&gt;=Calculation!$E$3,CCData[[#This Row],[Date]]&lt;Calculation!$E$3+7)</f>
        <v>0</v>
      </c>
    </row>
    <row r="2964" spans="1:10">
      <c r="A2964" t="s">
        <v>2963</v>
      </c>
      <c r="B2964" s="2">
        <v>42056.517999999996</v>
      </c>
      <c r="C2964" s="3" t="s">
        <v>5007</v>
      </c>
      <c r="D2964" t="s">
        <v>5016</v>
      </c>
      <c r="E2964" t="s">
        <v>5018</v>
      </c>
      <c r="F2964" t="s">
        <v>5018</v>
      </c>
      <c r="G2964">
        <v>108</v>
      </c>
      <c r="H2964" s="5">
        <v>3.7991456411542246E-3</v>
      </c>
      <c r="I2964">
        <v>3</v>
      </c>
      <c r="J2964" t="b">
        <f>AND(CCData[[#This Row],[Date]]&gt;=Calculation!$E$3,CCData[[#This Row],[Date]]&lt;Calculation!$E$3+7)</f>
        <v>0</v>
      </c>
    </row>
    <row r="2965" spans="1:10">
      <c r="A2965" t="s">
        <v>2964</v>
      </c>
      <c r="B2965" s="2">
        <v>42056.517999999996</v>
      </c>
      <c r="C2965" s="3" t="s">
        <v>5006</v>
      </c>
      <c r="D2965" t="s">
        <v>5014</v>
      </c>
      <c r="E2965" t="s">
        <v>5018</v>
      </c>
      <c r="F2965" t="s">
        <v>5018</v>
      </c>
      <c r="G2965">
        <v>80</v>
      </c>
      <c r="H2965" s="5">
        <v>1.5899117506872327E-3</v>
      </c>
      <c r="I2965">
        <v>4</v>
      </c>
      <c r="J2965" t="b">
        <f>AND(CCData[[#This Row],[Date]]&gt;=Calculation!$E$3,CCData[[#This Row],[Date]]&lt;Calculation!$E$3+7)</f>
        <v>0</v>
      </c>
    </row>
    <row r="2966" spans="1:10">
      <c r="A2966" t="s">
        <v>2965</v>
      </c>
      <c r="B2966" s="2">
        <v>42056.54</v>
      </c>
      <c r="C2966" s="3" t="s">
        <v>5004</v>
      </c>
      <c r="D2966" t="s">
        <v>5014</v>
      </c>
      <c r="E2966" t="s">
        <v>5018</v>
      </c>
      <c r="F2966" t="s">
        <v>5018</v>
      </c>
      <c r="G2966">
        <v>77</v>
      </c>
      <c r="H2966" s="5">
        <v>8.6483623456353744E-4</v>
      </c>
      <c r="I2966">
        <v>4</v>
      </c>
      <c r="J2966" t="b">
        <f>AND(CCData[[#This Row],[Date]]&gt;=Calculation!$E$3,CCData[[#This Row],[Date]]&lt;Calculation!$E$3+7)</f>
        <v>0</v>
      </c>
    </row>
    <row r="2967" spans="1:10">
      <c r="A2967" t="s">
        <v>2966</v>
      </c>
      <c r="B2967" s="2">
        <v>42056.54</v>
      </c>
      <c r="C2967" s="3" t="s">
        <v>5005</v>
      </c>
      <c r="D2967" t="s">
        <v>5015</v>
      </c>
      <c r="E2967" t="s">
        <v>5018</v>
      </c>
      <c r="F2967" t="s">
        <v>5018</v>
      </c>
      <c r="G2967">
        <v>14</v>
      </c>
      <c r="H2967" s="5">
        <v>1.0518499327779177E-3</v>
      </c>
      <c r="I2967">
        <v>5</v>
      </c>
      <c r="J2967" t="b">
        <f>AND(CCData[[#This Row],[Date]]&gt;=Calculation!$E$3,CCData[[#This Row],[Date]]&lt;Calculation!$E$3+7)</f>
        <v>0</v>
      </c>
    </row>
    <row r="2968" spans="1:10">
      <c r="A2968" t="s">
        <v>2967</v>
      </c>
      <c r="B2968" s="2">
        <v>42056.552000000003</v>
      </c>
      <c r="C2968" s="3" t="s">
        <v>5005</v>
      </c>
      <c r="D2968" t="s">
        <v>5013</v>
      </c>
      <c r="E2968" t="s">
        <v>5018</v>
      </c>
      <c r="F2968" t="s">
        <v>5019</v>
      </c>
      <c r="G2968">
        <v>69</v>
      </c>
      <c r="H2968" s="5">
        <v>3.5826161425508958E-3</v>
      </c>
      <c r="I2968">
        <v>5</v>
      </c>
      <c r="J2968" t="b">
        <f>AND(CCData[[#This Row],[Date]]&gt;=Calculation!$E$3,CCData[[#This Row],[Date]]&lt;Calculation!$E$3+7)</f>
        <v>0</v>
      </c>
    </row>
    <row r="2969" spans="1:10">
      <c r="A2969" t="s">
        <v>2968</v>
      </c>
      <c r="B2969" s="2">
        <v>42056.552000000003</v>
      </c>
      <c r="C2969" s="3" t="s">
        <v>5007</v>
      </c>
      <c r="D2969" t="s">
        <v>5012</v>
      </c>
      <c r="E2969" t="s">
        <v>5018</v>
      </c>
      <c r="F2969" t="s">
        <v>5018</v>
      </c>
      <c r="G2969">
        <v>91</v>
      </c>
      <c r="H2969" s="5">
        <v>6.1365631826934444E-4</v>
      </c>
      <c r="I2969">
        <v>3</v>
      </c>
      <c r="J2969" t="b">
        <f>AND(CCData[[#This Row],[Date]]&gt;=Calculation!$E$3,CCData[[#This Row],[Date]]&lt;Calculation!$E$3+7)</f>
        <v>0</v>
      </c>
    </row>
    <row r="2970" spans="1:10">
      <c r="A2970" t="s">
        <v>2969</v>
      </c>
      <c r="B2970" s="2">
        <v>42056.565999999999</v>
      </c>
      <c r="C2970" s="3" t="s">
        <v>5006</v>
      </c>
      <c r="D2970" t="s">
        <v>5014</v>
      </c>
      <c r="E2970" t="s">
        <v>5019</v>
      </c>
      <c r="F2970" t="s">
        <v>5019</v>
      </c>
      <c r="G2970" t="s">
        <v>5022</v>
      </c>
      <c r="H2970" s="5" t="s">
        <v>5022</v>
      </c>
      <c r="I2970" t="s">
        <v>5022</v>
      </c>
      <c r="J2970" t="b">
        <f>AND(CCData[[#This Row],[Date]]&gt;=Calculation!$E$3,CCData[[#This Row],[Date]]&lt;Calculation!$E$3+7)</f>
        <v>0</v>
      </c>
    </row>
    <row r="2971" spans="1:10">
      <c r="A2971" t="s">
        <v>2970</v>
      </c>
      <c r="B2971" s="2">
        <v>42056.565999999999</v>
      </c>
      <c r="C2971" s="3" t="s">
        <v>5004</v>
      </c>
      <c r="D2971" t="s">
        <v>5014</v>
      </c>
      <c r="E2971" t="s">
        <v>5018</v>
      </c>
      <c r="F2971" t="s">
        <v>5018</v>
      </c>
      <c r="G2971">
        <v>125</v>
      </c>
      <c r="H2971" s="5">
        <v>2.1904561974416129E-3</v>
      </c>
      <c r="I2971">
        <v>1</v>
      </c>
      <c r="J2971" t="b">
        <f>AND(CCData[[#This Row],[Date]]&gt;=Calculation!$E$3,CCData[[#This Row],[Date]]&lt;Calculation!$E$3+7)</f>
        <v>0</v>
      </c>
    </row>
    <row r="2972" spans="1:10">
      <c r="A2972" t="s">
        <v>2971</v>
      </c>
      <c r="B2972" s="2">
        <v>42056.580999999998</v>
      </c>
      <c r="C2972" s="3" t="s">
        <v>5004</v>
      </c>
      <c r="D2972" t="s">
        <v>5016</v>
      </c>
      <c r="E2972" t="s">
        <v>5018</v>
      </c>
      <c r="F2972" t="s">
        <v>5018</v>
      </c>
      <c r="G2972">
        <v>25</v>
      </c>
      <c r="H2972" s="5">
        <v>4.1637232632393585E-3</v>
      </c>
      <c r="I2972">
        <v>4</v>
      </c>
      <c r="J2972" t="b">
        <f>AND(CCData[[#This Row],[Date]]&gt;=Calculation!$E$3,CCData[[#This Row],[Date]]&lt;Calculation!$E$3+7)</f>
        <v>0</v>
      </c>
    </row>
    <row r="2973" spans="1:10">
      <c r="A2973" t="s">
        <v>2972</v>
      </c>
      <c r="B2973" s="2">
        <v>42056.580999999998</v>
      </c>
      <c r="C2973" s="3" t="s">
        <v>5010</v>
      </c>
      <c r="D2973" t="s">
        <v>5014</v>
      </c>
      <c r="E2973" t="s">
        <v>5018</v>
      </c>
      <c r="F2973" t="s">
        <v>5018</v>
      </c>
      <c r="G2973">
        <v>60</v>
      </c>
      <c r="H2973" s="5">
        <v>3.2939271352937964E-3</v>
      </c>
      <c r="I2973">
        <v>4</v>
      </c>
      <c r="J2973" t="b">
        <f>AND(CCData[[#This Row],[Date]]&gt;=Calculation!$E$3,CCData[[#This Row],[Date]]&lt;Calculation!$E$3+7)</f>
        <v>0</v>
      </c>
    </row>
    <row r="2974" spans="1:10">
      <c r="A2974" t="s">
        <v>2973</v>
      </c>
      <c r="B2974" s="2">
        <v>42056.582999999999</v>
      </c>
      <c r="C2974" s="3" t="s">
        <v>5004</v>
      </c>
      <c r="D2974" t="s">
        <v>5013</v>
      </c>
      <c r="E2974" t="s">
        <v>5018</v>
      </c>
      <c r="F2974" t="s">
        <v>5019</v>
      </c>
      <c r="G2974">
        <v>97</v>
      </c>
      <c r="H2974" s="5">
        <v>3.2445665503526271E-3</v>
      </c>
      <c r="I2974">
        <v>3</v>
      </c>
      <c r="J2974" t="b">
        <f>AND(CCData[[#This Row],[Date]]&gt;=Calculation!$E$3,CCData[[#This Row],[Date]]&lt;Calculation!$E$3+7)</f>
        <v>0</v>
      </c>
    </row>
    <row r="2975" spans="1:10">
      <c r="A2975" t="s">
        <v>2974</v>
      </c>
      <c r="B2975" s="2">
        <v>42056.582999999999</v>
      </c>
      <c r="C2975" s="3" t="s">
        <v>5010</v>
      </c>
      <c r="D2975" t="s">
        <v>5015</v>
      </c>
      <c r="E2975" t="s">
        <v>5018</v>
      </c>
      <c r="F2975" t="s">
        <v>5018</v>
      </c>
      <c r="G2975">
        <v>41</v>
      </c>
      <c r="H2975" s="5">
        <v>3.4315399299660364E-3</v>
      </c>
      <c r="I2975">
        <v>1</v>
      </c>
      <c r="J2975" t="b">
        <f>AND(CCData[[#This Row],[Date]]&gt;=Calculation!$E$3,CCData[[#This Row],[Date]]&lt;Calculation!$E$3+7)</f>
        <v>0</v>
      </c>
    </row>
    <row r="2976" spans="1:10">
      <c r="A2976" t="s">
        <v>2975</v>
      </c>
      <c r="B2976" s="2">
        <v>42056.603999999999</v>
      </c>
      <c r="C2976" s="3" t="s">
        <v>5005</v>
      </c>
      <c r="D2976" t="s">
        <v>5014</v>
      </c>
      <c r="E2976" t="s">
        <v>5019</v>
      </c>
      <c r="F2976" t="s">
        <v>5019</v>
      </c>
      <c r="G2976" t="s">
        <v>5022</v>
      </c>
      <c r="H2976" s="5" t="s">
        <v>5022</v>
      </c>
      <c r="I2976" t="s">
        <v>5022</v>
      </c>
      <c r="J2976" t="b">
        <f>AND(CCData[[#This Row],[Date]]&gt;=Calculation!$E$3,CCData[[#This Row],[Date]]&lt;Calculation!$E$3+7)</f>
        <v>0</v>
      </c>
    </row>
    <row r="2977" spans="1:10">
      <c r="A2977" t="s">
        <v>2976</v>
      </c>
      <c r="B2977" s="2">
        <v>42056.603999999999</v>
      </c>
      <c r="C2977" s="3" t="s">
        <v>5006</v>
      </c>
      <c r="D2977" t="s">
        <v>5016</v>
      </c>
      <c r="E2977" t="s">
        <v>5018</v>
      </c>
      <c r="F2977" t="s">
        <v>5018</v>
      </c>
      <c r="G2977">
        <v>47</v>
      </c>
      <c r="H2977" s="5">
        <v>4.8546794860580139E-3</v>
      </c>
      <c r="I2977">
        <v>4</v>
      </c>
      <c r="J2977" t="b">
        <f>AND(CCData[[#This Row],[Date]]&gt;=Calculation!$E$3,CCData[[#This Row],[Date]]&lt;Calculation!$E$3+7)</f>
        <v>0</v>
      </c>
    </row>
    <row r="2978" spans="1:10">
      <c r="A2978" t="s">
        <v>2977</v>
      </c>
      <c r="B2978" s="2">
        <v>42056.616000000002</v>
      </c>
      <c r="C2978" s="3" t="s">
        <v>5004</v>
      </c>
      <c r="D2978" t="s">
        <v>5012</v>
      </c>
      <c r="E2978" t="s">
        <v>5019</v>
      </c>
      <c r="F2978" t="s">
        <v>5019</v>
      </c>
      <c r="G2978" t="s">
        <v>5022</v>
      </c>
      <c r="H2978" s="5" t="s">
        <v>5022</v>
      </c>
      <c r="I2978" t="s">
        <v>5022</v>
      </c>
      <c r="J2978" t="b">
        <f>AND(CCData[[#This Row],[Date]]&gt;=Calculation!$E$3,CCData[[#This Row],[Date]]&lt;Calculation!$E$3+7)</f>
        <v>0</v>
      </c>
    </row>
    <row r="2979" spans="1:10">
      <c r="A2979" t="s">
        <v>2978</v>
      </c>
      <c r="B2979" s="2">
        <v>42056.616000000002</v>
      </c>
      <c r="C2979" s="3" t="s">
        <v>5007</v>
      </c>
      <c r="D2979" t="s">
        <v>5016</v>
      </c>
      <c r="E2979" t="s">
        <v>5018</v>
      </c>
      <c r="F2979" t="s">
        <v>5018</v>
      </c>
      <c r="G2979">
        <v>82</v>
      </c>
      <c r="H2979" s="5">
        <v>4.5641083618277673E-3</v>
      </c>
      <c r="I2979">
        <v>5</v>
      </c>
      <c r="J2979" t="b">
        <f>AND(CCData[[#This Row],[Date]]&gt;=Calculation!$E$3,CCData[[#This Row],[Date]]&lt;Calculation!$E$3+7)</f>
        <v>0</v>
      </c>
    </row>
    <row r="2980" spans="1:10">
      <c r="A2980" t="s">
        <v>2979</v>
      </c>
      <c r="B2980" s="2">
        <v>42056.624000000003</v>
      </c>
      <c r="C2980" s="3" t="s">
        <v>5006</v>
      </c>
      <c r="D2980" t="s">
        <v>5015</v>
      </c>
      <c r="E2980" t="s">
        <v>5018</v>
      </c>
      <c r="F2980" t="s">
        <v>5018</v>
      </c>
      <c r="G2980">
        <v>94</v>
      </c>
      <c r="H2980" s="5">
        <v>3.2805441689235213E-3</v>
      </c>
      <c r="I2980">
        <v>4</v>
      </c>
      <c r="J2980" t="b">
        <f>AND(CCData[[#This Row],[Date]]&gt;=Calculation!$E$3,CCData[[#This Row],[Date]]&lt;Calculation!$E$3+7)</f>
        <v>0</v>
      </c>
    </row>
    <row r="2981" spans="1:10">
      <c r="A2981" t="s">
        <v>2980</v>
      </c>
      <c r="B2981" s="2">
        <v>42056.624000000003</v>
      </c>
      <c r="C2981" s="3" t="s">
        <v>5004</v>
      </c>
      <c r="D2981" t="s">
        <v>5012</v>
      </c>
      <c r="E2981" t="s">
        <v>5018</v>
      </c>
      <c r="F2981" t="s">
        <v>5018</v>
      </c>
      <c r="G2981">
        <v>43</v>
      </c>
      <c r="H2981" s="5">
        <v>3.2754087392734988E-3</v>
      </c>
      <c r="I2981">
        <v>4</v>
      </c>
      <c r="J2981" t="b">
        <f>AND(CCData[[#This Row],[Date]]&gt;=Calculation!$E$3,CCData[[#This Row],[Date]]&lt;Calculation!$E$3+7)</f>
        <v>0</v>
      </c>
    </row>
    <row r="2982" spans="1:10">
      <c r="A2982" t="s">
        <v>2981</v>
      </c>
      <c r="B2982" s="2">
        <v>42056.631999999998</v>
      </c>
      <c r="C2982" s="3" t="s">
        <v>5005</v>
      </c>
      <c r="D2982" t="s">
        <v>5013</v>
      </c>
      <c r="E2982" t="s">
        <v>5018</v>
      </c>
      <c r="F2982" t="s">
        <v>5018</v>
      </c>
      <c r="G2982">
        <v>27</v>
      </c>
      <c r="H2982" s="5">
        <v>2.8530484083430802E-3</v>
      </c>
      <c r="I2982">
        <v>1</v>
      </c>
      <c r="J2982" t="b">
        <f>AND(CCData[[#This Row],[Date]]&gt;=Calculation!$E$3,CCData[[#This Row],[Date]]&lt;Calculation!$E$3+7)</f>
        <v>0</v>
      </c>
    </row>
    <row r="2983" spans="1:10">
      <c r="A2983" t="s">
        <v>2982</v>
      </c>
      <c r="B2983" s="2">
        <v>42056.631999999998</v>
      </c>
      <c r="C2983" s="3" t="s">
        <v>5008</v>
      </c>
      <c r="D2983" t="s">
        <v>5013</v>
      </c>
      <c r="E2983" t="s">
        <v>5018</v>
      </c>
      <c r="F2983" t="s">
        <v>5019</v>
      </c>
      <c r="G2983">
        <v>15</v>
      </c>
      <c r="H2983" s="5">
        <v>1.977962513255797E-3</v>
      </c>
      <c r="I2983">
        <v>3</v>
      </c>
      <c r="J2983" t="b">
        <f>AND(CCData[[#This Row],[Date]]&gt;=Calculation!$E$3,CCData[[#This Row],[Date]]&lt;Calculation!$E$3+7)</f>
        <v>0</v>
      </c>
    </row>
    <row r="2984" spans="1:10">
      <c r="A2984" t="s">
        <v>2983</v>
      </c>
      <c r="B2984" s="2">
        <v>42056.656000000003</v>
      </c>
      <c r="C2984" s="3" t="s">
        <v>5007</v>
      </c>
      <c r="D2984" t="s">
        <v>5013</v>
      </c>
      <c r="E2984" t="s">
        <v>5018</v>
      </c>
      <c r="F2984" t="s">
        <v>5018</v>
      </c>
      <c r="G2984">
        <v>21</v>
      </c>
      <c r="H2984" s="5">
        <v>9.5386877348347646E-4</v>
      </c>
      <c r="I2984">
        <v>4</v>
      </c>
      <c r="J2984" t="b">
        <f>AND(CCData[[#This Row],[Date]]&gt;=Calculation!$E$3,CCData[[#This Row],[Date]]&lt;Calculation!$E$3+7)</f>
        <v>0</v>
      </c>
    </row>
    <row r="2985" spans="1:10">
      <c r="A2985" t="s">
        <v>2984</v>
      </c>
      <c r="B2985" s="2">
        <v>42056.656000000003</v>
      </c>
      <c r="C2985" s="3" t="s">
        <v>5010</v>
      </c>
      <c r="D2985" t="s">
        <v>5013</v>
      </c>
      <c r="E2985" t="s">
        <v>5018</v>
      </c>
      <c r="F2985" t="s">
        <v>5018</v>
      </c>
      <c r="G2985">
        <v>30</v>
      </c>
      <c r="H2985" s="5">
        <v>1.2228791355081885E-3</v>
      </c>
      <c r="I2985">
        <v>5</v>
      </c>
      <c r="J2985" t="b">
        <f>AND(CCData[[#This Row],[Date]]&gt;=Calculation!$E$3,CCData[[#This Row],[Date]]&lt;Calculation!$E$3+7)</f>
        <v>0</v>
      </c>
    </row>
    <row r="2986" spans="1:10">
      <c r="A2986" t="s">
        <v>2985</v>
      </c>
      <c r="B2986" s="2">
        <v>42056.656999999999</v>
      </c>
      <c r="C2986" s="3" t="s">
        <v>5003</v>
      </c>
      <c r="D2986" t="s">
        <v>5015</v>
      </c>
      <c r="E2986" t="s">
        <v>5018</v>
      </c>
      <c r="F2986" t="s">
        <v>5019</v>
      </c>
      <c r="G2986">
        <v>106</v>
      </c>
      <c r="H2986" s="5">
        <v>1.5090761893778342E-3</v>
      </c>
      <c r="I2986">
        <v>1</v>
      </c>
      <c r="J2986" t="b">
        <f>AND(CCData[[#This Row],[Date]]&gt;=Calculation!$E$3,CCData[[#This Row],[Date]]&lt;Calculation!$E$3+7)</f>
        <v>0</v>
      </c>
    </row>
    <row r="2987" spans="1:10">
      <c r="A2987" t="s">
        <v>2986</v>
      </c>
      <c r="B2987" s="2">
        <v>42056.656999999999</v>
      </c>
      <c r="C2987" s="3" t="s">
        <v>5007</v>
      </c>
      <c r="D2987" t="s">
        <v>5015</v>
      </c>
      <c r="E2987" t="s">
        <v>5018</v>
      </c>
      <c r="F2987" t="s">
        <v>5018</v>
      </c>
      <c r="G2987">
        <v>56</v>
      </c>
      <c r="H2987" s="5">
        <v>3.7186748629707829E-3</v>
      </c>
      <c r="I2987">
        <v>3</v>
      </c>
      <c r="J2987" t="b">
        <f>AND(CCData[[#This Row],[Date]]&gt;=Calculation!$E$3,CCData[[#This Row],[Date]]&lt;Calculation!$E$3+7)</f>
        <v>0</v>
      </c>
    </row>
    <row r="2988" spans="1:10">
      <c r="A2988" t="s">
        <v>2987</v>
      </c>
      <c r="B2988" s="2">
        <v>42056.682999999997</v>
      </c>
      <c r="C2988" s="3" t="s">
        <v>5010</v>
      </c>
      <c r="D2988" t="s">
        <v>5014</v>
      </c>
      <c r="E2988" t="s">
        <v>5018</v>
      </c>
      <c r="F2988" t="s">
        <v>5018</v>
      </c>
      <c r="G2988">
        <v>100</v>
      </c>
      <c r="H2988" s="5">
        <v>4.5525498376016707E-3</v>
      </c>
      <c r="I2988">
        <v>5</v>
      </c>
      <c r="J2988" t="b">
        <f>AND(CCData[[#This Row],[Date]]&gt;=Calculation!$E$3,CCData[[#This Row],[Date]]&lt;Calculation!$E$3+7)</f>
        <v>0</v>
      </c>
    </row>
    <row r="2989" spans="1:10">
      <c r="A2989" t="s">
        <v>2988</v>
      </c>
      <c r="B2989" s="2">
        <v>42056.682999999997</v>
      </c>
      <c r="C2989" s="3" t="s">
        <v>5003</v>
      </c>
      <c r="D2989" t="s">
        <v>5016</v>
      </c>
      <c r="E2989" t="s">
        <v>5018</v>
      </c>
      <c r="F2989" t="s">
        <v>5018</v>
      </c>
      <c r="G2989">
        <v>48</v>
      </c>
      <c r="H2989" s="5">
        <v>4.0003100016464616E-3</v>
      </c>
      <c r="I2989">
        <v>3</v>
      </c>
      <c r="J2989" t="b">
        <f>AND(CCData[[#This Row],[Date]]&gt;=Calculation!$E$3,CCData[[#This Row],[Date]]&lt;Calculation!$E$3+7)</f>
        <v>0</v>
      </c>
    </row>
    <row r="2990" spans="1:10">
      <c r="A2990" t="s">
        <v>2989</v>
      </c>
      <c r="B2990" s="2">
        <v>42056.707999999999</v>
      </c>
      <c r="C2990" s="3" t="s">
        <v>5007</v>
      </c>
      <c r="D2990" t="s">
        <v>5016</v>
      </c>
      <c r="E2990" t="s">
        <v>5018</v>
      </c>
      <c r="F2990" t="s">
        <v>5018</v>
      </c>
      <c r="G2990">
        <v>74</v>
      </c>
      <c r="H2990" s="5">
        <v>2.5104515504787601E-3</v>
      </c>
      <c r="I2990">
        <v>5</v>
      </c>
      <c r="J2990" t="b">
        <f>AND(CCData[[#This Row],[Date]]&gt;=Calculation!$E$3,CCData[[#This Row],[Date]]&lt;Calculation!$E$3+7)</f>
        <v>0</v>
      </c>
    </row>
    <row r="2991" spans="1:10">
      <c r="A2991" t="s">
        <v>2990</v>
      </c>
      <c r="B2991" s="2">
        <v>42056.707999999999</v>
      </c>
      <c r="C2991" s="3" t="s">
        <v>5005</v>
      </c>
      <c r="D2991" t="s">
        <v>5015</v>
      </c>
      <c r="E2991" t="s">
        <v>5018</v>
      </c>
      <c r="F2991" t="s">
        <v>5018</v>
      </c>
      <c r="G2991">
        <v>100</v>
      </c>
      <c r="H2991" s="5">
        <v>2.781409709227333E-3</v>
      </c>
      <c r="I2991">
        <v>1</v>
      </c>
      <c r="J2991" t="b">
        <f>AND(CCData[[#This Row],[Date]]&gt;=Calculation!$E$3,CCData[[#This Row],[Date]]&lt;Calculation!$E$3+7)</f>
        <v>0</v>
      </c>
    </row>
    <row r="2992" spans="1:10">
      <c r="A2992" t="s">
        <v>2991</v>
      </c>
      <c r="B2992" s="2">
        <v>42056.722000000002</v>
      </c>
      <c r="C2992" s="3" t="s">
        <v>5003</v>
      </c>
      <c r="D2992" t="s">
        <v>5014</v>
      </c>
      <c r="E2992" t="s">
        <v>5018</v>
      </c>
      <c r="F2992" t="s">
        <v>5019</v>
      </c>
      <c r="G2992">
        <v>90</v>
      </c>
      <c r="H2992" s="5">
        <v>1.8906027198076832E-3</v>
      </c>
      <c r="I2992">
        <v>3</v>
      </c>
      <c r="J2992" t="b">
        <f>AND(CCData[[#This Row],[Date]]&gt;=Calculation!$E$3,CCData[[#This Row],[Date]]&lt;Calculation!$E$3+7)</f>
        <v>0</v>
      </c>
    </row>
    <row r="2993" spans="1:10">
      <c r="A2993" t="s">
        <v>2992</v>
      </c>
      <c r="B2993" s="2">
        <v>42056.722000000002</v>
      </c>
      <c r="C2993" s="3" t="s">
        <v>5004</v>
      </c>
      <c r="D2993" t="s">
        <v>5013</v>
      </c>
      <c r="E2993" t="s">
        <v>5019</v>
      </c>
      <c r="F2993" t="s">
        <v>5019</v>
      </c>
      <c r="G2993" t="s">
        <v>5022</v>
      </c>
      <c r="H2993" s="5" t="s">
        <v>5022</v>
      </c>
      <c r="I2993" t="s">
        <v>5022</v>
      </c>
      <c r="J2993" t="b">
        <f>AND(CCData[[#This Row],[Date]]&gt;=Calculation!$E$3,CCData[[#This Row],[Date]]&lt;Calculation!$E$3+7)</f>
        <v>0</v>
      </c>
    </row>
    <row r="2994" spans="1:10">
      <c r="A2994" t="s">
        <v>2993</v>
      </c>
      <c r="B2994" s="2">
        <v>42056.722999999998</v>
      </c>
      <c r="C2994" s="3" t="s">
        <v>5010</v>
      </c>
      <c r="D2994" t="s">
        <v>5014</v>
      </c>
      <c r="E2994" t="s">
        <v>5018</v>
      </c>
      <c r="F2994" t="s">
        <v>5018</v>
      </c>
      <c r="G2994">
        <v>43</v>
      </c>
      <c r="H2994" s="5">
        <v>4.3985494542898686E-3</v>
      </c>
      <c r="I2994">
        <v>5</v>
      </c>
      <c r="J2994" t="b">
        <f>AND(CCData[[#This Row],[Date]]&gt;=Calculation!$E$3,CCData[[#This Row],[Date]]&lt;Calculation!$E$3+7)</f>
        <v>0</v>
      </c>
    </row>
    <row r="2995" spans="1:10">
      <c r="A2995" t="s">
        <v>2994</v>
      </c>
      <c r="B2995" s="2">
        <v>42056.722999999998</v>
      </c>
      <c r="C2995" s="3" t="s">
        <v>5008</v>
      </c>
      <c r="D2995" t="s">
        <v>5014</v>
      </c>
      <c r="E2995" t="s">
        <v>5018</v>
      </c>
      <c r="F2995" t="s">
        <v>5018</v>
      </c>
      <c r="G2995">
        <v>68</v>
      </c>
      <c r="H2995" s="5">
        <v>3.6253721704959788E-3</v>
      </c>
      <c r="I2995">
        <v>4</v>
      </c>
      <c r="J2995" t="b">
        <f>AND(CCData[[#This Row],[Date]]&gt;=Calculation!$E$3,CCData[[#This Row],[Date]]&lt;Calculation!$E$3+7)</f>
        <v>0</v>
      </c>
    </row>
    <row r="2996" spans="1:10">
      <c r="A2996" t="s">
        <v>2995</v>
      </c>
      <c r="B2996" s="2">
        <v>42056.743000000002</v>
      </c>
      <c r="C2996" s="3" t="s">
        <v>5007</v>
      </c>
      <c r="D2996" t="s">
        <v>5016</v>
      </c>
      <c r="E2996" t="s">
        <v>5019</v>
      </c>
      <c r="F2996" t="s">
        <v>5019</v>
      </c>
      <c r="G2996" t="s">
        <v>5022</v>
      </c>
      <c r="H2996" s="5" t="s">
        <v>5022</v>
      </c>
      <c r="I2996" t="s">
        <v>5022</v>
      </c>
      <c r="J2996" t="b">
        <f>AND(CCData[[#This Row],[Date]]&gt;=Calculation!$E$3,CCData[[#This Row],[Date]]&lt;Calculation!$E$3+7)</f>
        <v>0</v>
      </c>
    </row>
    <row r="2997" spans="1:10">
      <c r="A2997" t="s">
        <v>2996</v>
      </c>
      <c r="B2997" s="2">
        <v>42056.743000000002</v>
      </c>
      <c r="C2997" s="3" t="s">
        <v>5003</v>
      </c>
      <c r="D2997" t="s">
        <v>5015</v>
      </c>
      <c r="E2997" t="s">
        <v>5018</v>
      </c>
      <c r="F2997" t="s">
        <v>5018</v>
      </c>
      <c r="G2997">
        <v>65</v>
      </c>
      <c r="H2997" s="5">
        <v>3.6860646480300218E-3</v>
      </c>
      <c r="I2997">
        <v>1</v>
      </c>
      <c r="J2997" t="b">
        <f>AND(CCData[[#This Row],[Date]]&gt;=Calculation!$E$3,CCData[[#This Row],[Date]]&lt;Calculation!$E$3+7)</f>
        <v>0</v>
      </c>
    </row>
    <row r="2998" spans="1:10">
      <c r="A2998" t="s">
        <v>2997</v>
      </c>
      <c r="B2998" s="2">
        <v>42057.377999999997</v>
      </c>
      <c r="C2998" s="3" t="s">
        <v>5006</v>
      </c>
      <c r="D2998" t="s">
        <v>5015</v>
      </c>
      <c r="E2998" t="s">
        <v>5018</v>
      </c>
      <c r="F2998" t="s">
        <v>5018</v>
      </c>
      <c r="G2998">
        <v>125</v>
      </c>
      <c r="H2998" s="5">
        <v>1.3706290687398503E-3</v>
      </c>
      <c r="I2998">
        <v>5</v>
      </c>
      <c r="J2998" t="b">
        <f>AND(CCData[[#This Row],[Date]]&gt;=Calculation!$E$3,CCData[[#This Row],[Date]]&lt;Calculation!$E$3+7)</f>
        <v>0</v>
      </c>
    </row>
    <row r="2999" spans="1:10">
      <c r="A2999" t="s">
        <v>2998</v>
      </c>
      <c r="B2999" s="2">
        <v>42057.377999999997</v>
      </c>
      <c r="C2999" s="3" t="s">
        <v>5008</v>
      </c>
      <c r="D2999" t="s">
        <v>5015</v>
      </c>
      <c r="E2999" t="s">
        <v>5018</v>
      </c>
      <c r="F2999" t="s">
        <v>5018</v>
      </c>
      <c r="G2999">
        <v>62</v>
      </c>
      <c r="H2999" s="5">
        <v>3.6230098220690734E-3</v>
      </c>
      <c r="I2999">
        <v>4</v>
      </c>
      <c r="J2999" t="b">
        <f>AND(CCData[[#This Row],[Date]]&gt;=Calculation!$E$3,CCData[[#This Row],[Date]]&lt;Calculation!$E$3+7)</f>
        <v>0</v>
      </c>
    </row>
    <row r="3000" spans="1:10">
      <c r="A3000" t="s">
        <v>2999</v>
      </c>
      <c r="B3000" s="2">
        <v>42057.406000000003</v>
      </c>
      <c r="C3000" s="3" t="s">
        <v>5007</v>
      </c>
      <c r="D3000" t="s">
        <v>5014</v>
      </c>
      <c r="E3000" t="s">
        <v>5018</v>
      </c>
      <c r="F3000" t="s">
        <v>5018</v>
      </c>
      <c r="G3000">
        <v>24</v>
      </c>
      <c r="H3000" s="5">
        <v>1.508708256589593E-3</v>
      </c>
      <c r="I3000">
        <v>3</v>
      </c>
      <c r="J3000" t="b">
        <f>AND(CCData[[#This Row],[Date]]&gt;=Calculation!$E$3,CCData[[#This Row],[Date]]&lt;Calculation!$E$3+7)</f>
        <v>0</v>
      </c>
    </row>
    <row r="3001" spans="1:10">
      <c r="A3001" t="s">
        <v>3000</v>
      </c>
      <c r="B3001" s="2">
        <v>42057.406000000003</v>
      </c>
      <c r="C3001" s="3" t="s">
        <v>5004</v>
      </c>
      <c r="D3001" t="s">
        <v>5016</v>
      </c>
      <c r="E3001" t="s">
        <v>5019</v>
      </c>
      <c r="F3001" t="s">
        <v>5019</v>
      </c>
      <c r="G3001" t="s">
        <v>5022</v>
      </c>
      <c r="H3001" s="5" t="s">
        <v>5022</v>
      </c>
      <c r="I3001" t="s">
        <v>5022</v>
      </c>
      <c r="J3001" t="b">
        <f>AND(CCData[[#This Row],[Date]]&gt;=Calculation!$E$3,CCData[[#This Row],[Date]]&lt;Calculation!$E$3+7)</f>
        <v>0</v>
      </c>
    </row>
    <row r="3002" spans="1:10">
      <c r="A3002" t="s">
        <v>3001</v>
      </c>
      <c r="B3002" s="2">
        <v>42057.466999999997</v>
      </c>
      <c r="C3002" s="3" t="s">
        <v>5007</v>
      </c>
      <c r="D3002" t="s">
        <v>5016</v>
      </c>
      <c r="E3002" t="s">
        <v>5018</v>
      </c>
      <c r="F3002" t="s">
        <v>5018</v>
      </c>
      <c r="G3002">
        <v>41</v>
      </c>
      <c r="H3002" s="5">
        <v>1.5823049010925646E-3</v>
      </c>
      <c r="I3002">
        <v>4</v>
      </c>
      <c r="J3002" t="b">
        <f>AND(CCData[[#This Row],[Date]]&gt;=Calculation!$E$3,CCData[[#This Row],[Date]]&lt;Calculation!$E$3+7)</f>
        <v>0</v>
      </c>
    </row>
    <row r="3003" spans="1:10">
      <c r="A3003" t="s">
        <v>3002</v>
      </c>
      <c r="B3003" s="2">
        <v>42057.466999999997</v>
      </c>
      <c r="C3003" s="3" t="s">
        <v>5004</v>
      </c>
      <c r="D3003" t="s">
        <v>5016</v>
      </c>
      <c r="E3003" t="s">
        <v>5018</v>
      </c>
      <c r="F3003" t="s">
        <v>5018</v>
      </c>
      <c r="G3003">
        <v>81</v>
      </c>
      <c r="H3003" s="5">
        <v>1.3122787739430475E-3</v>
      </c>
      <c r="I3003">
        <v>3</v>
      </c>
      <c r="J3003" t="b">
        <f>AND(CCData[[#This Row],[Date]]&gt;=Calculation!$E$3,CCData[[#This Row],[Date]]&lt;Calculation!$E$3+7)</f>
        <v>0</v>
      </c>
    </row>
    <row r="3004" spans="1:10">
      <c r="A3004" t="s">
        <v>3003</v>
      </c>
      <c r="B3004" s="2">
        <v>42057.468000000001</v>
      </c>
      <c r="C3004" s="3" t="s">
        <v>5003</v>
      </c>
      <c r="D3004" t="s">
        <v>5013</v>
      </c>
      <c r="E3004" t="s">
        <v>5018</v>
      </c>
      <c r="F3004" t="s">
        <v>5018</v>
      </c>
      <c r="G3004">
        <v>21</v>
      </c>
      <c r="H3004" s="5">
        <v>3.801152973946701E-3</v>
      </c>
      <c r="I3004">
        <v>5</v>
      </c>
      <c r="J3004" t="b">
        <f>AND(CCData[[#This Row],[Date]]&gt;=Calculation!$E$3,CCData[[#This Row],[Date]]&lt;Calculation!$E$3+7)</f>
        <v>0</v>
      </c>
    </row>
    <row r="3005" spans="1:10">
      <c r="A3005" t="s">
        <v>3004</v>
      </c>
      <c r="B3005" s="2">
        <v>42057.468000000001</v>
      </c>
      <c r="C3005" s="3" t="s">
        <v>5008</v>
      </c>
      <c r="D3005" t="s">
        <v>5015</v>
      </c>
      <c r="E3005" t="s">
        <v>5019</v>
      </c>
      <c r="F3005" t="s">
        <v>5019</v>
      </c>
      <c r="G3005" t="s">
        <v>5022</v>
      </c>
      <c r="H3005" s="5" t="s">
        <v>5022</v>
      </c>
      <c r="I3005" t="s">
        <v>5022</v>
      </c>
      <c r="J3005" t="b">
        <f>AND(CCData[[#This Row],[Date]]&gt;=Calculation!$E$3,CCData[[#This Row],[Date]]&lt;Calculation!$E$3+7)</f>
        <v>0</v>
      </c>
    </row>
    <row r="3006" spans="1:10">
      <c r="A3006" t="s">
        <v>3005</v>
      </c>
      <c r="B3006" s="2">
        <v>42057.478999999999</v>
      </c>
      <c r="C3006" s="3" t="s">
        <v>5007</v>
      </c>
      <c r="D3006" t="s">
        <v>5016</v>
      </c>
      <c r="E3006" t="s">
        <v>5019</v>
      </c>
      <c r="F3006" t="s">
        <v>5019</v>
      </c>
      <c r="G3006" t="s">
        <v>5022</v>
      </c>
      <c r="H3006" s="5" t="s">
        <v>5022</v>
      </c>
      <c r="I3006" t="s">
        <v>5022</v>
      </c>
      <c r="J3006" t="b">
        <f>AND(CCData[[#This Row],[Date]]&gt;=Calculation!$E$3,CCData[[#This Row],[Date]]&lt;Calculation!$E$3+7)</f>
        <v>0</v>
      </c>
    </row>
    <row r="3007" spans="1:10">
      <c r="A3007" t="s">
        <v>3006</v>
      </c>
      <c r="B3007" s="2">
        <v>42057.478999999999</v>
      </c>
      <c r="C3007" s="3" t="s">
        <v>5007</v>
      </c>
      <c r="D3007" t="s">
        <v>5012</v>
      </c>
      <c r="E3007" t="s">
        <v>5018</v>
      </c>
      <c r="F3007" t="s">
        <v>5018</v>
      </c>
      <c r="G3007">
        <v>42</v>
      </c>
      <c r="H3007" s="5">
        <v>3.0980896073321633E-3</v>
      </c>
      <c r="I3007">
        <v>4</v>
      </c>
      <c r="J3007" t="b">
        <f>AND(CCData[[#This Row],[Date]]&gt;=Calculation!$E$3,CCData[[#This Row],[Date]]&lt;Calculation!$E$3+7)</f>
        <v>0</v>
      </c>
    </row>
    <row r="3008" spans="1:10">
      <c r="A3008" t="s">
        <v>3007</v>
      </c>
      <c r="B3008" s="2">
        <v>42057.499000000003</v>
      </c>
      <c r="C3008" s="3" t="s">
        <v>5006</v>
      </c>
      <c r="D3008" t="s">
        <v>5016</v>
      </c>
      <c r="E3008" t="s">
        <v>5018</v>
      </c>
      <c r="F3008" t="s">
        <v>5018</v>
      </c>
      <c r="G3008">
        <v>79</v>
      </c>
      <c r="H3008" s="5">
        <v>3.7151926995773114E-3</v>
      </c>
      <c r="I3008">
        <v>5</v>
      </c>
      <c r="J3008" t="b">
        <f>AND(CCData[[#This Row],[Date]]&gt;=Calculation!$E$3,CCData[[#This Row],[Date]]&lt;Calculation!$E$3+7)</f>
        <v>0</v>
      </c>
    </row>
    <row r="3009" spans="1:10">
      <c r="A3009" t="s">
        <v>3008</v>
      </c>
      <c r="B3009" s="2">
        <v>42057.499000000003</v>
      </c>
      <c r="C3009" s="3" t="s">
        <v>5006</v>
      </c>
      <c r="D3009" t="s">
        <v>5013</v>
      </c>
      <c r="E3009" t="s">
        <v>5018</v>
      </c>
      <c r="F3009" t="s">
        <v>5018</v>
      </c>
      <c r="G3009">
        <v>120</v>
      </c>
      <c r="H3009" s="5">
        <v>3.396922087969846E-3</v>
      </c>
      <c r="I3009">
        <v>4</v>
      </c>
      <c r="J3009" t="b">
        <f>AND(CCData[[#This Row],[Date]]&gt;=Calculation!$E$3,CCData[[#This Row],[Date]]&lt;Calculation!$E$3+7)</f>
        <v>0</v>
      </c>
    </row>
    <row r="3010" spans="1:10">
      <c r="A3010" t="s">
        <v>3009</v>
      </c>
      <c r="B3010" s="2">
        <v>42057.502999999997</v>
      </c>
      <c r="C3010" s="3" t="s">
        <v>5010</v>
      </c>
      <c r="D3010" t="s">
        <v>5015</v>
      </c>
      <c r="E3010" t="s">
        <v>5018</v>
      </c>
      <c r="F3010" t="s">
        <v>5018</v>
      </c>
      <c r="G3010">
        <v>10</v>
      </c>
      <c r="H3010" s="5">
        <v>1.781518003399863E-3</v>
      </c>
      <c r="I3010">
        <v>4</v>
      </c>
      <c r="J3010" t="b">
        <f>AND(CCData[[#This Row],[Date]]&gt;=Calculation!$E$3,CCData[[#This Row],[Date]]&lt;Calculation!$E$3+7)</f>
        <v>0</v>
      </c>
    </row>
    <row r="3011" spans="1:10">
      <c r="A3011" t="s">
        <v>3010</v>
      </c>
      <c r="B3011" s="2">
        <v>42057.502999999997</v>
      </c>
      <c r="C3011" s="3" t="s">
        <v>5007</v>
      </c>
      <c r="D3011" t="s">
        <v>5016</v>
      </c>
      <c r="E3011" t="s">
        <v>5018</v>
      </c>
      <c r="F3011" t="s">
        <v>5018</v>
      </c>
      <c r="G3011">
        <v>21</v>
      </c>
      <c r="H3011" s="5">
        <v>3.5298147651650715E-3</v>
      </c>
      <c r="I3011">
        <v>1</v>
      </c>
      <c r="J3011" t="b">
        <f>AND(CCData[[#This Row],[Date]]&gt;=Calculation!$E$3,CCData[[#This Row],[Date]]&lt;Calculation!$E$3+7)</f>
        <v>0</v>
      </c>
    </row>
    <row r="3012" spans="1:10">
      <c r="A3012" t="s">
        <v>3011</v>
      </c>
      <c r="B3012" s="2">
        <v>42057.542999999998</v>
      </c>
      <c r="C3012" s="3" t="s">
        <v>5003</v>
      </c>
      <c r="D3012" t="s">
        <v>5013</v>
      </c>
      <c r="E3012" t="s">
        <v>5018</v>
      </c>
      <c r="F3012" t="s">
        <v>5019</v>
      </c>
      <c r="G3012">
        <v>16</v>
      </c>
      <c r="H3012" s="5">
        <v>2.4886548686919238E-3</v>
      </c>
      <c r="I3012">
        <v>5</v>
      </c>
      <c r="J3012" t="b">
        <f>AND(CCData[[#This Row],[Date]]&gt;=Calculation!$E$3,CCData[[#This Row],[Date]]&lt;Calculation!$E$3+7)</f>
        <v>0</v>
      </c>
    </row>
    <row r="3013" spans="1:10">
      <c r="A3013" t="s">
        <v>3012</v>
      </c>
      <c r="B3013" s="2">
        <v>42057.542999999998</v>
      </c>
      <c r="C3013" s="3" t="s">
        <v>5008</v>
      </c>
      <c r="D3013" t="s">
        <v>5014</v>
      </c>
      <c r="E3013" t="s">
        <v>5018</v>
      </c>
      <c r="F3013" t="s">
        <v>5018</v>
      </c>
      <c r="G3013">
        <v>34</v>
      </c>
      <c r="H3013" s="5">
        <v>4.3857426234723785E-3</v>
      </c>
      <c r="I3013">
        <v>5</v>
      </c>
      <c r="J3013" t="b">
        <f>AND(CCData[[#This Row],[Date]]&gt;=Calculation!$E$3,CCData[[#This Row],[Date]]&lt;Calculation!$E$3+7)</f>
        <v>0</v>
      </c>
    </row>
    <row r="3014" spans="1:10">
      <c r="A3014" t="s">
        <v>3013</v>
      </c>
      <c r="B3014" s="2">
        <v>42057.555</v>
      </c>
      <c r="C3014" s="3" t="s">
        <v>5003</v>
      </c>
      <c r="D3014" t="s">
        <v>5012</v>
      </c>
      <c r="E3014" t="s">
        <v>5018</v>
      </c>
      <c r="F3014" t="s">
        <v>5018</v>
      </c>
      <c r="G3014">
        <v>116</v>
      </c>
      <c r="H3014" s="5">
        <v>4.7780120166793097E-3</v>
      </c>
      <c r="I3014">
        <v>1</v>
      </c>
      <c r="J3014" t="b">
        <f>AND(CCData[[#This Row],[Date]]&gt;=Calculation!$E$3,CCData[[#This Row],[Date]]&lt;Calculation!$E$3+7)</f>
        <v>0</v>
      </c>
    </row>
    <row r="3015" spans="1:10">
      <c r="A3015" t="s">
        <v>3014</v>
      </c>
      <c r="B3015" s="2">
        <v>42057.555</v>
      </c>
      <c r="C3015" s="3" t="s">
        <v>5006</v>
      </c>
      <c r="D3015" t="s">
        <v>5015</v>
      </c>
      <c r="E3015" t="s">
        <v>5018</v>
      </c>
      <c r="F3015" t="s">
        <v>5018</v>
      </c>
      <c r="G3015">
        <v>28</v>
      </c>
      <c r="H3015" s="5">
        <v>4.4598586661643005E-3</v>
      </c>
      <c r="I3015">
        <v>2</v>
      </c>
      <c r="J3015" t="b">
        <f>AND(CCData[[#This Row],[Date]]&gt;=Calculation!$E$3,CCData[[#This Row],[Date]]&lt;Calculation!$E$3+7)</f>
        <v>0</v>
      </c>
    </row>
    <row r="3016" spans="1:10">
      <c r="A3016" t="s">
        <v>3015</v>
      </c>
      <c r="B3016" s="2">
        <v>42057.563000000002</v>
      </c>
      <c r="C3016" s="3" t="s">
        <v>5009</v>
      </c>
      <c r="D3016" t="s">
        <v>5013</v>
      </c>
      <c r="E3016" t="s">
        <v>5018</v>
      </c>
      <c r="F3016" t="s">
        <v>5018</v>
      </c>
      <c r="G3016">
        <v>75</v>
      </c>
      <c r="H3016" s="5">
        <v>1.7759610179517063E-3</v>
      </c>
      <c r="I3016">
        <v>3</v>
      </c>
      <c r="J3016" t="b">
        <f>AND(CCData[[#This Row],[Date]]&gt;=Calculation!$E$3,CCData[[#This Row],[Date]]&lt;Calculation!$E$3+7)</f>
        <v>0</v>
      </c>
    </row>
    <row r="3017" spans="1:10">
      <c r="A3017" t="s">
        <v>3016</v>
      </c>
      <c r="B3017" s="2">
        <v>42057.563000000002</v>
      </c>
      <c r="C3017" s="3" t="s">
        <v>5009</v>
      </c>
      <c r="D3017" t="s">
        <v>5014</v>
      </c>
      <c r="E3017" t="s">
        <v>5019</v>
      </c>
      <c r="F3017" t="s">
        <v>5019</v>
      </c>
      <c r="G3017" t="s">
        <v>5022</v>
      </c>
      <c r="H3017" s="5" t="s">
        <v>5022</v>
      </c>
      <c r="I3017" t="s">
        <v>5022</v>
      </c>
      <c r="J3017" t="b">
        <f>AND(CCData[[#This Row],[Date]]&gt;=Calculation!$E$3,CCData[[#This Row],[Date]]&lt;Calculation!$E$3+7)</f>
        <v>0</v>
      </c>
    </row>
    <row r="3018" spans="1:10">
      <c r="A3018" t="s">
        <v>3017</v>
      </c>
      <c r="B3018" s="2">
        <v>42057.588000000003</v>
      </c>
      <c r="C3018" s="3" t="s">
        <v>5008</v>
      </c>
      <c r="D3018" t="s">
        <v>5014</v>
      </c>
      <c r="E3018" t="s">
        <v>5018</v>
      </c>
      <c r="F3018" t="s">
        <v>5019</v>
      </c>
      <c r="G3018">
        <v>29</v>
      </c>
      <c r="H3018" s="5">
        <v>2.4730028017922027E-3</v>
      </c>
      <c r="I3018">
        <v>2</v>
      </c>
      <c r="J3018" t="b">
        <f>AND(CCData[[#This Row],[Date]]&gt;=Calculation!$E$3,CCData[[#This Row],[Date]]&lt;Calculation!$E$3+7)</f>
        <v>0</v>
      </c>
    </row>
    <row r="3019" spans="1:10">
      <c r="A3019" t="s">
        <v>3018</v>
      </c>
      <c r="B3019" s="2">
        <v>42057.588000000003</v>
      </c>
      <c r="C3019" s="3" t="s">
        <v>5007</v>
      </c>
      <c r="D3019" t="s">
        <v>5013</v>
      </c>
      <c r="E3019" t="s">
        <v>5019</v>
      </c>
      <c r="F3019" t="s">
        <v>5019</v>
      </c>
      <c r="G3019" t="s">
        <v>5022</v>
      </c>
      <c r="H3019" s="5" t="s">
        <v>5022</v>
      </c>
      <c r="I3019" t="s">
        <v>5022</v>
      </c>
      <c r="J3019" t="b">
        <f>AND(CCData[[#This Row],[Date]]&gt;=Calculation!$E$3,CCData[[#This Row],[Date]]&lt;Calculation!$E$3+7)</f>
        <v>0</v>
      </c>
    </row>
    <row r="3020" spans="1:10">
      <c r="A3020" t="s">
        <v>3019</v>
      </c>
      <c r="B3020" s="2">
        <v>42057.606</v>
      </c>
      <c r="C3020" s="3" t="s">
        <v>5004</v>
      </c>
      <c r="D3020" t="s">
        <v>5013</v>
      </c>
      <c r="E3020" t="s">
        <v>5019</v>
      </c>
      <c r="F3020" t="s">
        <v>5019</v>
      </c>
      <c r="G3020" t="s">
        <v>5022</v>
      </c>
      <c r="H3020" s="5" t="s">
        <v>5022</v>
      </c>
      <c r="I3020" t="s">
        <v>5022</v>
      </c>
      <c r="J3020" t="b">
        <f>AND(CCData[[#This Row],[Date]]&gt;=Calculation!$E$3,CCData[[#This Row],[Date]]&lt;Calculation!$E$3+7)</f>
        <v>0</v>
      </c>
    </row>
    <row r="3021" spans="1:10">
      <c r="A3021" t="s">
        <v>3020</v>
      </c>
      <c r="B3021" s="2">
        <v>42057.606</v>
      </c>
      <c r="C3021" s="3" t="s">
        <v>5010</v>
      </c>
      <c r="D3021" t="s">
        <v>5013</v>
      </c>
      <c r="E3021" t="s">
        <v>5018</v>
      </c>
      <c r="F3021" t="s">
        <v>5018</v>
      </c>
      <c r="G3021">
        <v>118</v>
      </c>
      <c r="H3021" s="5">
        <v>1.5109761845179712E-3</v>
      </c>
      <c r="I3021">
        <v>4</v>
      </c>
      <c r="J3021" t="b">
        <f>AND(CCData[[#This Row],[Date]]&gt;=Calculation!$E$3,CCData[[#This Row],[Date]]&lt;Calculation!$E$3+7)</f>
        <v>0</v>
      </c>
    </row>
    <row r="3022" spans="1:10">
      <c r="A3022" t="s">
        <v>3021</v>
      </c>
      <c r="B3022" s="2">
        <v>42057.606</v>
      </c>
      <c r="C3022" s="3" t="s">
        <v>5010</v>
      </c>
      <c r="D3022" t="s">
        <v>5015</v>
      </c>
      <c r="E3022" t="s">
        <v>5018</v>
      </c>
      <c r="F3022" t="s">
        <v>5018</v>
      </c>
      <c r="G3022">
        <v>87</v>
      </c>
      <c r="H3022" s="5">
        <v>3.5181303441298617E-3</v>
      </c>
      <c r="I3022">
        <v>3</v>
      </c>
      <c r="J3022" t="b">
        <f>AND(CCData[[#This Row],[Date]]&gt;=Calculation!$E$3,CCData[[#This Row],[Date]]&lt;Calculation!$E$3+7)</f>
        <v>0</v>
      </c>
    </row>
    <row r="3023" spans="1:10">
      <c r="A3023" t="s">
        <v>3022</v>
      </c>
      <c r="B3023" s="2">
        <v>42057.606</v>
      </c>
      <c r="C3023" s="3" t="s">
        <v>5003</v>
      </c>
      <c r="D3023" t="s">
        <v>5016</v>
      </c>
      <c r="E3023" t="s">
        <v>5018</v>
      </c>
      <c r="F3023" t="s">
        <v>5019</v>
      </c>
      <c r="G3023">
        <v>100</v>
      </c>
      <c r="H3023" s="5">
        <v>4.6877174143124352E-3</v>
      </c>
      <c r="I3023">
        <v>3</v>
      </c>
      <c r="J3023" t="b">
        <f>AND(CCData[[#This Row],[Date]]&gt;=Calculation!$E$3,CCData[[#This Row],[Date]]&lt;Calculation!$E$3+7)</f>
        <v>0</v>
      </c>
    </row>
    <row r="3024" spans="1:10">
      <c r="A3024" t="s">
        <v>3023</v>
      </c>
      <c r="B3024" s="2">
        <v>42057.633999999998</v>
      </c>
      <c r="C3024" s="3" t="s">
        <v>5004</v>
      </c>
      <c r="D3024" t="s">
        <v>5015</v>
      </c>
      <c r="E3024" t="s">
        <v>5018</v>
      </c>
      <c r="F3024" t="s">
        <v>5018</v>
      </c>
      <c r="G3024">
        <v>114</v>
      </c>
      <c r="H3024" s="5">
        <v>3.5324932167342567E-3</v>
      </c>
      <c r="I3024">
        <v>2</v>
      </c>
      <c r="J3024" t="b">
        <f>AND(CCData[[#This Row],[Date]]&gt;=Calculation!$E$3,CCData[[#This Row],[Date]]&lt;Calculation!$E$3+7)</f>
        <v>0</v>
      </c>
    </row>
    <row r="3025" spans="1:10">
      <c r="A3025" t="s">
        <v>3024</v>
      </c>
      <c r="B3025" s="2">
        <v>42057.633999999998</v>
      </c>
      <c r="C3025" s="3" t="s">
        <v>5005</v>
      </c>
      <c r="D3025" t="s">
        <v>5013</v>
      </c>
      <c r="E3025" t="s">
        <v>5018</v>
      </c>
      <c r="F3025" t="s">
        <v>5018</v>
      </c>
      <c r="G3025">
        <v>69</v>
      </c>
      <c r="H3025" s="5">
        <v>4.0598169753223897E-4</v>
      </c>
      <c r="I3025">
        <v>4</v>
      </c>
      <c r="J3025" t="b">
        <f>AND(CCData[[#This Row],[Date]]&gt;=Calculation!$E$3,CCData[[#This Row],[Date]]&lt;Calculation!$E$3+7)</f>
        <v>0</v>
      </c>
    </row>
    <row r="3026" spans="1:10">
      <c r="A3026" t="s">
        <v>3025</v>
      </c>
      <c r="B3026" s="2">
        <v>42057.637999999999</v>
      </c>
      <c r="C3026" s="3" t="s">
        <v>5007</v>
      </c>
      <c r="D3026" t="s">
        <v>5015</v>
      </c>
      <c r="E3026" t="s">
        <v>5018</v>
      </c>
      <c r="F3026" t="s">
        <v>5018</v>
      </c>
      <c r="G3026">
        <v>112</v>
      </c>
      <c r="H3026" s="5">
        <v>1.3823502375555209E-3</v>
      </c>
      <c r="I3026">
        <v>3</v>
      </c>
      <c r="J3026" t="b">
        <f>AND(CCData[[#This Row],[Date]]&gt;=Calculation!$E$3,CCData[[#This Row],[Date]]&lt;Calculation!$E$3+7)</f>
        <v>0</v>
      </c>
    </row>
    <row r="3027" spans="1:10">
      <c r="A3027" t="s">
        <v>3026</v>
      </c>
      <c r="B3027" s="2">
        <v>42057.637999999999</v>
      </c>
      <c r="C3027" s="3" t="s">
        <v>5010</v>
      </c>
      <c r="D3027" t="s">
        <v>5013</v>
      </c>
      <c r="E3027" t="s">
        <v>5019</v>
      </c>
      <c r="F3027" t="s">
        <v>5019</v>
      </c>
      <c r="G3027" t="s">
        <v>5022</v>
      </c>
      <c r="H3027" s="5" t="s">
        <v>5022</v>
      </c>
      <c r="I3027" t="s">
        <v>5022</v>
      </c>
      <c r="J3027" t="b">
        <f>AND(CCData[[#This Row],[Date]]&gt;=Calculation!$E$3,CCData[[#This Row],[Date]]&lt;Calculation!$E$3+7)</f>
        <v>0</v>
      </c>
    </row>
    <row r="3028" spans="1:10">
      <c r="A3028" t="s">
        <v>3027</v>
      </c>
      <c r="B3028" s="2">
        <v>42057.650999999998</v>
      </c>
      <c r="C3028" s="3" t="s">
        <v>5005</v>
      </c>
      <c r="D3028" t="s">
        <v>5016</v>
      </c>
      <c r="E3028" t="s">
        <v>5018</v>
      </c>
      <c r="F3028" t="s">
        <v>5018</v>
      </c>
      <c r="G3028">
        <v>48</v>
      </c>
      <c r="H3028" s="5">
        <v>1.3184736652592382E-3</v>
      </c>
      <c r="I3028">
        <v>3</v>
      </c>
      <c r="J3028" t="b">
        <f>AND(CCData[[#This Row],[Date]]&gt;=Calculation!$E$3,CCData[[#This Row],[Date]]&lt;Calculation!$E$3+7)</f>
        <v>0</v>
      </c>
    </row>
    <row r="3029" spans="1:10">
      <c r="A3029" t="s">
        <v>3028</v>
      </c>
      <c r="B3029" s="2">
        <v>42057.650999999998</v>
      </c>
      <c r="C3029" s="3" t="s">
        <v>5004</v>
      </c>
      <c r="D3029" t="s">
        <v>5014</v>
      </c>
      <c r="E3029" t="s">
        <v>5018</v>
      </c>
      <c r="F3029" t="s">
        <v>5018</v>
      </c>
      <c r="G3029">
        <v>92</v>
      </c>
      <c r="H3029" s="5">
        <v>9.9757045215274919E-4</v>
      </c>
      <c r="I3029">
        <v>2</v>
      </c>
      <c r="J3029" t="b">
        <f>AND(CCData[[#This Row],[Date]]&gt;=Calculation!$E$3,CCData[[#This Row],[Date]]&lt;Calculation!$E$3+7)</f>
        <v>0</v>
      </c>
    </row>
    <row r="3030" spans="1:10">
      <c r="A3030" t="s">
        <v>3029</v>
      </c>
      <c r="B3030" s="2">
        <v>42057.650999999998</v>
      </c>
      <c r="C3030" s="3" t="s">
        <v>5007</v>
      </c>
      <c r="D3030" t="s">
        <v>5016</v>
      </c>
      <c r="E3030" t="s">
        <v>5018</v>
      </c>
      <c r="F3030" t="s">
        <v>5018</v>
      </c>
      <c r="G3030">
        <v>102</v>
      </c>
      <c r="H3030" s="5">
        <v>4.556937105703528E-3</v>
      </c>
      <c r="I3030">
        <v>4</v>
      </c>
      <c r="J3030" t="b">
        <f>AND(CCData[[#This Row],[Date]]&gt;=Calculation!$E$3,CCData[[#This Row],[Date]]&lt;Calculation!$E$3+7)</f>
        <v>0</v>
      </c>
    </row>
    <row r="3031" spans="1:10">
      <c r="A3031" t="s">
        <v>3030</v>
      </c>
      <c r="B3031" s="2">
        <v>42057.650999999998</v>
      </c>
      <c r="C3031" s="3" t="s">
        <v>5009</v>
      </c>
      <c r="D3031" t="s">
        <v>5013</v>
      </c>
      <c r="E3031" t="s">
        <v>5018</v>
      </c>
      <c r="F3031" t="s">
        <v>5018</v>
      </c>
      <c r="G3031">
        <v>16</v>
      </c>
      <c r="H3031" s="5">
        <v>4.5236789006015948E-3</v>
      </c>
      <c r="I3031">
        <v>3</v>
      </c>
      <c r="J3031" t="b">
        <f>AND(CCData[[#This Row],[Date]]&gt;=Calculation!$E$3,CCData[[#This Row],[Date]]&lt;Calculation!$E$3+7)</f>
        <v>0</v>
      </c>
    </row>
    <row r="3032" spans="1:10">
      <c r="A3032" t="s">
        <v>3031</v>
      </c>
      <c r="B3032" s="2">
        <v>42057.654000000002</v>
      </c>
      <c r="C3032" s="3" t="s">
        <v>5008</v>
      </c>
      <c r="D3032" t="s">
        <v>5013</v>
      </c>
      <c r="E3032" t="s">
        <v>5018</v>
      </c>
      <c r="F3032" t="s">
        <v>5018</v>
      </c>
      <c r="G3032">
        <v>58</v>
      </c>
      <c r="H3032" s="5">
        <v>2.0045752447676673E-3</v>
      </c>
      <c r="I3032">
        <v>5</v>
      </c>
      <c r="J3032" t="b">
        <f>AND(CCData[[#This Row],[Date]]&gt;=Calculation!$E$3,CCData[[#This Row],[Date]]&lt;Calculation!$E$3+7)</f>
        <v>0</v>
      </c>
    </row>
    <row r="3033" spans="1:10">
      <c r="A3033" t="s">
        <v>3032</v>
      </c>
      <c r="B3033" s="2">
        <v>42057.654000000002</v>
      </c>
      <c r="C3033" s="3" t="s">
        <v>5004</v>
      </c>
      <c r="D3033" t="s">
        <v>5012</v>
      </c>
      <c r="E3033" t="s">
        <v>5018</v>
      </c>
      <c r="F3033" t="s">
        <v>5018</v>
      </c>
      <c r="G3033">
        <v>87</v>
      </c>
      <c r="H3033" s="5">
        <v>1.1750742831007242E-3</v>
      </c>
      <c r="I3033">
        <v>5</v>
      </c>
      <c r="J3033" t="b">
        <f>AND(CCData[[#This Row],[Date]]&gt;=Calculation!$E$3,CCData[[#This Row],[Date]]&lt;Calculation!$E$3+7)</f>
        <v>0</v>
      </c>
    </row>
    <row r="3034" spans="1:10">
      <c r="A3034" t="s">
        <v>3033</v>
      </c>
      <c r="B3034" s="2">
        <v>42057.659</v>
      </c>
      <c r="C3034" s="3" t="s">
        <v>5008</v>
      </c>
      <c r="D3034" t="s">
        <v>5012</v>
      </c>
      <c r="E3034" t="s">
        <v>5018</v>
      </c>
      <c r="F3034" t="s">
        <v>5018</v>
      </c>
      <c r="G3034">
        <v>88</v>
      </c>
      <c r="H3034" s="5">
        <v>8.899365960512082E-4</v>
      </c>
      <c r="I3034">
        <v>4</v>
      </c>
      <c r="J3034" t="b">
        <f>AND(CCData[[#This Row],[Date]]&gt;=Calculation!$E$3,CCData[[#This Row],[Date]]&lt;Calculation!$E$3+7)</f>
        <v>0</v>
      </c>
    </row>
    <row r="3035" spans="1:10">
      <c r="A3035" t="s">
        <v>3034</v>
      </c>
      <c r="B3035" s="2">
        <v>42057.659</v>
      </c>
      <c r="C3035" s="3" t="s">
        <v>5010</v>
      </c>
      <c r="D3035" t="s">
        <v>5015</v>
      </c>
      <c r="E3035" t="s">
        <v>5018</v>
      </c>
      <c r="F3035" t="s">
        <v>5018</v>
      </c>
      <c r="G3035">
        <v>59</v>
      </c>
      <c r="H3035" s="5">
        <v>2.5737419319426459E-3</v>
      </c>
      <c r="I3035">
        <v>3</v>
      </c>
      <c r="J3035" t="b">
        <f>AND(CCData[[#This Row],[Date]]&gt;=Calculation!$E$3,CCData[[#This Row],[Date]]&lt;Calculation!$E$3+7)</f>
        <v>0</v>
      </c>
    </row>
    <row r="3036" spans="1:10">
      <c r="A3036" t="s">
        <v>3035</v>
      </c>
      <c r="B3036" s="2">
        <v>42057.684999999998</v>
      </c>
      <c r="C3036" s="3" t="s">
        <v>5007</v>
      </c>
      <c r="D3036" t="s">
        <v>5016</v>
      </c>
      <c r="E3036" t="s">
        <v>5018</v>
      </c>
      <c r="F3036" t="s">
        <v>5018</v>
      </c>
      <c r="G3036">
        <v>11</v>
      </c>
      <c r="H3036" s="5">
        <v>2.2550179842795691E-3</v>
      </c>
      <c r="I3036">
        <v>3</v>
      </c>
      <c r="J3036" t="b">
        <f>AND(CCData[[#This Row],[Date]]&gt;=Calculation!$E$3,CCData[[#This Row],[Date]]&lt;Calculation!$E$3+7)</f>
        <v>0</v>
      </c>
    </row>
    <row r="3037" spans="1:10">
      <c r="A3037" t="s">
        <v>3036</v>
      </c>
      <c r="B3037" s="2">
        <v>42057.684999999998</v>
      </c>
      <c r="C3037" s="3" t="s">
        <v>5008</v>
      </c>
      <c r="D3037" t="s">
        <v>5013</v>
      </c>
      <c r="E3037" t="s">
        <v>5018</v>
      </c>
      <c r="F3037" t="s">
        <v>5018</v>
      </c>
      <c r="G3037">
        <v>75</v>
      </c>
      <c r="H3037" s="5">
        <v>4.5451910081291663E-3</v>
      </c>
      <c r="I3037">
        <v>3</v>
      </c>
      <c r="J3037" t="b">
        <f>AND(CCData[[#This Row],[Date]]&gt;=Calculation!$E$3,CCData[[#This Row],[Date]]&lt;Calculation!$E$3+7)</f>
        <v>0</v>
      </c>
    </row>
    <row r="3038" spans="1:10">
      <c r="A3038" t="s">
        <v>3037</v>
      </c>
      <c r="B3038" s="2">
        <v>42057.694000000003</v>
      </c>
      <c r="C3038" s="3" t="s">
        <v>5006</v>
      </c>
      <c r="D3038" t="s">
        <v>5015</v>
      </c>
      <c r="E3038" t="s">
        <v>5018</v>
      </c>
      <c r="F3038" t="s">
        <v>5018</v>
      </c>
      <c r="G3038">
        <v>64</v>
      </c>
      <c r="H3038" s="5">
        <v>4.5960738627106043E-3</v>
      </c>
      <c r="I3038">
        <v>3</v>
      </c>
      <c r="J3038" t="b">
        <f>AND(CCData[[#This Row],[Date]]&gt;=Calculation!$E$3,CCData[[#This Row],[Date]]&lt;Calculation!$E$3+7)</f>
        <v>0</v>
      </c>
    </row>
    <row r="3039" spans="1:10">
      <c r="A3039" t="s">
        <v>3038</v>
      </c>
      <c r="B3039" s="2">
        <v>42057.694000000003</v>
      </c>
      <c r="C3039" s="3" t="s">
        <v>5004</v>
      </c>
      <c r="D3039" t="s">
        <v>5016</v>
      </c>
      <c r="E3039" t="s">
        <v>5018</v>
      </c>
      <c r="F3039" t="s">
        <v>5018</v>
      </c>
      <c r="G3039">
        <v>95</v>
      </c>
      <c r="H3039" s="5">
        <v>3.6554883140811028E-3</v>
      </c>
      <c r="I3039">
        <v>1</v>
      </c>
      <c r="J3039" t="b">
        <f>AND(CCData[[#This Row],[Date]]&gt;=Calculation!$E$3,CCData[[#This Row],[Date]]&lt;Calculation!$E$3+7)</f>
        <v>0</v>
      </c>
    </row>
    <row r="3040" spans="1:10">
      <c r="A3040" t="s">
        <v>3039</v>
      </c>
      <c r="B3040" s="2">
        <v>42057.705000000002</v>
      </c>
      <c r="C3040" s="3" t="s">
        <v>5009</v>
      </c>
      <c r="D3040" t="s">
        <v>5013</v>
      </c>
      <c r="E3040" t="s">
        <v>5018</v>
      </c>
      <c r="F3040" t="s">
        <v>5018</v>
      </c>
      <c r="G3040">
        <v>94</v>
      </c>
      <c r="H3040" s="5">
        <v>3.4925876495940705E-3</v>
      </c>
      <c r="I3040">
        <v>4</v>
      </c>
      <c r="J3040" t="b">
        <f>AND(CCData[[#This Row],[Date]]&gt;=Calculation!$E$3,CCData[[#This Row],[Date]]&lt;Calculation!$E$3+7)</f>
        <v>0</v>
      </c>
    </row>
    <row r="3041" spans="1:10">
      <c r="A3041" t="s">
        <v>3040</v>
      </c>
      <c r="B3041" s="2">
        <v>42057.705000000002</v>
      </c>
      <c r="C3041" s="3" t="s">
        <v>5006</v>
      </c>
      <c r="D3041" t="s">
        <v>5014</v>
      </c>
      <c r="E3041" t="s">
        <v>5019</v>
      </c>
      <c r="F3041" t="s">
        <v>5019</v>
      </c>
      <c r="G3041" t="s">
        <v>5022</v>
      </c>
      <c r="H3041" s="5" t="s">
        <v>5022</v>
      </c>
      <c r="I3041" t="s">
        <v>5022</v>
      </c>
      <c r="J3041" t="b">
        <f>AND(CCData[[#This Row],[Date]]&gt;=Calculation!$E$3,CCData[[#This Row],[Date]]&lt;Calculation!$E$3+7)</f>
        <v>0</v>
      </c>
    </row>
    <row r="3042" spans="1:10">
      <c r="A3042" t="s">
        <v>3041</v>
      </c>
      <c r="B3042" s="2">
        <v>42057.711000000003</v>
      </c>
      <c r="C3042" s="3" t="s">
        <v>5008</v>
      </c>
      <c r="D3042" t="s">
        <v>5012</v>
      </c>
      <c r="E3042" t="s">
        <v>5019</v>
      </c>
      <c r="F3042" t="s">
        <v>5019</v>
      </c>
      <c r="G3042" t="s">
        <v>5022</v>
      </c>
      <c r="H3042" s="5" t="s">
        <v>5022</v>
      </c>
      <c r="I3042" t="s">
        <v>5022</v>
      </c>
      <c r="J3042" t="b">
        <f>AND(CCData[[#This Row],[Date]]&gt;=Calculation!$E$3,CCData[[#This Row],[Date]]&lt;Calculation!$E$3+7)</f>
        <v>0</v>
      </c>
    </row>
    <row r="3043" spans="1:10">
      <c r="A3043" t="s">
        <v>3042</v>
      </c>
      <c r="B3043" s="2">
        <v>42057.711000000003</v>
      </c>
      <c r="C3043" s="3" t="s">
        <v>5004</v>
      </c>
      <c r="D3043" t="s">
        <v>5015</v>
      </c>
      <c r="E3043" t="s">
        <v>5019</v>
      </c>
      <c r="F3043" t="s">
        <v>5019</v>
      </c>
      <c r="G3043" t="s">
        <v>5022</v>
      </c>
      <c r="H3043" s="5" t="s">
        <v>5022</v>
      </c>
      <c r="I3043" t="s">
        <v>5022</v>
      </c>
      <c r="J3043" t="b">
        <f>AND(CCData[[#This Row],[Date]]&gt;=Calculation!$E$3,CCData[[#This Row],[Date]]&lt;Calculation!$E$3+7)</f>
        <v>0</v>
      </c>
    </row>
    <row r="3044" spans="1:10">
      <c r="A3044" t="s">
        <v>3043</v>
      </c>
      <c r="B3044" s="2">
        <v>42057.714999999997</v>
      </c>
      <c r="C3044" s="3" t="s">
        <v>5010</v>
      </c>
      <c r="D3044" t="s">
        <v>5012</v>
      </c>
      <c r="E3044" t="s">
        <v>5019</v>
      </c>
      <c r="F3044" t="s">
        <v>5019</v>
      </c>
      <c r="G3044" t="s">
        <v>5022</v>
      </c>
      <c r="H3044" s="5" t="s">
        <v>5022</v>
      </c>
      <c r="I3044" t="s">
        <v>5022</v>
      </c>
      <c r="J3044" t="b">
        <f>AND(CCData[[#This Row],[Date]]&gt;=Calculation!$E$3,CCData[[#This Row],[Date]]&lt;Calculation!$E$3+7)</f>
        <v>0</v>
      </c>
    </row>
    <row r="3045" spans="1:10">
      <c r="A3045" t="s">
        <v>3044</v>
      </c>
      <c r="B3045" s="2">
        <v>42057.714999999997</v>
      </c>
      <c r="C3045" s="3" t="s">
        <v>5003</v>
      </c>
      <c r="D3045" t="s">
        <v>5012</v>
      </c>
      <c r="E3045" t="s">
        <v>5018</v>
      </c>
      <c r="F3045" t="s">
        <v>5018</v>
      </c>
      <c r="G3045">
        <v>41</v>
      </c>
      <c r="H3045" s="5">
        <v>1.4819045566092301E-3</v>
      </c>
      <c r="I3045">
        <v>3</v>
      </c>
      <c r="J3045" t="b">
        <f>AND(CCData[[#This Row],[Date]]&gt;=Calculation!$E$3,CCData[[#This Row],[Date]]&lt;Calculation!$E$3+7)</f>
        <v>0</v>
      </c>
    </row>
    <row r="3046" spans="1:10">
      <c r="A3046" t="s">
        <v>3045</v>
      </c>
      <c r="B3046" s="2">
        <v>42057.722000000002</v>
      </c>
      <c r="C3046" s="3" t="s">
        <v>5003</v>
      </c>
      <c r="D3046" t="s">
        <v>5015</v>
      </c>
      <c r="E3046" t="s">
        <v>5018</v>
      </c>
      <c r="F3046" t="s">
        <v>5018</v>
      </c>
      <c r="G3046">
        <v>38</v>
      </c>
      <c r="H3046" s="5">
        <v>2.6355716750086607E-3</v>
      </c>
      <c r="I3046">
        <v>3</v>
      </c>
      <c r="J3046" t="b">
        <f>AND(CCData[[#This Row],[Date]]&gt;=Calculation!$E$3,CCData[[#This Row],[Date]]&lt;Calculation!$E$3+7)</f>
        <v>0</v>
      </c>
    </row>
    <row r="3047" spans="1:10">
      <c r="A3047" t="s">
        <v>3046</v>
      </c>
      <c r="B3047" s="2">
        <v>42057.722000000002</v>
      </c>
      <c r="C3047" s="3" t="s">
        <v>5009</v>
      </c>
      <c r="D3047" t="s">
        <v>5016</v>
      </c>
      <c r="E3047" t="s">
        <v>5018</v>
      </c>
      <c r="F3047" t="s">
        <v>5018</v>
      </c>
      <c r="G3047">
        <v>33</v>
      </c>
      <c r="H3047" s="5">
        <v>1.1780377755367367E-3</v>
      </c>
      <c r="I3047">
        <v>5</v>
      </c>
      <c r="J3047" t="b">
        <f>AND(CCData[[#This Row],[Date]]&gt;=Calculation!$E$3,CCData[[#This Row],[Date]]&lt;Calculation!$E$3+7)</f>
        <v>0</v>
      </c>
    </row>
    <row r="3048" spans="1:10">
      <c r="A3048" t="s">
        <v>3047</v>
      </c>
      <c r="B3048" s="2">
        <v>42058.377</v>
      </c>
      <c r="C3048" s="3" t="s">
        <v>5010</v>
      </c>
      <c r="D3048" t="s">
        <v>5013</v>
      </c>
      <c r="E3048" t="s">
        <v>5018</v>
      </c>
      <c r="F3048" t="s">
        <v>5018</v>
      </c>
      <c r="G3048">
        <v>49</v>
      </c>
      <c r="H3048" s="5">
        <v>7.1009455472791322E-4</v>
      </c>
      <c r="I3048">
        <v>3</v>
      </c>
      <c r="J3048" t="b">
        <f>AND(CCData[[#This Row],[Date]]&gt;=Calculation!$E$3,CCData[[#This Row],[Date]]&lt;Calculation!$E$3+7)</f>
        <v>0</v>
      </c>
    </row>
    <row r="3049" spans="1:10">
      <c r="A3049" t="s">
        <v>3048</v>
      </c>
      <c r="B3049" s="2">
        <v>42058.377</v>
      </c>
      <c r="C3049" s="3" t="s">
        <v>5010</v>
      </c>
      <c r="D3049" t="s">
        <v>5016</v>
      </c>
      <c r="E3049" t="s">
        <v>5018</v>
      </c>
      <c r="F3049" t="s">
        <v>5018</v>
      </c>
      <c r="G3049">
        <v>97</v>
      </c>
      <c r="H3049" s="5">
        <v>5.3155666485453989E-4</v>
      </c>
      <c r="I3049">
        <v>5</v>
      </c>
      <c r="J3049" t="b">
        <f>AND(CCData[[#This Row],[Date]]&gt;=Calculation!$E$3,CCData[[#This Row],[Date]]&lt;Calculation!$E$3+7)</f>
        <v>0</v>
      </c>
    </row>
    <row r="3050" spans="1:10">
      <c r="A3050" t="s">
        <v>3049</v>
      </c>
      <c r="B3050" s="2">
        <v>42058.391000000003</v>
      </c>
      <c r="C3050" s="3" t="s">
        <v>5004</v>
      </c>
      <c r="D3050" t="s">
        <v>5014</v>
      </c>
      <c r="E3050" t="s">
        <v>5018</v>
      </c>
      <c r="F3050" t="s">
        <v>5018</v>
      </c>
      <c r="G3050">
        <v>23</v>
      </c>
      <c r="H3050" s="5">
        <v>2.0004729945311329E-3</v>
      </c>
      <c r="I3050">
        <v>3</v>
      </c>
      <c r="J3050" t="b">
        <f>AND(CCData[[#This Row],[Date]]&gt;=Calculation!$E$3,CCData[[#This Row],[Date]]&lt;Calculation!$E$3+7)</f>
        <v>0</v>
      </c>
    </row>
    <row r="3051" spans="1:10">
      <c r="A3051" t="s">
        <v>3050</v>
      </c>
      <c r="B3051" s="2">
        <v>42058.391000000003</v>
      </c>
      <c r="C3051" s="3" t="s">
        <v>5008</v>
      </c>
      <c r="D3051" t="s">
        <v>5013</v>
      </c>
      <c r="E3051" t="s">
        <v>5018</v>
      </c>
      <c r="F3051" t="s">
        <v>5018</v>
      </c>
      <c r="G3051">
        <v>60</v>
      </c>
      <c r="H3051" s="5">
        <v>4.3549272111970449E-3</v>
      </c>
      <c r="I3051">
        <v>3</v>
      </c>
      <c r="J3051" t="b">
        <f>AND(CCData[[#This Row],[Date]]&gt;=Calculation!$E$3,CCData[[#This Row],[Date]]&lt;Calculation!$E$3+7)</f>
        <v>0</v>
      </c>
    </row>
    <row r="3052" spans="1:10">
      <c r="A3052" t="s">
        <v>3051</v>
      </c>
      <c r="B3052" s="2">
        <v>42058.404999999999</v>
      </c>
      <c r="C3052" s="3" t="s">
        <v>5009</v>
      </c>
      <c r="D3052" t="s">
        <v>5013</v>
      </c>
      <c r="E3052" t="s">
        <v>5018</v>
      </c>
      <c r="F3052" t="s">
        <v>5018</v>
      </c>
      <c r="G3052">
        <v>48</v>
      </c>
      <c r="H3052" s="5">
        <v>4.4412847308438501E-3</v>
      </c>
      <c r="I3052">
        <v>2</v>
      </c>
      <c r="J3052" t="b">
        <f>AND(CCData[[#This Row],[Date]]&gt;=Calculation!$E$3,CCData[[#This Row],[Date]]&lt;Calculation!$E$3+7)</f>
        <v>0</v>
      </c>
    </row>
    <row r="3053" spans="1:10">
      <c r="A3053" t="s">
        <v>3052</v>
      </c>
      <c r="B3053" s="2">
        <v>42058.404999999999</v>
      </c>
      <c r="C3053" s="3" t="s">
        <v>5003</v>
      </c>
      <c r="D3053" t="s">
        <v>5012</v>
      </c>
      <c r="E3053" t="s">
        <v>5018</v>
      </c>
      <c r="F3053" t="s">
        <v>5018</v>
      </c>
      <c r="G3053">
        <v>28</v>
      </c>
      <c r="H3053" s="5">
        <v>1.2178115442310091E-3</v>
      </c>
      <c r="I3053">
        <v>4</v>
      </c>
      <c r="J3053" t="b">
        <f>AND(CCData[[#This Row],[Date]]&gt;=Calculation!$E$3,CCData[[#This Row],[Date]]&lt;Calculation!$E$3+7)</f>
        <v>0</v>
      </c>
    </row>
    <row r="3054" spans="1:10">
      <c r="A3054" t="s">
        <v>3053</v>
      </c>
      <c r="B3054" s="2">
        <v>42058.434000000001</v>
      </c>
      <c r="C3054" s="3" t="s">
        <v>5009</v>
      </c>
      <c r="D3054" t="s">
        <v>5013</v>
      </c>
      <c r="E3054" t="s">
        <v>5018</v>
      </c>
      <c r="F3054" t="s">
        <v>5018</v>
      </c>
      <c r="G3054">
        <v>104</v>
      </c>
      <c r="H3054" s="5">
        <v>3.974467480534513E-3</v>
      </c>
      <c r="I3054">
        <v>4</v>
      </c>
      <c r="J3054" t="b">
        <f>AND(CCData[[#This Row],[Date]]&gt;=Calculation!$E$3,CCData[[#This Row],[Date]]&lt;Calculation!$E$3+7)</f>
        <v>0</v>
      </c>
    </row>
    <row r="3055" spans="1:10">
      <c r="A3055" t="s">
        <v>3054</v>
      </c>
      <c r="B3055" s="2">
        <v>42058.434000000001</v>
      </c>
      <c r="C3055" s="3" t="s">
        <v>5006</v>
      </c>
      <c r="D3055" t="s">
        <v>5012</v>
      </c>
      <c r="E3055" t="s">
        <v>5018</v>
      </c>
      <c r="F3055" t="s">
        <v>5018</v>
      </c>
      <c r="G3055">
        <v>115</v>
      </c>
      <c r="H3055" s="5">
        <v>9.5758694738014131E-4</v>
      </c>
      <c r="I3055">
        <v>4</v>
      </c>
      <c r="J3055" t="b">
        <f>AND(CCData[[#This Row],[Date]]&gt;=Calculation!$E$3,CCData[[#This Row],[Date]]&lt;Calculation!$E$3+7)</f>
        <v>0</v>
      </c>
    </row>
    <row r="3056" spans="1:10">
      <c r="A3056" t="s">
        <v>3055</v>
      </c>
      <c r="B3056" s="2">
        <v>42058.447</v>
      </c>
      <c r="C3056" s="3" t="s">
        <v>5004</v>
      </c>
      <c r="D3056" t="s">
        <v>5015</v>
      </c>
      <c r="E3056" t="s">
        <v>5018</v>
      </c>
      <c r="F3056" t="s">
        <v>5019</v>
      </c>
      <c r="G3056">
        <v>89</v>
      </c>
      <c r="H3056" s="5">
        <v>1.2941901407643684E-3</v>
      </c>
      <c r="I3056">
        <v>3</v>
      </c>
      <c r="J3056" t="b">
        <f>AND(CCData[[#This Row],[Date]]&gt;=Calculation!$E$3,CCData[[#This Row],[Date]]&lt;Calculation!$E$3+7)</f>
        <v>0</v>
      </c>
    </row>
    <row r="3057" spans="1:10">
      <c r="A3057" t="s">
        <v>3056</v>
      </c>
      <c r="B3057" s="2">
        <v>42058.447</v>
      </c>
      <c r="C3057" s="3" t="s">
        <v>5009</v>
      </c>
      <c r="D3057" t="s">
        <v>5012</v>
      </c>
      <c r="E3057" t="s">
        <v>5019</v>
      </c>
      <c r="F3057" t="s">
        <v>5019</v>
      </c>
      <c r="G3057" t="s">
        <v>5022</v>
      </c>
      <c r="H3057" s="5" t="s">
        <v>5022</v>
      </c>
      <c r="I3057" t="s">
        <v>5022</v>
      </c>
      <c r="J3057" t="b">
        <f>AND(CCData[[#This Row],[Date]]&gt;=Calculation!$E$3,CCData[[#This Row],[Date]]&lt;Calculation!$E$3+7)</f>
        <v>0</v>
      </c>
    </row>
    <row r="3058" spans="1:10">
      <c r="A3058" t="s">
        <v>3057</v>
      </c>
      <c r="B3058" s="2">
        <v>42058.451000000001</v>
      </c>
      <c r="C3058" s="3" t="s">
        <v>5005</v>
      </c>
      <c r="D3058" t="s">
        <v>5013</v>
      </c>
      <c r="E3058" t="s">
        <v>5018</v>
      </c>
      <c r="F3058" t="s">
        <v>5018</v>
      </c>
      <c r="G3058">
        <v>111</v>
      </c>
      <c r="H3058" s="5">
        <v>2.9798745652752107E-3</v>
      </c>
      <c r="I3058">
        <v>3</v>
      </c>
      <c r="J3058" t="b">
        <f>AND(CCData[[#This Row],[Date]]&gt;=Calculation!$E$3,CCData[[#This Row],[Date]]&lt;Calculation!$E$3+7)</f>
        <v>0</v>
      </c>
    </row>
    <row r="3059" spans="1:10">
      <c r="A3059" t="s">
        <v>3058</v>
      </c>
      <c r="B3059" s="2">
        <v>42058.451000000001</v>
      </c>
      <c r="C3059" s="3" t="s">
        <v>5007</v>
      </c>
      <c r="D3059" t="s">
        <v>5014</v>
      </c>
      <c r="E3059" t="s">
        <v>5018</v>
      </c>
      <c r="F3059" t="s">
        <v>5018</v>
      </c>
      <c r="G3059">
        <v>17</v>
      </c>
      <c r="H3059" s="5">
        <v>4.3721673459193909E-3</v>
      </c>
      <c r="I3059">
        <v>5</v>
      </c>
      <c r="J3059" t="b">
        <f>AND(CCData[[#This Row],[Date]]&gt;=Calculation!$E$3,CCData[[#This Row],[Date]]&lt;Calculation!$E$3+7)</f>
        <v>0</v>
      </c>
    </row>
    <row r="3060" spans="1:10">
      <c r="A3060" t="s">
        <v>3059</v>
      </c>
      <c r="B3060" s="2">
        <v>42058.474000000002</v>
      </c>
      <c r="C3060" s="3" t="s">
        <v>5003</v>
      </c>
      <c r="D3060" t="s">
        <v>5013</v>
      </c>
      <c r="E3060" t="s">
        <v>5018</v>
      </c>
      <c r="F3060" t="s">
        <v>5018</v>
      </c>
      <c r="G3060">
        <v>112</v>
      </c>
      <c r="H3060" s="5">
        <v>7.2926973389369793E-4</v>
      </c>
      <c r="I3060">
        <v>3</v>
      </c>
      <c r="J3060" t="b">
        <f>AND(CCData[[#This Row],[Date]]&gt;=Calculation!$E$3,CCData[[#This Row],[Date]]&lt;Calculation!$E$3+7)</f>
        <v>0</v>
      </c>
    </row>
    <row r="3061" spans="1:10">
      <c r="A3061" t="s">
        <v>3060</v>
      </c>
      <c r="B3061" s="2">
        <v>42058.474000000002</v>
      </c>
      <c r="C3061" s="3" t="s">
        <v>5005</v>
      </c>
      <c r="D3061" t="s">
        <v>5016</v>
      </c>
      <c r="E3061" t="s">
        <v>5018</v>
      </c>
      <c r="F3061" t="s">
        <v>5019</v>
      </c>
      <c r="G3061">
        <v>100</v>
      </c>
      <c r="H3061" s="5">
        <v>3.0631589132451482E-3</v>
      </c>
      <c r="I3061">
        <v>5</v>
      </c>
      <c r="J3061" t="b">
        <f>AND(CCData[[#This Row],[Date]]&gt;=Calculation!$E$3,CCData[[#This Row],[Date]]&lt;Calculation!$E$3+7)</f>
        <v>0</v>
      </c>
    </row>
    <row r="3062" spans="1:10">
      <c r="A3062" t="s">
        <v>3061</v>
      </c>
      <c r="B3062" s="2">
        <v>42058.500999999997</v>
      </c>
      <c r="C3062" s="3" t="s">
        <v>5004</v>
      </c>
      <c r="D3062" t="s">
        <v>5014</v>
      </c>
      <c r="E3062" t="s">
        <v>5019</v>
      </c>
      <c r="F3062" t="s">
        <v>5019</v>
      </c>
      <c r="G3062" t="s">
        <v>5022</v>
      </c>
      <c r="H3062" s="5" t="s">
        <v>5022</v>
      </c>
      <c r="I3062" t="s">
        <v>5022</v>
      </c>
      <c r="J3062" t="b">
        <f>AND(CCData[[#This Row],[Date]]&gt;=Calculation!$E$3,CCData[[#This Row],[Date]]&lt;Calculation!$E$3+7)</f>
        <v>0</v>
      </c>
    </row>
    <row r="3063" spans="1:10">
      <c r="A3063" t="s">
        <v>3062</v>
      </c>
      <c r="B3063" s="2">
        <v>42058.500999999997</v>
      </c>
      <c r="C3063" s="3" t="s">
        <v>5003</v>
      </c>
      <c r="D3063" t="s">
        <v>5015</v>
      </c>
      <c r="E3063" t="s">
        <v>5018</v>
      </c>
      <c r="F3063" t="s">
        <v>5018</v>
      </c>
      <c r="G3063">
        <v>40</v>
      </c>
      <c r="H3063" s="5">
        <v>2.9303053494588787E-3</v>
      </c>
      <c r="I3063">
        <v>3</v>
      </c>
      <c r="J3063" t="b">
        <f>AND(CCData[[#This Row],[Date]]&gt;=Calculation!$E$3,CCData[[#This Row],[Date]]&lt;Calculation!$E$3+7)</f>
        <v>0</v>
      </c>
    </row>
    <row r="3064" spans="1:10">
      <c r="A3064" t="s">
        <v>3063</v>
      </c>
      <c r="B3064" s="2">
        <v>42058.529000000002</v>
      </c>
      <c r="C3064" s="3" t="s">
        <v>5009</v>
      </c>
      <c r="D3064" t="s">
        <v>5012</v>
      </c>
      <c r="E3064" t="s">
        <v>5019</v>
      </c>
      <c r="F3064" t="s">
        <v>5019</v>
      </c>
      <c r="G3064" t="s">
        <v>5022</v>
      </c>
      <c r="H3064" s="5" t="s">
        <v>5022</v>
      </c>
      <c r="I3064" t="s">
        <v>5022</v>
      </c>
      <c r="J3064" t="b">
        <f>AND(CCData[[#This Row],[Date]]&gt;=Calculation!$E$3,CCData[[#This Row],[Date]]&lt;Calculation!$E$3+7)</f>
        <v>0</v>
      </c>
    </row>
    <row r="3065" spans="1:10">
      <c r="A3065" t="s">
        <v>3064</v>
      </c>
      <c r="B3065" s="2">
        <v>42058.529000000002</v>
      </c>
      <c r="C3065" s="3" t="s">
        <v>5004</v>
      </c>
      <c r="D3065" t="s">
        <v>5015</v>
      </c>
      <c r="E3065" t="s">
        <v>5018</v>
      </c>
      <c r="F3065" t="s">
        <v>5018</v>
      </c>
      <c r="G3065">
        <v>29</v>
      </c>
      <c r="H3065" s="5">
        <v>8.1042381381756228E-4</v>
      </c>
      <c r="I3065">
        <v>3</v>
      </c>
      <c r="J3065" t="b">
        <f>AND(CCData[[#This Row],[Date]]&gt;=Calculation!$E$3,CCData[[#This Row],[Date]]&lt;Calculation!$E$3+7)</f>
        <v>0</v>
      </c>
    </row>
    <row r="3066" spans="1:10">
      <c r="A3066" t="s">
        <v>3065</v>
      </c>
      <c r="B3066" s="2">
        <v>42058.540999999997</v>
      </c>
      <c r="C3066" s="3" t="s">
        <v>5007</v>
      </c>
      <c r="D3066" t="s">
        <v>5015</v>
      </c>
      <c r="E3066" t="s">
        <v>5018</v>
      </c>
      <c r="F3066" t="s">
        <v>5019</v>
      </c>
      <c r="G3066">
        <v>39</v>
      </c>
      <c r="H3066" s="5">
        <v>4.5531808479409141E-3</v>
      </c>
      <c r="I3066">
        <v>4</v>
      </c>
      <c r="J3066" t="b">
        <f>AND(CCData[[#This Row],[Date]]&gt;=Calculation!$E$3,CCData[[#This Row],[Date]]&lt;Calculation!$E$3+7)</f>
        <v>0</v>
      </c>
    </row>
    <row r="3067" spans="1:10">
      <c r="A3067" t="s">
        <v>3066</v>
      </c>
      <c r="B3067" s="2">
        <v>42058.540999999997</v>
      </c>
      <c r="C3067" s="3" t="s">
        <v>5003</v>
      </c>
      <c r="D3067" t="s">
        <v>5014</v>
      </c>
      <c r="E3067" t="s">
        <v>5018</v>
      </c>
      <c r="F3067" t="s">
        <v>5018</v>
      </c>
      <c r="G3067">
        <v>41</v>
      </c>
      <c r="H3067" s="5">
        <v>8.9945241182858525E-4</v>
      </c>
      <c r="I3067">
        <v>3</v>
      </c>
      <c r="J3067" t="b">
        <f>AND(CCData[[#This Row],[Date]]&gt;=Calculation!$E$3,CCData[[#This Row],[Date]]&lt;Calculation!$E$3+7)</f>
        <v>0</v>
      </c>
    </row>
    <row r="3068" spans="1:10">
      <c r="A3068" t="s">
        <v>3067</v>
      </c>
      <c r="B3068" s="2">
        <v>42058.559999999998</v>
      </c>
      <c r="C3068" s="3" t="s">
        <v>5005</v>
      </c>
      <c r="D3068" t="s">
        <v>5016</v>
      </c>
      <c r="E3068" t="s">
        <v>5019</v>
      </c>
      <c r="F3068" t="s">
        <v>5019</v>
      </c>
      <c r="G3068" t="s">
        <v>5022</v>
      </c>
      <c r="H3068" s="5" t="s">
        <v>5022</v>
      </c>
      <c r="I3068" t="s">
        <v>5022</v>
      </c>
      <c r="J3068" t="b">
        <f>AND(CCData[[#This Row],[Date]]&gt;=Calculation!$E$3,CCData[[#This Row],[Date]]&lt;Calculation!$E$3+7)</f>
        <v>0</v>
      </c>
    </row>
    <row r="3069" spans="1:10">
      <c r="A3069" t="s">
        <v>3068</v>
      </c>
      <c r="B3069" s="2">
        <v>42058.559999999998</v>
      </c>
      <c r="C3069" s="3" t="s">
        <v>5009</v>
      </c>
      <c r="D3069" t="s">
        <v>5013</v>
      </c>
      <c r="E3069" t="s">
        <v>5019</v>
      </c>
      <c r="F3069" t="s">
        <v>5019</v>
      </c>
      <c r="G3069" t="s">
        <v>5022</v>
      </c>
      <c r="H3069" s="5" t="s">
        <v>5022</v>
      </c>
      <c r="I3069" t="s">
        <v>5022</v>
      </c>
      <c r="J3069" t="b">
        <f>AND(CCData[[#This Row],[Date]]&gt;=Calculation!$E$3,CCData[[#This Row],[Date]]&lt;Calculation!$E$3+7)</f>
        <v>0</v>
      </c>
    </row>
    <row r="3070" spans="1:10">
      <c r="A3070" t="s">
        <v>3069</v>
      </c>
      <c r="B3070" s="2">
        <v>42058.567999999999</v>
      </c>
      <c r="C3070" s="3" t="s">
        <v>5004</v>
      </c>
      <c r="D3070" t="s">
        <v>5015</v>
      </c>
      <c r="E3070" t="s">
        <v>5018</v>
      </c>
      <c r="F3070" t="s">
        <v>5018</v>
      </c>
      <c r="G3070">
        <v>56</v>
      </c>
      <c r="H3070" s="5">
        <v>4.301886498202308E-4</v>
      </c>
      <c r="I3070">
        <v>5</v>
      </c>
      <c r="J3070" t="b">
        <f>AND(CCData[[#This Row],[Date]]&gt;=Calculation!$E$3,CCData[[#This Row],[Date]]&lt;Calculation!$E$3+7)</f>
        <v>0</v>
      </c>
    </row>
    <row r="3071" spans="1:10">
      <c r="A3071" t="s">
        <v>3070</v>
      </c>
      <c r="B3071" s="2">
        <v>42058.567999999999</v>
      </c>
      <c r="C3071" s="3" t="s">
        <v>5003</v>
      </c>
      <c r="D3071" t="s">
        <v>5016</v>
      </c>
      <c r="E3071" t="s">
        <v>5018</v>
      </c>
      <c r="F3071" t="s">
        <v>5018</v>
      </c>
      <c r="G3071">
        <v>76</v>
      </c>
      <c r="H3071" s="5">
        <v>1.5727162936951895E-3</v>
      </c>
      <c r="I3071">
        <v>1</v>
      </c>
      <c r="J3071" t="b">
        <f>AND(CCData[[#This Row],[Date]]&gt;=Calculation!$E$3,CCData[[#This Row],[Date]]&lt;Calculation!$E$3+7)</f>
        <v>0</v>
      </c>
    </row>
    <row r="3072" spans="1:10">
      <c r="A3072" t="s">
        <v>3071</v>
      </c>
      <c r="B3072" s="2">
        <v>42058.572999999997</v>
      </c>
      <c r="C3072" s="3" t="s">
        <v>5006</v>
      </c>
      <c r="D3072" t="s">
        <v>5015</v>
      </c>
      <c r="E3072" t="s">
        <v>5018</v>
      </c>
      <c r="F3072" t="s">
        <v>5019</v>
      </c>
      <c r="G3072">
        <v>36</v>
      </c>
      <c r="H3072" s="5">
        <v>7.6081355300402684E-4</v>
      </c>
      <c r="I3072">
        <v>3</v>
      </c>
      <c r="J3072" t="b">
        <f>AND(CCData[[#This Row],[Date]]&gt;=Calculation!$E$3,CCData[[#This Row],[Date]]&lt;Calculation!$E$3+7)</f>
        <v>0</v>
      </c>
    </row>
    <row r="3073" spans="1:10">
      <c r="A3073" t="s">
        <v>3072</v>
      </c>
      <c r="B3073" s="2">
        <v>42058.572999999997</v>
      </c>
      <c r="C3073" s="3" t="s">
        <v>5007</v>
      </c>
      <c r="D3073" t="s">
        <v>5016</v>
      </c>
      <c r="E3073" t="s">
        <v>5018</v>
      </c>
      <c r="F3073" t="s">
        <v>5018</v>
      </c>
      <c r="G3073">
        <v>111</v>
      </c>
      <c r="H3073" s="5">
        <v>1.1857774247091358E-3</v>
      </c>
      <c r="I3073">
        <v>3</v>
      </c>
      <c r="J3073" t="b">
        <f>AND(CCData[[#This Row],[Date]]&gt;=Calculation!$E$3,CCData[[#This Row],[Date]]&lt;Calculation!$E$3+7)</f>
        <v>0</v>
      </c>
    </row>
    <row r="3074" spans="1:10">
      <c r="A3074" t="s">
        <v>3073</v>
      </c>
      <c r="B3074" s="2">
        <v>42058.603000000003</v>
      </c>
      <c r="C3074" s="3" t="s">
        <v>5004</v>
      </c>
      <c r="D3074" t="s">
        <v>5014</v>
      </c>
      <c r="E3074" t="s">
        <v>5018</v>
      </c>
      <c r="F3074" t="s">
        <v>5018</v>
      </c>
      <c r="G3074">
        <v>17</v>
      </c>
      <c r="H3074" s="5">
        <v>2.1271630259659816E-3</v>
      </c>
      <c r="I3074">
        <v>4</v>
      </c>
      <c r="J3074" t="b">
        <f>AND(CCData[[#This Row],[Date]]&gt;=Calculation!$E$3,CCData[[#This Row],[Date]]&lt;Calculation!$E$3+7)</f>
        <v>0</v>
      </c>
    </row>
    <row r="3075" spans="1:10">
      <c r="A3075" t="s">
        <v>3074</v>
      </c>
      <c r="B3075" s="2">
        <v>42058.603000000003</v>
      </c>
      <c r="C3075" s="3" t="s">
        <v>5003</v>
      </c>
      <c r="D3075" t="s">
        <v>5014</v>
      </c>
      <c r="E3075" t="s">
        <v>5018</v>
      </c>
      <c r="F3075" t="s">
        <v>5018</v>
      </c>
      <c r="G3075">
        <v>121</v>
      </c>
      <c r="H3075" s="5">
        <v>2.3486477519824274E-3</v>
      </c>
      <c r="I3075">
        <v>5</v>
      </c>
      <c r="J3075" t="b">
        <f>AND(CCData[[#This Row],[Date]]&gt;=Calculation!$E$3,CCData[[#This Row],[Date]]&lt;Calculation!$E$3+7)</f>
        <v>0</v>
      </c>
    </row>
    <row r="3076" spans="1:10">
      <c r="A3076" t="s">
        <v>3075</v>
      </c>
      <c r="B3076" s="2">
        <v>42058.607000000004</v>
      </c>
      <c r="C3076" s="3" t="s">
        <v>5005</v>
      </c>
      <c r="D3076" t="s">
        <v>5014</v>
      </c>
      <c r="E3076" t="s">
        <v>5018</v>
      </c>
      <c r="F3076" t="s">
        <v>5018</v>
      </c>
      <c r="G3076">
        <v>69</v>
      </c>
      <c r="H3076" s="5">
        <v>4.2207451501027008E-3</v>
      </c>
      <c r="I3076">
        <v>4</v>
      </c>
      <c r="J3076" t="b">
        <f>AND(CCData[[#This Row],[Date]]&gt;=Calculation!$E$3,CCData[[#This Row],[Date]]&lt;Calculation!$E$3+7)</f>
        <v>0</v>
      </c>
    </row>
    <row r="3077" spans="1:10">
      <c r="A3077" t="s">
        <v>3076</v>
      </c>
      <c r="B3077" s="2">
        <v>42058.607000000004</v>
      </c>
      <c r="C3077" s="3" t="s">
        <v>5007</v>
      </c>
      <c r="D3077" t="s">
        <v>5012</v>
      </c>
      <c r="E3077" t="s">
        <v>5018</v>
      </c>
      <c r="F3077" t="s">
        <v>5018</v>
      </c>
      <c r="G3077">
        <v>111</v>
      </c>
      <c r="H3077" s="5">
        <v>2.3968073355254181E-3</v>
      </c>
      <c r="I3077">
        <v>3</v>
      </c>
      <c r="J3077" t="b">
        <f>AND(CCData[[#This Row],[Date]]&gt;=Calculation!$E$3,CCData[[#This Row],[Date]]&lt;Calculation!$E$3+7)</f>
        <v>0</v>
      </c>
    </row>
    <row r="3078" spans="1:10">
      <c r="A3078" t="s">
        <v>3077</v>
      </c>
      <c r="B3078" s="2">
        <v>42058.61</v>
      </c>
      <c r="C3078" s="3" t="s">
        <v>5009</v>
      </c>
      <c r="D3078" t="s">
        <v>5013</v>
      </c>
      <c r="E3078" t="s">
        <v>5019</v>
      </c>
      <c r="F3078" t="s">
        <v>5019</v>
      </c>
      <c r="G3078" t="s">
        <v>5022</v>
      </c>
      <c r="H3078" s="5" t="s">
        <v>5022</v>
      </c>
      <c r="I3078" t="s">
        <v>5022</v>
      </c>
      <c r="J3078" t="b">
        <f>AND(CCData[[#This Row],[Date]]&gt;=Calculation!$E$3,CCData[[#This Row],[Date]]&lt;Calculation!$E$3+7)</f>
        <v>0</v>
      </c>
    </row>
    <row r="3079" spans="1:10">
      <c r="A3079" t="s">
        <v>3078</v>
      </c>
      <c r="B3079" s="2">
        <v>42058.61</v>
      </c>
      <c r="C3079" s="3" t="s">
        <v>5007</v>
      </c>
      <c r="D3079" t="s">
        <v>5013</v>
      </c>
      <c r="E3079" t="s">
        <v>5018</v>
      </c>
      <c r="F3079" t="s">
        <v>5018</v>
      </c>
      <c r="G3079">
        <v>86</v>
      </c>
      <c r="H3079" s="5">
        <v>3.2174403331815373E-3</v>
      </c>
      <c r="I3079">
        <v>3</v>
      </c>
      <c r="J3079" t="b">
        <f>AND(CCData[[#This Row],[Date]]&gt;=Calculation!$E$3,CCData[[#This Row],[Date]]&lt;Calculation!$E$3+7)</f>
        <v>0</v>
      </c>
    </row>
    <row r="3080" spans="1:10">
      <c r="A3080" t="s">
        <v>3079</v>
      </c>
      <c r="B3080" s="2">
        <v>42058.616999999998</v>
      </c>
      <c r="C3080" s="3" t="s">
        <v>5010</v>
      </c>
      <c r="D3080" t="s">
        <v>5014</v>
      </c>
      <c r="E3080" t="s">
        <v>5018</v>
      </c>
      <c r="F3080" t="s">
        <v>5018</v>
      </c>
      <c r="G3080">
        <v>77</v>
      </c>
      <c r="H3080" s="5">
        <v>4.7753307090417849E-3</v>
      </c>
      <c r="I3080">
        <v>4</v>
      </c>
      <c r="J3080" t="b">
        <f>AND(CCData[[#This Row],[Date]]&gt;=Calculation!$E$3,CCData[[#This Row],[Date]]&lt;Calculation!$E$3+7)</f>
        <v>0</v>
      </c>
    </row>
    <row r="3081" spans="1:10">
      <c r="A3081" t="s">
        <v>3080</v>
      </c>
      <c r="B3081" s="2">
        <v>42058.616999999998</v>
      </c>
      <c r="C3081" s="3" t="s">
        <v>5007</v>
      </c>
      <c r="D3081" t="s">
        <v>5012</v>
      </c>
      <c r="E3081" t="s">
        <v>5018</v>
      </c>
      <c r="F3081" t="s">
        <v>5018</v>
      </c>
      <c r="G3081">
        <v>70</v>
      </c>
      <c r="H3081" s="5">
        <v>3.3353788357821925E-3</v>
      </c>
      <c r="I3081">
        <v>3</v>
      </c>
      <c r="J3081" t="b">
        <f>AND(CCData[[#This Row],[Date]]&gt;=Calculation!$E$3,CCData[[#This Row],[Date]]&lt;Calculation!$E$3+7)</f>
        <v>0</v>
      </c>
    </row>
    <row r="3082" spans="1:10">
      <c r="A3082" t="s">
        <v>3081</v>
      </c>
      <c r="B3082" s="2">
        <v>42058.620999999999</v>
      </c>
      <c r="C3082" s="3" t="s">
        <v>5006</v>
      </c>
      <c r="D3082" t="s">
        <v>5016</v>
      </c>
      <c r="E3082" t="s">
        <v>5018</v>
      </c>
      <c r="F3082" t="s">
        <v>5018</v>
      </c>
      <c r="G3082">
        <v>82</v>
      </c>
      <c r="H3082" s="5">
        <v>9.9029735217907714E-4</v>
      </c>
      <c r="I3082">
        <v>3</v>
      </c>
      <c r="J3082" t="b">
        <f>AND(CCData[[#This Row],[Date]]&gt;=Calculation!$E$3,CCData[[#This Row],[Date]]&lt;Calculation!$E$3+7)</f>
        <v>0</v>
      </c>
    </row>
    <row r="3083" spans="1:10">
      <c r="A3083" t="s">
        <v>3082</v>
      </c>
      <c r="B3083" s="2">
        <v>42058.620999999999</v>
      </c>
      <c r="C3083" s="3" t="s">
        <v>5008</v>
      </c>
      <c r="D3083" t="s">
        <v>5014</v>
      </c>
      <c r="E3083" t="s">
        <v>5019</v>
      </c>
      <c r="F3083" t="s">
        <v>5019</v>
      </c>
      <c r="G3083" t="s">
        <v>5022</v>
      </c>
      <c r="H3083" s="5" t="s">
        <v>5022</v>
      </c>
      <c r="I3083" t="s">
        <v>5022</v>
      </c>
      <c r="J3083" t="b">
        <f>AND(CCData[[#This Row],[Date]]&gt;=Calculation!$E$3,CCData[[#This Row],[Date]]&lt;Calculation!$E$3+7)</f>
        <v>0</v>
      </c>
    </row>
    <row r="3084" spans="1:10">
      <c r="A3084" t="s">
        <v>3083</v>
      </c>
      <c r="B3084" s="2">
        <v>42058.64</v>
      </c>
      <c r="C3084" s="3" t="s">
        <v>5004</v>
      </c>
      <c r="D3084" t="s">
        <v>5012</v>
      </c>
      <c r="E3084" t="s">
        <v>5018</v>
      </c>
      <c r="F3084" t="s">
        <v>5018</v>
      </c>
      <c r="G3084">
        <v>69</v>
      </c>
      <c r="H3084" s="5">
        <v>1.584190505535559E-3</v>
      </c>
      <c r="I3084">
        <v>1</v>
      </c>
      <c r="J3084" t="b">
        <f>AND(CCData[[#This Row],[Date]]&gt;=Calculation!$E$3,CCData[[#This Row],[Date]]&lt;Calculation!$E$3+7)</f>
        <v>0</v>
      </c>
    </row>
    <row r="3085" spans="1:10">
      <c r="A3085" t="s">
        <v>3084</v>
      </c>
      <c r="B3085" s="2">
        <v>42058.64</v>
      </c>
      <c r="C3085" s="3" t="s">
        <v>5007</v>
      </c>
      <c r="D3085" t="s">
        <v>5013</v>
      </c>
      <c r="E3085" t="s">
        <v>5019</v>
      </c>
      <c r="F3085" t="s">
        <v>5019</v>
      </c>
      <c r="G3085" t="s">
        <v>5022</v>
      </c>
      <c r="H3085" s="5" t="s">
        <v>5022</v>
      </c>
      <c r="I3085" t="s">
        <v>5022</v>
      </c>
      <c r="J3085" t="b">
        <f>AND(CCData[[#This Row],[Date]]&gt;=Calculation!$E$3,CCData[[#This Row],[Date]]&lt;Calculation!$E$3+7)</f>
        <v>0</v>
      </c>
    </row>
    <row r="3086" spans="1:10">
      <c r="A3086" t="s">
        <v>3085</v>
      </c>
      <c r="B3086" s="2">
        <v>42058.646000000001</v>
      </c>
      <c r="C3086" s="3" t="s">
        <v>5008</v>
      </c>
      <c r="D3086" t="s">
        <v>5012</v>
      </c>
      <c r="E3086" t="s">
        <v>5018</v>
      </c>
      <c r="F3086" t="s">
        <v>5018</v>
      </c>
      <c r="G3086">
        <v>56</v>
      </c>
      <c r="H3086" s="5">
        <v>9.4402269847256091E-4</v>
      </c>
      <c r="I3086">
        <v>1</v>
      </c>
      <c r="J3086" t="b">
        <f>AND(CCData[[#This Row],[Date]]&gt;=Calculation!$E$3,CCData[[#This Row],[Date]]&lt;Calculation!$E$3+7)</f>
        <v>0</v>
      </c>
    </row>
    <row r="3087" spans="1:10">
      <c r="A3087" t="s">
        <v>3086</v>
      </c>
      <c r="B3087" s="2">
        <v>42058.646000000001</v>
      </c>
      <c r="C3087" s="3" t="s">
        <v>5006</v>
      </c>
      <c r="D3087" t="s">
        <v>5012</v>
      </c>
      <c r="E3087" t="s">
        <v>5018</v>
      </c>
      <c r="F3087" t="s">
        <v>5018</v>
      </c>
      <c r="G3087">
        <v>95</v>
      </c>
      <c r="H3087" s="5">
        <v>4.2691527523336303E-3</v>
      </c>
      <c r="I3087">
        <v>1</v>
      </c>
      <c r="J3087" t="b">
        <f>AND(CCData[[#This Row],[Date]]&gt;=Calculation!$E$3,CCData[[#This Row],[Date]]&lt;Calculation!$E$3+7)</f>
        <v>0</v>
      </c>
    </row>
    <row r="3088" spans="1:10">
      <c r="A3088" t="s">
        <v>3087</v>
      </c>
      <c r="B3088" s="2">
        <v>42058.648999999998</v>
      </c>
      <c r="C3088" s="3" t="s">
        <v>5007</v>
      </c>
      <c r="D3088" t="s">
        <v>5015</v>
      </c>
      <c r="E3088" t="s">
        <v>5019</v>
      </c>
      <c r="F3088" t="s">
        <v>5019</v>
      </c>
      <c r="G3088" t="s">
        <v>5022</v>
      </c>
      <c r="H3088" s="5" t="s">
        <v>5022</v>
      </c>
      <c r="I3088" t="s">
        <v>5022</v>
      </c>
      <c r="J3088" t="b">
        <f>AND(CCData[[#This Row],[Date]]&gt;=Calculation!$E$3,CCData[[#This Row],[Date]]&lt;Calculation!$E$3+7)</f>
        <v>0</v>
      </c>
    </row>
    <row r="3089" spans="1:10">
      <c r="A3089" t="s">
        <v>3088</v>
      </c>
      <c r="B3089" s="2">
        <v>42058.648999999998</v>
      </c>
      <c r="C3089" s="3" t="s">
        <v>5006</v>
      </c>
      <c r="D3089" t="s">
        <v>5016</v>
      </c>
      <c r="E3089" t="s">
        <v>5018</v>
      </c>
      <c r="F3089" t="s">
        <v>5018</v>
      </c>
      <c r="G3089">
        <v>13</v>
      </c>
      <c r="H3089" s="5">
        <v>4.2362850571962037E-3</v>
      </c>
      <c r="I3089">
        <v>3</v>
      </c>
      <c r="J3089" t="b">
        <f>AND(CCData[[#This Row],[Date]]&gt;=Calculation!$E$3,CCData[[#This Row],[Date]]&lt;Calculation!$E$3+7)</f>
        <v>0</v>
      </c>
    </row>
    <row r="3090" spans="1:10">
      <c r="A3090" t="s">
        <v>3089</v>
      </c>
      <c r="B3090" s="2">
        <v>42058.658000000003</v>
      </c>
      <c r="C3090" s="3" t="s">
        <v>5008</v>
      </c>
      <c r="D3090" t="s">
        <v>5014</v>
      </c>
      <c r="E3090" t="s">
        <v>5018</v>
      </c>
      <c r="F3090" t="s">
        <v>5018</v>
      </c>
      <c r="G3090">
        <v>52</v>
      </c>
      <c r="H3090" s="5">
        <v>3.4613681553249849E-3</v>
      </c>
      <c r="I3090">
        <v>4</v>
      </c>
      <c r="J3090" t="b">
        <f>AND(CCData[[#This Row],[Date]]&gt;=Calculation!$E$3,CCData[[#This Row],[Date]]&lt;Calculation!$E$3+7)</f>
        <v>0</v>
      </c>
    </row>
    <row r="3091" spans="1:10">
      <c r="A3091" t="s">
        <v>3090</v>
      </c>
      <c r="B3091" s="2">
        <v>42058.658000000003</v>
      </c>
      <c r="C3091" s="3" t="s">
        <v>5008</v>
      </c>
      <c r="D3091" t="s">
        <v>5013</v>
      </c>
      <c r="E3091" t="s">
        <v>5018</v>
      </c>
      <c r="F3091" t="s">
        <v>5019</v>
      </c>
      <c r="G3091">
        <v>40</v>
      </c>
      <c r="H3091" s="5">
        <v>4.0743480767995157E-3</v>
      </c>
      <c r="I3091">
        <v>4</v>
      </c>
      <c r="J3091" t="b">
        <f>AND(CCData[[#This Row],[Date]]&gt;=Calculation!$E$3,CCData[[#This Row],[Date]]&lt;Calculation!$E$3+7)</f>
        <v>0</v>
      </c>
    </row>
    <row r="3092" spans="1:10">
      <c r="A3092" t="s">
        <v>3091</v>
      </c>
      <c r="B3092" s="2">
        <v>42058.695</v>
      </c>
      <c r="C3092" s="3" t="s">
        <v>5006</v>
      </c>
      <c r="D3092" t="s">
        <v>5015</v>
      </c>
      <c r="E3092" t="s">
        <v>5019</v>
      </c>
      <c r="F3092" t="s">
        <v>5019</v>
      </c>
      <c r="G3092" t="s">
        <v>5022</v>
      </c>
      <c r="H3092" s="5" t="s">
        <v>5022</v>
      </c>
      <c r="I3092" t="s">
        <v>5022</v>
      </c>
      <c r="J3092" t="b">
        <f>AND(CCData[[#This Row],[Date]]&gt;=Calculation!$E$3,CCData[[#This Row],[Date]]&lt;Calculation!$E$3+7)</f>
        <v>0</v>
      </c>
    </row>
    <row r="3093" spans="1:10">
      <c r="A3093" t="s">
        <v>3092</v>
      </c>
      <c r="B3093" s="2">
        <v>42058.695</v>
      </c>
      <c r="C3093" s="3" t="s">
        <v>5009</v>
      </c>
      <c r="D3093" t="s">
        <v>5012</v>
      </c>
      <c r="E3093" t="s">
        <v>5018</v>
      </c>
      <c r="F3093" t="s">
        <v>5018</v>
      </c>
      <c r="G3093">
        <v>124</v>
      </c>
      <c r="H3093" s="5">
        <v>4.6621354584795317E-3</v>
      </c>
      <c r="I3093">
        <v>5</v>
      </c>
      <c r="J3093" t="b">
        <f>AND(CCData[[#This Row],[Date]]&gt;=Calculation!$E$3,CCData[[#This Row],[Date]]&lt;Calculation!$E$3+7)</f>
        <v>0</v>
      </c>
    </row>
    <row r="3094" spans="1:10">
      <c r="A3094" t="s">
        <v>3093</v>
      </c>
      <c r="B3094" s="2">
        <v>42058.705000000002</v>
      </c>
      <c r="C3094" s="3" t="s">
        <v>5006</v>
      </c>
      <c r="D3094" t="s">
        <v>5014</v>
      </c>
      <c r="E3094" t="s">
        <v>5018</v>
      </c>
      <c r="F3094" t="s">
        <v>5018</v>
      </c>
      <c r="G3094">
        <v>99</v>
      </c>
      <c r="H3094" s="5">
        <v>4.68131975940775E-3</v>
      </c>
      <c r="I3094">
        <v>4</v>
      </c>
      <c r="J3094" t="b">
        <f>AND(CCData[[#This Row],[Date]]&gt;=Calculation!$E$3,CCData[[#This Row],[Date]]&lt;Calculation!$E$3+7)</f>
        <v>0</v>
      </c>
    </row>
    <row r="3095" spans="1:10">
      <c r="A3095" t="s">
        <v>3094</v>
      </c>
      <c r="B3095" s="2">
        <v>42058.705000000002</v>
      </c>
      <c r="C3095" s="3" t="s">
        <v>5004</v>
      </c>
      <c r="D3095" t="s">
        <v>5016</v>
      </c>
      <c r="E3095" t="s">
        <v>5018</v>
      </c>
      <c r="F3095" t="s">
        <v>5018</v>
      </c>
      <c r="G3095">
        <v>99</v>
      </c>
      <c r="H3095" s="5">
        <v>4.6115712560997248E-3</v>
      </c>
      <c r="I3095">
        <v>4</v>
      </c>
      <c r="J3095" t="b">
        <f>AND(CCData[[#This Row],[Date]]&gt;=Calculation!$E$3,CCData[[#This Row],[Date]]&lt;Calculation!$E$3+7)</f>
        <v>0</v>
      </c>
    </row>
    <row r="3096" spans="1:10">
      <c r="A3096" t="s">
        <v>3095</v>
      </c>
      <c r="B3096" s="2">
        <v>42058.716</v>
      </c>
      <c r="C3096" s="3" t="s">
        <v>5003</v>
      </c>
      <c r="D3096" t="s">
        <v>5014</v>
      </c>
      <c r="E3096" t="s">
        <v>5018</v>
      </c>
      <c r="F3096" t="s">
        <v>5018</v>
      </c>
      <c r="G3096">
        <v>86</v>
      </c>
      <c r="H3096" s="5">
        <v>3.0760365537777197E-3</v>
      </c>
      <c r="I3096">
        <v>4</v>
      </c>
      <c r="J3096" t="b">
        <f>AND(CCData[[#This Row],[Date]]&gt;=Calculation!$E$3,CCData[[#This Row],[Date]]&lt;Calculation!$E$3+7)</f>
        <v>0</v>
      </c>
    </row>
    <row r="3097" spans="1:10">
      <c r="A3097" t="s">
        <v>3096</v>
      </c>
      <c r="B3097" s="2">
        <v>42058.716</v>
      </c>
      <c r="C3097" s="3" t="s">
        <v>5008</v>
      </c>
      <c r="D3097" t="s">
        <v>5013</v>
      </c>
      <c r="E3097" t="s">
        <v>5018</v>
      </c>
      <c r="F3097" t="s">
        <v>5018</v>
      </c>
      <c r="G3097">
        <v>118</v>
      </c>
      <c r="H3097" s="5">
        <v>6.1762154132114736E-4</v>
      </c>
      <c r="I3097">
        <v>2</v>
      </c>
      <c r="J3097" t="b">
        <f>AND(CCData[[#This Row],[Date]]&gt;=Calculation!$E$3,CCData[[#This Row],[Date]]&lt;Calculation!$E$3+7)</f>
        <v>0</v>
      </c>
    </row>
    <row r="3098" spans="1:10">
      <c r="A3098" t="s">
        <v>3097</v>
      </c>
      <c r="B3098" s="2">
        <v>42058.724999999999</v>
      </c>
      <c r="C3098" s="3" t="s">
        <v>5009</v>
      </c>
      <c r="D3098" t="s">
        <v>5012</v>
      </c>
      <c r="E3098" t="s">
        <v>5018</v>
      </c>
      <c r="F3098" t="s">
        <v>5018</v>
      </c>
      <c r="G3098">
        <v>50</v>
      </c>
      <c r="H3098" s="5">
        <v>4.4355271758379578E-3</v>
      </c>
      <c r="I3098">
        <v>4</v>
      </c>
      <c r="J3098" t="b">
        <f>AND(CCData[[#This Row],[Date]]&gt;=Calculation!$E$3,CCData[[#This Row],[Date]]&lt;Calculation!$E$3+7)</f>
        <v>0</v>
      </c>
    </row>
    <row r="3099" spans="1:10">
      <c r="A3099" t="s">
        <v>3098</v>
      </c>
      <c r="B3099" s="2">
        <v>42058.724999999999</v>
      </c>
      <c r="C3099" s="3" t="s">
        <v>5009</v>
      </c>
      <c r="D3099" t="s">
        <v>5015</v>
      </c>
      <c r="E3099" t="s">
        <v>5019</v>
      </c>
      <c r="F3099" t="s">
        <v>5019</v>
      </c>
      <c r="G3099" t="s">
        <v>5022</v>
      </c>
      <c r="H3099" s="5" t="s">
        <v>5022</v>
      </c>
      <c r="I3099" t="s">
        <v>5022</v>
      </c>
      <c r="J3099" t="b">
        <f>AND(CCData[[#This Row],[Date]]&gt;=Calculation!$E$3,CCData[[#This Row],[Date]]&lt;Calculation!$E$3+7)</f>
        <v>0</v>
      </c>
    </row>
    <row r="3100" spans="1:10">
      <c r="A3100" t="s">
        <v>3099</v>
      </c>
      <c r="B3100" s="2">
        <v>42058.728999999999</v>
      </c>
      <c r="C3100" s="3" t="s">
        <v>5004</v>
      </c>
      <c r="D3100" t="s">
        <v>5016</v>
      </c>
      <c r="E3100" t="s">
        <v>5018</v>
      </c>
      <c r="F3100" t="s">
        <v>5018</v>
      </c>
      <c r="G3100">
        <v>52</v>
      </c>
      <c r="H3100" s="5">
        <v>2.4722174403074113E-3</v>
      </c>
      <c r="I3100">
        <v>1</v>
      </c>
      <c r="J3100" t="b">
        <f>AND(CCData[[#This Row],[Date]]&gt;=Calculation!$E$3,CCData[[#This Row],[Date]]&lt;Calculation!$E$3+7)</f>
        <v>0</v>
      </c>
    </row>
    <row r="3101" spans="1:10">
      <c r="A3101" t="s">
        <v>3100</v>
      </c>
      <c r="B3101" s="2">
        <v>42058.728999999999</v>
      </c>
      <c r="C3101" s="3" t="s">
        <v>5003</v>
      </c>
      <c r="D3101" t="s">
        <v>5013</v>
      </c>
      <c r="E3101" t="s">
        <v>5018</v>
      </c>
      <c r="F3101" t="s">
        <v>5018</v>
      </c>
      <c r="G3101">
        <v>34</v>
      </c>
      <c r="H3101" s="5">
        <v>3.3097134529517843E-3</v>
      </c>
      <c r="I3101">
        <v>4</v>
      </c>
      <c r="J3101" t="b">
        <f>AND(CCData[[#This Row],[Date]]&gt;=Calculation!$E$3,CCData[[#This Row],[Date]]&lt;Calculation!$E$3+7)</f>
        <v>0</v>
      </c>
    </row>
    <row r="3102" spans="1:10">
      <c r="A3102" t="s">
        <v>3101</v>
      </c>
      <c r="B3102" s="2">
        <v>42059.4</v>
      </c>
      <c r="C3102" s="3" t="s">
        <v>5006</v>
      </c>
      <c r="D3102" t="s">
        <v>5014</v>
      </c>
      <c r="E3102" t="s">
        <v>5018</v>
      </c>
      <c r="F3102" t="s">
        <v>5018</v>
      </c>
      <c r="G3102">
        <v>37</v>
      </c>
      <c r="H3102" s="5">
        <v>2.6350665641812895E-3</v>
      </c>
      <c r="I3102">
        <v>3</v>
      </c>
      <c r="J3102" t="b">
        <f>AND(CCData[[#This Row],[Date]]&gt;=Calculation!$E$3,CCData[[#This Row],[Date]]&lt;Calculation!$E$3+7)</f>
        <v>0</v>
      </c>
    </row>
    <row r="3103" spans="1:10">
      <c r="A3103" t="s">
        <v>3102</v>
      </c>
      <c r="B3103" s="2">
        <v>42059.4</v>
      </c>
      <c r="C3103" s="3" t="s">
        <v>5010</v>
      </c>
      <c r="D3103" t="s">
        <v>5015</v>
      </c>
      <c r="E3103" t="s">
        <v>5018</v>
      </c>
      <c r="F3103" t="s">
        <v>5018</v>
      </c>
      <c r="G3103">
        <v>75</v>
      </c>
      <c r="H3103" s="5">
        <v>2.0926370361484437E-3</v>
      </c>
      <c r="I3103">
        <v>4</v>
      </c>
      <c r="J3103" t="b">
        <f>AND(CCData[[#This Row],[Date]]&gt;=Calculation!$E$3,CCData[[#This Row],[Date]]&lt;Calculation!$E$3+7)</f>
        <v>0</v>
      </c>
    </row>
    <row r="3104" spans="1:10">
      <c r="A3104" t="s">
        <v>3103</v>
      </c>
      <c r="B3104" s="2">
        <v>42059.540999999997</v>
      </c>
      <c r="C3104" s="3" t="s">
        <v>5010</v>
      </c>
      <c r="D3104" t="s">
        <v>5013</v>
      </c>
      <c r="E3104" t="s">
        <v>5018</v>
      </c>
      <c r="F3104" t="s">
        <v>5018</v>
      </c>
      <c r="G3104">
        <v>85</v>
      </c>
      <c r="H3104" s="5">
        <v>8.4944642293801795E-4</v>
      </c>
      <c r="I3104">
        <v>2</v>
      </c>
      <c r="J3104" t="b">
        <f>AND(CCData[[#This Row],[Date]]&gt;=Calculation!$E$3,CCData[[#This Row],[Date]]&lt;Calculation!$E$3+7)</f>
        <v>0</v>
      </c>
    </row>
    <row r="3105" spans="1:10">
      <c r="A3105" t="s">
        <v>3104</v>
      </c>
      <c r="B3105" s="2">
        <v>42059.540999999997</v>
      </c>
      <c r="C3105" s="3" t="s">
        <v>5003</v>
      </c>
      <c r="D3105" t="s">
        <v>5015</v>
      </c>
      <c r="E3105" t="s">
        <v>5018</v>
      </c>
      <c r="F3105" t="s">
        <v>5018</v>
      </c>
      <c r="G3105">
        <v>25</v>
      </c>
      <c r="H3105" s="5">
        <v>3.0483736059431442E-3</v>
      </c>
      <c r="I3105">
        <v>3</v>
      </c>
      <c r="J3105" t="b">
        <f>AND(CCData[[#This Row],[Date]]&gt;=Calculation!$E$3,CCData[[#This Row],[Date]]&lt;Calculation!$E$3+7)</f>
        <v>0</v>
      </c>
    </row>
    <row r="3106" spans="1:10">
      <c r="A3106" t="s">
        <v>3105</v>
      </c>
      <c r="B3106" s="2">
        <v>42059.542000000001</v>
      </c>
      <c r="C3106" s="3" t="s">
        <v>5005</v>
      </c>
      <c r="D3106" t="s">
        <v>5015</v>
      </c>
      <c r="E3106" t="s">
        <v>5019</v>
      </c>
      <c r="F3106" t="s">
        <v>5019</v>
      </c>
      <c r="G3106" t="s">
        <v>5022</v>
      </c>
      <c r="H3106" s="5" t="s">
        <v>5022</v>
      </c>
      <c r="I3106" t="s">
        <v>5022</v>
      </c>
      <c r="J3106" t="b">
        <f>AND(CCData[[#This Row],[Date]]&gt;=Calculation!$E$3,CCData[[#This Row],[Date]]&lt;Calculation!$E$3+7)</f>
        <v>0</v>
      </c>
    </row>
    <row r="3107" spans="1:10">
      <c r="A3107" t="s">
        <v>3106</v>
      </c>
      <c r="B3107" s="2">
        <v>42059.542000000001</v>
      </c>
      <c r="C3107" s="3" t="s">
        <v>5010</v>
      </c>
      <c r="D3107" t="s">
        <v>5012</v>
      </c>
      <c r="E3107" t="s">
        <v>5019</v>
      </c>
      <c r="F3107" t="s">
        <v>5019</v>
      </c>
      <c r="G3107" t="s">
        <v>5022</v>
      </c>
      <c r="H3107" s="5" t="s">
        <v>5022</v>
      </c>
      <c r="I3107" t="s">
        <v>5022</v>
      </c>
      <c r="J3107" t="b">
        <f>AND(CCData[[#This Row],[Date]]&gt;=Calculation!$E$3,CCData[[#This Row],[Date]]&lt;Calculation!$E$3+7)</f>
        <v>0</v>
      </c>
    </row>
    <row r="3108" spans="1:10">
      <c r="A3108" t="s">
        <v>3107</v>
      </c>
      <c r="B3108" s="2">
        <v>42059.553999999996</v>
      </c>
      <c r="C3108" s="3" t="s">
        <v>5008</v>
      </c>
      <c r="D3108" t="s">
        <v>5016</v>
      </c>
      <c r="E3108" t="s">
        <v>5018</v>
      </c>
      <c r="F3108" t="s">
        <v>5018</v>
      </c>
      <c r="G3108">
        <v>70</v>
      </c>
      <c r="H3108" s="5">
        <v>5.5908010336661778E-4</v>
      </c>
      <c r="I3108">
        <v>4</v>
      </c>
      <c r="J3108" t="b">
        <f>AND(CCData[[#This Row],[Date]]&gt;=Calculation!$E$3,CCData[[#This Row],[Date]]&lt;Calculation!$E$3+7)</f>
        <v>0</v>
      </c>
    </row>
    <row r="3109" spans="1:10">
      <c r="A3109" t="s">
        <v>3108</v>
      </c>
      <c r="B3109" s="2">
        <v>42059.553999999996</v>
      </c>
      <c r="C3109" s="3" t="s">
        <v>5003</v>
      </c>
      <c r="D3109" t="s">
        <v>5013</v>
      </c>
      <c r="E3109" t="s">
        <v>5018</v>
      </c>
      <c r="F3109" t="s">
        <v>5018</v>
      </c>
      <c r="G3109">
        <v>103</v>
      </c>
      <c r="H3109" s="5">
        <v>2.389216300654235E-3</v>
      </c>
      <c r="I3109">
        <v>4</v>
      </c>
      <c r="J3109" t="b">
        <f>AND(CCData[[#This Row],[Date]]&gt;=Calculation!$E$3,CCData[[#This Row],[Date]]&lt;Calculation!$E$3+7)</f>
        <v>0</v>
      </c>
    </row>
    <row r="3110" spans="1:10">
      <c r="A3110" t="s">
        <v>3109</v>
      </c>
      <c r="B3110" s="2">
        <v>42059.565999999999</v>
      </c>
      <c r="C3110" s="3" t="s">
        <v>5005</v>
      </c>
      <c r="D3110" t="s">
        <v>5014</v>
      </c>
      <c r="E3110" t="s">
        <v>5018</v>
      </c>
      <c r="F3110" t="s">
        <v>5018</v>
      </c>
      <c r="G3110">
        <v>71</v>
      </c>
      <c r="H3110" s="5">
        <v>4.8280754980766687E-3</v>
      </c>
      <c r="I3110">
        <v>5</v>
      </c>
      <c r="J3110" t="b">
        <f>AND(CCData[[#This Row],[Date]]&gt;=Calculation!$E$3,CCData[[#This Row],[Date]]&lt;Calculation!$E$3+7)</f>
        <v>0</v>
      </c>
    </row>
    <row r="3111" spans="1:10">
      <c r="A3111" t="s">
        <v>3110</v>
      </c>
      <c r="B3111" s="2">
        <v>42059.565999999999</v>
      </c>
      <c r="C3111" s="3" t="s">
        <v>5004</v>
      </c>
      <c r="D3111" t="s">
        <v>5013</v>
      </c>
      <c r="E3111" t="s">
        <v>5018</v>
      </c>
      <c r="F3111" t="s">
        <v>5018</v>
      </c>
      <c r="G3111">
        <v>51</v>
      </c>
      <c r="H3111" s="5">
        <v>8.23168049560881E-4</v>
      </c>
      <c r="I3111">
        <v>4</v>
      </c>
      <c r="J3111" t="b">
        <f>AND(CCData[[#This Row],[Date]]&gt;=Calculation!$E$3,CCData[[#This Row],[Date]]&lt;Calculation!$E$3+7)</f>
        <v>0</v>
      </c>
    </row>
    <row r="3112" spans="1:10">
      <c r="A3112" t="s">
        <v>3111</v>
      </c>
      <c r="B3112" s="2">
        <v>42059.576000000001</v>
      </c>
      <c r="C3112" s="3" t="s">
        <v>5007</v>
      </c>
      <c r="D3112" t="s">
        <v>5014</v>
      </c>
      <c r="E3112" t="s">
        <v>5018</v>
      </c>
      <c r="F3112" t="s">
        <v>5018</v>
      </c>
      <c r="G3112">
        <v>103</v>
      </c>
      <c r="H3112" s="5">
        <v>3.6573620101302672E-4</v>
      </c>
      <c r="I3112">
        <v>5</v>
      </c>
      <c r="J3112" t="b">
        <f>AND(CCData[[#This Row],[Date]]&gt;=Calculation!$E$3,CCData[[#This Row],[Date]]&lt;Calculation!$E$3+7)</f>
        <v>0</v>
      </c>
    </row>
    <row r="3113" spans="1:10">
      <c r="A3113" t="s">
        <v>3112</v>
      </c>
      <c r="B3113" s="2">
        <v>42059.576000000001</v>
      </c>
      <c r="C3113" s="3" t="s">
        <v>5008</v>
      </c>
      <c r="D3113" t="s">
        <v>5014</v>
      </c>
      <c r="E3113" t="s">
        <v>5018</v>
      </c>
      <c r="F3113" t="s">
        <v>5018</v>
      </c>
      <c r="G3113">
        <v>98</v>
      </c>
      <c r="H3113" s="5">
        <v>2.026332896001458E-3</v>
      </c>
      <c r="I3113">
        <v>5</v>
      </c>
      <c r="J3113" t="b">
        <f>AND(CCData[[#This Row],[Date]]&gt;=Calculation!$E$3,CCData[[#This Row],[Date]]&lt;Calculation!$E$3+7)</f>
        <v>0</v>
      </c>
    </row>
    <row r="3114" spans="1:10">
      <c r="A3114" t="s">
        <v>3113</v>
      </c>
      <c r="B3114" s="2">
        <v>42059.582000000002</v>
      </c>
      <c r="C3114" s="3" t="s">
        <v>5006</v>
      </c>
      <c r="D3114" t="s">
        <v>5014</v>
      </c>
      <c r="E3114" t="s">
        <v>5018</v>
      </c>
      <c r="F3114" t="s">
        <v>5018</v>
      </c>
      <c r="G3114">
        <v>65</v>
      </c>
      <c r="H3114" s="5">
        <v>2.3566560904680648E-3</v>
      </c>
      <c r="I3114">
        <v>2</v>
      </c>
      <c r="J3114" t="b">
        <f>AND(CCData[[#This Row],[Date]]&gt;=Calculation!$E$3,CCData[[#This Row],[Date]]&lt;Calculation!$E$3+7)</f>
        <v>0</v>
      </c>
    </row>
    <row r="3115" spans="1:10">
      <c r="A3115" t="s">
        <v>3114</v>
      </c>
      <c r="B3115" s="2">
        <v>42059.582000000002</v>
      </c>
      <c r="C3115" s="3" t="s">
        <v>5010</v>
      </c>
      <c r="D3115" t="s">
        <v>5015</v>
      </c>
      <c r="E3115" t="s">
        <v>5018</v>
      </c>
      <c r="F3115" t="s">
        <v>5018</v>
      </c>
      <c r="G3115">
        <v>104</v>
      </c>
      <c r="H3115" s="5">
        <v>3.4549893529618181E-3</v>
      </c>
      <c r="I3115">
        <v>4</v>
      </c>
      <c r="J3115" t="b">
        <f>AND(CCData[[#This Row],[Date]]&gt;=Calculation!$E$3,CCData[[#This Row],[Date]]&lt;Calculation!$E$3+7)</f>
        <v>0</v>
      </c>
    </row>
    <row r="3116" spans="1:10">
      <c r="A3116" t="s">
        <v>3115</v>
      </c>
      <c r="B3116" s="2">
        <v>42059.6</v>
      </c>
      <c r="C3116" s="3" t="s">
        <v>5007</v>
      </c>
      <c r="D3116" t="s">
        <v>5014</v>
      </c>
      <c r="E3116" t="s">
        <v>5018</v>
      </c>
      <c r="F3116" t="s">
        <v>5018</v>
      </c>
      <c r="G3116">
        <v>82</v>
      </c>
      <c r="H3116" s="5">
        <v>3.3045337592887327E-3</v>
      </c>
      <c r="I3116">
        <v>2</v>
      </c>
      <c r="J3116" t="b">
        <f>AND(CCData[[#This Row],[Date]]&gt;=Calculation!$E$3,CCData[[#This Row],[Date]]&lt;Calculation!$E$3+7)</f>
        <v>0</v>
      </c>
    </row>
    <row r="3117" spans="1:10">
      <c r="A3117" t="s">
        <v>3116</v>
      </c>
      <c r="B3117" s="2">
        <v>42059.6</v>
      </c>
      <c r="C3117" s="3" t="s">
        <v>5009</v>
      </c>
      <c r="D3117" t="s">
        <v>5014</v>
      </c>
      <c r="E3117" t="s">
        <v>5018</v>
      </c>
      <c r="F3117" t="s">
        <v>5018</v>
      </c>
      <c r="G3117">
        <v>26</v>
      </c>
      <c r="H3117" s="5">
        <v>1.9954013716203573E-3</v>
      </c>
      <c r="I3117">
        <v>4</v>
      </c>
      <c r="J3117" t="b">
        <f>AND(CCData[[#This Row],[Date]]&gt;=Calculation!$E$3,CCData[[#This Row],[Date]]&lt;Calculation!$E$3+7)</f>
        <v>0</v>
      </c>
    </row>
    <row r="3118" spans="1:10">
      <c r="A3118" t="s">
        <v>3117</v>
      </c>
      <c r="B3118" s="2">
        <v>42059.607000000004</v>
      </c>
      <c r="C3118" s="3" t="s">
        <v>5003</v>
      </c>
      <c r="D3118" t="s">
        <v>5014</v>
      </c>
      <c r="E3118" t="s">
        <v>5018</v>
      </c>
      <c r="F3118" t="s">
        <v>5019</v>
      </c>
      <c r="G3118">
        <v>84</v>
      </c>
      <c r="H3118" s="5">
        <v>2.5015734324960646E-3</v>
      </c>
      <c r="I3118">
        <v>3</v>
      </c>
      <c r="J3118" t="b">
        <f>AND(CCData[[#This Row],[Date]]&gt;=Calculation!$E$3,CCData[[#This Row],[Date]]&lt;Calculation!$E$3+7)</f>
        <v>0</v>
      </c>
    </row>
    <row r="3119" spans="1:10">
      <c r="A3119" t="s">
        <v>3118</v>
      </c>
      <c r="B3119" s="2">
        <v>42059.607000000004</v>
      </c>
      <c r="C3119" s="3" t="s">
        <v>5006</v>
      </c>
      <c r="D3119" t="s">
        <v>5013</v>
      </c>
      <c r="E3119" t="s">
        <v>5018</v>
      </c>
      <c r="F3119" t="s">
        <v>5018</v>
      </c>
      <c r="G3119">
        <v>106</v>
      </c>
      <c r="H3119" s="5">
        <v>3.9709470623094179E-3</v>
      </c>
      <c r="I3119">
        <v>4</v>
      </c>
      <c r="J3119" t="b">
        <f>AND(CCData[[#This Row],[Date]]&gt;=Calculation!$E$3,CCData[[#This Row],[Date]]&lt;Calculation!$E$3+7)</f>
        <v>0</v>
      </c>
    </row>
    <row r="3120" spans="1:10">
      <c r="A3120" t="s">
        <v>3119</v>
      </c>
      <c r="B3120" s="2">
        <v>42059.612000000001</v>
      </c>
      <c r="C3120" s="3" t="s">
        <v>5008</v>
      </c>
      <c r="D3120" t="s">
        <v>5015</v>
      </c>
      <c r="E3120" t="s">
        <v>5018</v>
      </c>
      <c r="F3120" t="s">
        <v>5018</v>
      </c>
      <c r="G3120">
        <v>92</v>
      </c>
      <c r="H3120" s="5">
        <v>1.1770634467941814E-3</v>
      </c>
      <c r="I3120">
        <v>4</v>
      </c>
      <c r="J3120" t="b">
        <f>AND(CCData[[#This Row],[Date]]&gt;=Calculation!$E$3,CCData[[#This Row],[Date]]&lt;Calculation!$E$3+7)</f>
        <v>0</v>
      </c>
    </row>
    <row r="3121" spans="1:10">
      <c r="A3121" t="s">
        <v>3120</v>
      </c>
      <c r="B3121" s="2">
        <v>42059.612000000001</v>
      </c>
      <c r="C3121" s="3" t="s">
        <v>5008</v>
      </c>
      <c r="D3121" t="s">
        <v>5015</v>
      </c>
      <c r="E3121" t="s">
        <v>5019</v>
      </c>
      <c r="F3121" t="s">
        <v>5019</v>
      </c>
      <c r="G3121" t="s">
        <v>5022</v>
      </c>
      <c r="H3121" s="5" t="s">
        <v>5022</v>
      </c>
      <c r="I3121" t="s">
        <v>5022</v>
      </c>
      <c r="J3121" t="b">
        <f>AND(CCData[[#This Row],[Date]]&gt;=Calculation!$E$3,CCData[[#This Row],[Date]]&lt;Calculation!$E$3+7)</f>
        <v>0</v>
      </c>
    </row>
    <row r="3122" spans="1:10">
      <c r="A3122" t="s">
        <v>3121</v>
      </c>
      <c r="B3122" s="2">
        <v>42059.637000000002</v>
      </c>
      <c r="C3122" s="3" t="s">
        <v>5004</v>
      </c>
      <c r="D3122" t="s">
        <v>5012</v>
      </c>
      <c r="E3122" t="s">
        <v>5018</v>
      </c>
      <c r="F3122" t="s">
        <v>5018</v>
      </c>
      <c r="G3122">
        <v>122</v>
      </c>
      <c r="H3122" s="5">
        <v>2.0927905141580345E-3</v>
      </c>
      <c r="I3122">
        <v>1</v>
      </c>
      <c r="J3122" t="b">
        <f>AND(CCData[[#This Row],[Date]]&gt;=Calculation!$E$3,CCData[[#This Row],[Date]]&lt;Calculation!$E$3+7)</f>
        <v>0</v>
      </c>
    </row>
    <row r="3123" spans="1:10">
      <c r="A3123" t="s">
        <v>3122</v>
      </c>
      <c r="B3123" s="2">
        <v>42059.637000000002</v>
      </c>
      <c r="C3123" s="3" t="s">
        <v>5004</v>
      </c>
      <c r="D3123" t="s">
        <v>5012</v>
      </c>
      <c r="E3123" t="s">
        <v>5018</v>
      </c>
      <c r="F3123" t="s">
        <v>5018</v>
      </c>
      <c r="G3123">
        <v>92</v>
      </c>
      <c r="H3123" s="5">
        <v>1.8989504162758989E-3</v>
      </c>
      <c r="I3123">
        <v>4</v>
      </c>
      <c r="J3123" t="b">
        <f>AND(CCData[[#This Row],[Date]]&gt;=Calculation!$E$3,CCData[[#This Row],[Date]]&lt;Calculation!$E$3+7)</f>
        <v>0</v>
      </c>
    </row>
    <row r="3124" spans="1:10">
      <c r="A3124" t="s">
        <v>3123</v>
      </c>
      <c r="B3124" s="2">
        <v>42059.64</v>
      </c>
      <c r="C3124" s="3" t="s">
        <v>5003</v>
      </c>
      <c r="D3124" t="s">
        <v>5014</v>
      </c>
      <c r="E3124" t="s">
        <v>5019</v>
      </c>
      <c r="F3124" t="s">
        <v>5019</v>
      </c>
      <c r="G3124" t="s">
        <v>5022</v>
      </c>
      <c r="H3124" s="5" t="s">
        <v>5022</v>
      </c>
      <c r="I3124" t="s">
        <v>5022</v>
      </c>
      <c r="J3124" t="b">
        <f>AND(CCData[[#This Row],[Date]]&gt;=Calculation!$E$3,CCData[[#This Row],[Date]]&lt;Calculation!$E$3+7)</f>
        <v>0</v>
      </c>
    </row>
    <row r="3125" spans="1:10">
      <c r="A3125" t="s">
        <v>3124</v>
      </c>
      <c r="B3125" s="2">
        <v>42059.64</v>
      </c>
      <c r="C3125" s="3" t="s">
        <v>5007</v>
      </c>
      <c r="D3125" t="s">
        <v>5016</v>
      </c>
      <c r="E3125" t="s">
        <v>5018</v>
      </c>
      <c r="F3125" t="s">
        <v>5018</v>
      </c>
      <c r="G3125">
        <v>61</v>
      </c>
      <c r="H3125" s="5">
        <v>3.0656837822961242E-3</v>
      </c>
      <c r="I3125">
        <v>5</v>
      </c>
      <c r="J3125" t="b">
        <f>AND(CCData[[#This Row],[Date]]&gt;=Calculation!$E$3,CCData[[#This Row],[Date]]&lt;Calculation!$E$3+7)</f>
        <v>0</v>
      </c>
    </row>
    <row r="3126" spans="1:10">
      <c r="A3126" t="s">
        <v>3125</v>
      </c>
      <c r="B3126" s="2">
        <v>42059.644999999997</v>
      </c>
      <c r="C3126" s="3" t="s">
        <v>5009</v>
      </c>
      <c r="D3126" t="s">
        <v>5013</v>
      </c>
      <c r="E3126" t="s">
        <v>5018</v>
      </c>
      <c r="F3126" t="s">
        <v>5018</v>
      </c>
      <c r="G3126">
        <v>27</v>
      </c>
      <c r="H3126" s="5">
        <v>1.3419115111718198E-3</v>
      </c>
      <c r="I3126">
        <v>5</v>
      </c>
      <c r="J3126" t="b">
        <f>AND(CCData[[#This Row],[Date]]&gt;=Calculation!$E$3,CCData[[#This Row],[Date]]&lt;Calculation!$E$3+7)</f>
        <v>0</v>
      </c>
    </row>
    <row r="3127" spans="1:10">
      <c r="A3127" t="s">
        <v>3126</v>
      </c>
      <c r="B3127" s="2">
        <v>42059.644999999997</v>
      </c>
      <c r="C3127" s="3" t="s">
        <v>5004</v>
      </c>
      <c r="D3127" t="s">
        <v>5013</v>
      </c>
      <c r="E3127" t="s">
        <v>5018</v>
      </c>
      <c r="F3127" t="s">
        <v>5018</v>
      </c>
      <c r="G3127">
        <v>68</v>
      </c>
      <c r="H3127" s="5">
        <v>1.2544927493189496E-3</v>
      </c>
      <c r="I3127">
        <v>1</v>
      </c>
      <c r="J3127" t="b">
        <f>AND(CCData[[#This Row],[Date]]&gt;=Calculation!$E$3,CCData[[#This Row],[Date]]&lt;Calculation!$E$3+7)</f>
        <v>0</v>
      </c>
    </row>
    <row r="3128" spans="1:10">
      <c r="A3128" t="s">
        <v>3127</v>
      </c>
      <c r="B3128" s="2">
        <v>42059.654000000002</v>
      </c>
      <c r="C3128" s="3" t="s">
        <v>5003</v>
      </c>
      <c r="D3128" t="s">
        <v>5013</v>
      </c>
      <c r="E3128" t="s">
        <v>5019</v>
      </c>
      <c r="F3128" t="s">
        <v>5019</v>
      </c>
      <c r="G3128" t="s">
        <v>5022</v>
      </c>
      <c r="H3128" s="5" t="s">
        <v>5022</v>
      </c>
      <c r="I3128" t="s">
        <v>5022</v>
      </c>
      <c r="J3128" t="b">
        <f>AND(CCData[[#This Row],[Date]]&gt;=Calculation!$E$3,CCData[[#This Row],[Date]]&lt;Calculation!$E$3+7)</f>
        <v>0</v>
      </c>
    </row>
    <row r="3129" spans="1:10">
      <c r="A3129" t="s">
        <v>3128</v>
      </c>
      <c r="B3129" s="2">
        <v>42059.654000000002</v>
      </c>
      <c r="C3129" s="3" t="s">
        <v>5006</v>
      </c>
      <c r="D3129" t="s">
        <v>5013</v>
      </c>
      <c r="E3129" t="s">
        <v>5018</v>
      </c>
      <c r="F3129" t="s">
        <v>5018</v>
      </c>
      <c r="G3129">
        <v>59</v>
      </c>
      <c r="H3129" s="5">
        <v>4.8881086250229485E-4</v>
      </c>
      <c r="I3129">
        <v>4</v>
      </c>
      <c r="J3129" t="b">
        <f>AND(CCData[[#This Row],[Date]]&gt;=Calculation!$E$3,CCData[[#This Row],[Date]]&lt;Calculation!$E$3+7)</f>
        <v>0</v>
      </c>
    </row>
    <row r="3130" spans="1:10">
      <c r="A3130" t="s">
        <v>3129</v>
      </c>
      <c r="B3130" s="2">
        <v>42059.671999999999</v>
      </c>
      <c r="C3130" s="3" t="s">
        <v>5008</v>
      </c>
      <c r="D3130" t="s">
        <v>5014</v>
      </c>
      <c r="E3130" t="s">
        <v>5019</v>
      </c>
      <c r="F3130" t="s">
        <v>5019</v>
      </c>
      <c r="G3130" t="s">
        <v>5022</v>
      </c>
      <c r="H3130" s="5" t="s">
        <v>5022</v>
      </c>
      <c r="I3130" t="s">
        <v>5022</v>
      </c>
      <c r="J3130" t="b">
        <f>AND(CCData[[#This Row],[Date]]&gt;=Calculation!$E$3,CCData[[#This Row],[Date]]&lt;Calculation!$E$3+7)</f>
        <v>0</v>
      </c>
    </row>
    <row r="3131" spans="1:10">
      <c r="A3131" t="s">
        <v>3130</v>
      </c>
      <c r="B3131" s="2">
        <v>42059.671999999999</v>
      </c>
      <c r="C3131" s="3" t="s">
        <v>5008</v>
      </c>
      <c r="D3131" t="s">
        <v>5013</v>
      </c>
      <c r="E3131" t="s">
        <v>5018</v>
      </c>
      <c r="F3131" t="s">
        <v>5018</v>
      </c>
      <c r="G3131">
        <v>110</v>
      </c>
      <c r="H3131" s="5">
        <v>4.0513103325069081E-3</v>
      </c>
      <c r="I3131">
        <v>4</v>
      </c>
      <c r="J3131" t="b">
        <f>AND(CCData[[#This Row],[Date]]&gt;=Calculation!$E$3,CCData[[#This Row],[Date]]&lt;Calculation!$E$3+7)</f>
        <v>0</v>
      </c>
    </row>
    <row r="3132" spans="1:10">
      <c r="A3132" t="s">
        <v>3131</v>
      </c>
      <c r="B3132" s="2">
        <v>42059.682999999997</v>
      </c>
      <c r="C3132" s="3" t="s">
        <v>5007</v>
      </c>
      <c r="D3132" t="s">
        <v>5013</v>
      </c>
      <c r="E3132" t="s">
        <v>5018</v>
      </c>
      <c r="F3132" t="s">
        <v>5018</v>
      </c>
      <c r="G3132">
        <v>23</v>
      </c>
      <c r="H3132" s="5">
        <v>1.6199601322463308E-3</v>
      </c>
      <c r="I3132">
        <v>4</v>
      </c>
      <c r="J3132" t="b">
        <f>AND(CCData[[#This Row],[Date]]&gt;=Calculation!$E$3,CCData[[#This Row],[Date]]&lt;Calculation!$E$3+7)</f>
        <v>0</v>
      </c>
    </row>
    <row r="3133" spans="1:10">
      <c r="A3133" t="s">
        <v>3132</v>
      </c>
      <c r="B3133" s="2">
        <v>42059.682999999997</v>
      </c>
      <c r="C3133" s="3" t="s">
        <v>5003</v>
      </c>
      <c r="D3133" t="s">
        <v>5012</v>
      </c>
      <c r="E3133" t="s">
        <v>5018</v>
      </c>
      <c r="F3133" t="s">
        <v>5018</v>
      </c>
      <c r="G3133">
        <v>60</v>
      </c>
      <c r="H3133" s="5">
        <v>4.2734645163139294E-3</v>
      </c>
      <c r="I3133">
        <v>5</v>
      </c>
      <c r="J3133" t="b">
        <f>AND(CCData[[#This Row],[Date]]&gt;=Calculation!$E$3,CCData[[#This Row],[Date]]&lt;Calculation!$E$3+7)</f>
        <v>0</v>
      </c>
    </row>
    <row r="3134" spans="1:10">
      <c r="A3134" t="s">
        <v>3133</v>
      </c>
      <c r="B3134" s="2">
        <v>42059.692999999999</v>
      </c>
      <c r="C3134" s="3" t="s">
        <v>5005</v>
      </c>
      <c r="D3134" t="s">
        <v>5014</v>
      </c>
      <c r="E3134" t="s">
        <v>5018</v>
      </c>
      <c r="F3134" t="s">
        <v>5018</v>
      </c>
      <c r="G3134">
        <v>89</v>
      </c>
      <c r="H3134" s="5">
        <v>1.7050737964662227E-3</v>
      </c>
      <c r="I3134">
        <v>3</v>
      </c>
      <c r="J3134" t="b">
        <f>AND(CCData[[#This Row],[Date]]&gt;=Calculation!$E$3,CCData[[#This Row],[Date]]&lt;Calculation!$E$3+7)</f>
        <v>0</v>
      </c>
    </row>
    <row r="3135" spans="1:10">
      <c r="A3135" t="s">
        <v>3134</v>
      </c>
      <c r="B3135" s="2">
        <v>42059.692999999999</v>
      </c>
      <c r="C3135" s="3" t="s">
        <v>5009</v>
      </c>
      <c r="D3135" t="s">
        <v>5015</v>
      </c>
      <c r="E3135" t="s">
        <v>5018</v>
      </c>
      <c r="F3135" t="s">
        <v>5018</v>
      </c>
      <c r="G3135">
        <v>48</v>
      </c>
      <c r="H3135" s="5">
        <v>2.8489392476659732E-3</v>
      </c>
      <c r="I3135">
        <v>3</v>
      </c>
      <c r="J3135" t="b">
        <f>AND(CCData[[#This Row],[Date]]&gt;=Calculation!$E$3,CCData[[#This Row],[Date]]&lt;Calculation!$E$3+7)</f>
        <v>0</v>
      </c>
    </row>
    <row r="3136" spans="1:10">
      <c r="A3136" t="s">
        <v>3135</v>
      </c>
      <c r="B3136" s="2">
        <v>42059.696000000004</v>
      </c>
      <c r="C3136" s="3" t="s">
        <v>5008</v>
      </c>
      <c r="D3136" t="s">
        <v>5015</v>
      </c>
      <c r="E3136" t="s">
        <v>5018</v>
      </c>
      <c r="F3136" t="s">
        <v>5018</v>
      </c>
      <c r="G3136">
        <v>52</v>
      </c>
      <c r="H3136" s="5">
        <v>3.4123374082398522E-3</v>
      </c>
      <c r="I3136">
        <v>5</v>
      </c>
      <c r="J3136" t="b">
        <f>AND(CCData[[#This Row],[Date]]&gt;=Calculation!$E$3,CCData[[#This Row],[Date]]&lt;Calculation!$E$3+7)</f>
        <v>0</v>
      </c>
    </row>
    <row r="3137" spans="1:10">
      <c r="A3137" t="s">
        <v>3136</v>
      </c>
      <c r="B3137" s="2">
        <v>42059.696000000004</v>
      </c>
      <c r="C3137" s="3" t="s">
        <v>5007</v>
      </c>
      <c r="D3137" t="s">
        <v>5014</v>
      </c>
      <c r="E3137" t="s">
        <v>5018</v>
      </c>
      <c r="F3137" t="s">
        <v>5018</v>
      </c>
      <c r="G3137">
        <v>49</v>
      </c>
      <c r="H3137" s="5">
        <v>2.302278904264782E-3</v>
      </c>
      <c r="I3137">
        <v>1</v>
      </c>
      <c r="J3137" t="b">
        <f>AND(CCData[[#This Row],[Date]]&gt;=Calculation!$E$3,CCData[[#This Row],[Date]]&lt;Calculation!$E$3+7)</f>
        <v>0</v>
      </c>
    </row>
    <row r="3138" spans="1:10">
      <c r="A3138" t="s">
        <v>3137</v>
      </c>
      <c r="B3138" s="2">
        <v>42059.7</v>
      </c>
      <c r="C3138" s="3" t="s">
        <v>5004</v>
      </c>
      <c r="D3138" t="s">
        <v>5013</v>
      </c>
      <c r="E3138" t="s">
        <v>5018</v>
      </c>
      <c r="F3138" t="s">
        <v>5018</v>
      </c>
      <c r="G3138">
        <v>33</v>
      </c>
      <c r="H3138" s="5">
        <v>3.228342967585202E-3</v>
      </c>
      <c r="I3138">
        <v>2</v>
      </c>
      <c r="J3138" t="b">
        <f>AND(CCData[[#This Row],[Date]]&gt;=Calculation!$E$3,CCData[[#This Row],[Date]]&lt;Calculation!$E$3+7)</f>
        <v>0</v>
      </c>
    </row>
    <row r="3139" spans="1:10">
      <c r="A3139" t="s">
        <v>3138</v>
      </c>
      <c r="B3139" s="2">
        <v>42059.7</v>
      </c>
      <c r="C3139" s="3" t="s">
        <v>5007</v>
      </c>
      <c r="D3139" t="s">
        <v>5013</v>
      </c>
      <c r="E3139" t="s">
        <v>5018</v>
      </c>
      <c r="F3139" t="s">
        <v>5018</v>
      </c>
      <c r="G3139">
        <v>108</v>
      </c>
      <c r="H3139" s="5">
        <v>3.0007602074048267E-3</v>
      </c>
      <c r="I3139">
        <v>4</v>
      </c>
      <c r="J3139" t="b">
        <f>AND(CCData[[#This Row],[Date]]&gt;=Calculation!$E$3,CCData[[#This Row],[Date]]&lt;Calculation!$E$3+7)</f>
        <v>0</v>
      </c>
    </row>
    <row r="3140" spans="1:10">
      <c r="A3140" t="s">
        <v>3139</v>
      </c>
      <c r="B3140" s="2">
        <v>42059.718000000001</v>
      </c>
      <c r="C3140" s="3" t="s">
        <v>5007</v>
      </c>
      <c r="D3140" t="s">
        <v>5014</v>
      </c>
      <c r="E3140" t="s">
        <v>5019</v>
      </c>
      <c r="F3140" t="s">
        <v>5019</v>
      </c>
      <c r="G3140" t="s">
        <v>5022</v>
      </c>
      <c r="H3140" s="5" t="s">
        <v>5022</v>
      </c>
      <c r="I3140" t="s">
        <v>5022</v>
      </c>
      <c r="J3140" t="b">
        <f>AND(CCData[[#This Row],[Date]]&gt;=Calculation!$E$3,CCData[[#This Row],[Date]]&lt;Calculation!$E$3+7)</f>
        <v>0</v>
      </c>
    </row>
    <row r="3141" spans="1:10">
      <c r="A3141" t="s">
        <v>3140</v>
      </c>
      <c r="B3141" s="2">
        <v>42059.718000000001</v>
      </c>
      <c r="C3141" s="3" t="s">
        <v>5008</v>
      </c>
      <c r="D3141" t="s">
        <v>5014</v>
      </c>
      <c r="E3141" t="s">
        <v>5018</v>
      </c>
      <c r="F3141" t="s">
        <v>5018</v>
      </c>
      <c r="G3141">
        <v>21</v>
      </c>
      <c r="H3141" s="5">
        <v>3.4230225961481408E-3</v>
      </c>
      <c r="I3141">
        <v>5</v>
      </c>
      <c r="J3141" t="b">
        <f>AND(CCData[[#This Row],[Date]]&gt;=Calculation!$E$3,CCData[[#This Row],[Date]]&lt;Calculation!$E$3+7)</f>
        <v>0</v>
      </c>
    </row>
    <row r="3142" spans="1:10">
      <c r="A3142" t="s">
        <v>3141</v>
      </c>
      <c r="B3142" s="2">
        <v>42059.72</v>
      </c>
      <c r="C3142" s="3" t="s">
        <v>5009</v>
      </c>
      <c r="D3142" t="s">
        <v>5012</v>
      </c>
      <c r="E3142" t="s">
        <v>5018</v>
      </c>
      <c r="F3142" t="s">
        <v>5018</v>
      </c>
      <c r="G3142">
        <v>23</v>
      </c>
      <c r="H3142" s="5">
        <v>2.6463193933375807E-3</v>
      </c>
      <c r="I3142">
        <v>5</v>
      </c>
      <c r="J3142" t="b">
        <f>AND(CCData[[#This Row],[Date]]&gt;=Calculation!$E$3,CCData[[#This Row],[Date]]&lt;Calculation!$E$3+7)</f>
        <v>0</v>
      </c>
    </row>
    <row r="3143" spans="1:10">
      <c r="A3143" t="s">
        <v>3142</v>
      </c>
      <c r="B3143" s="2">
        <v>42059.72</v>
      </c>
      <c r="C3143" s="3" t="s">
        <v>5010</v>
      </c>
      <c r="D3143" t="s">
        <v>5013</v>
      </c>
      <c r="E3143" t="s">
        <v>5019</v>
      </c>
      <c r="F3143" t="s">
        <v>5019</v>
      </c>
      <c r="G3143" t="s">
        <v>5022</v>
      </c>
      <c r="H3143" s="5" t="s">
        <v>5022</v>
      </c>
      <c r="I3143" t="s">
        <v>5022</v>
      </c>
      <c r="J3143" t="b">
        <f>AND(CCData[[#This Row],[Date]]&gt;=Calculation!$E$3,CCData[[#This Row],[Date]]&lt;Calculation!$E$3+7)</f>
        <v>0</v>
      </c>
    </row>
    <row r="3144" spans="1:10">
      <c r="A3144" t="s">
        <v>3143</v>
      </c>
      <c r="B3144" s="2">
        <v>42059.728000000003</v>
      </c>
      <c r="C3144" s="3" t="s">
        <v>5004</v>
      </c>
      <c r="D3144" t="s">
        <v>5012</v>
      </c>
      <c r="E3144" t="s">
        <v>5018</v>
      </c>
      <c r="F3144" t="s">
        <v>5018</v>
      </c>
      <c r="G3144">
        <v>73</v>
      </c>
      <c r="H3144" s="5">
        <v>3.8600204600727117E-3</v>
      </c>
      <c r="I3144">
        <v>5</v>
      </c>
      <c r="J3144" t="b">
        <f>AND(CCData[[#This Row],[Date]]&gt;=Calculation!$E$3,CCData[[#This Row],[Date]]&lt;Calculation!$E$3+7)</f>
        <v>0</v>
      </c>
    </row>
    <row r="3145" spans="1:10">
      <c r="A3145" t="s">
        <v>3144</v>
      </c>
      <c r="B3145" s="2">
        <v>42059.728000000003</v>
      </c>
      <c r="C3145" s="3" t="s">
        <v>5010</v>
      </c>
      <c r="D3145" t="s">
        <v>5013</v>
      </c>
      <c r="E3145" t="s">
        <v>5019</v>
      </c>
      <c r="F3145" t="s">
        <v>5019</v>
      </c>
      <c r="G3145" t="s">
        <v>5022</v>
      </c>
      <c r="H3145" s="5" t="s">
        <v>5022</v>
      </c>
      <c r="I3145" t="s">
        <v>5022</v>
      </c>
      <c r="J3145" t="b">
        <f>AND(CCData[[#This Row],[Date]]&gt;=Calculation!$E$3,CCData[[#This Row],[Date]]&lt;Calculation!$E$3+7)</f>
        <v>0</v>
      </c>
    </row>
    <row r="3146" spans="1:10">
      <c r="A3146" t="s">
        <v>3145</v>
      </c>
      <c r="B3146" s="2">
        <v>42059.733999999997</v>
      </c>
      <c r="C3146" s="3" t="s">
        <v>5005</v>
      </c>
      <c r="D3146" t="s">
        <v>5013</v>
      </c>
      <c r="E3146" t="s">
        <v>5018</v>
      </c>
      <c r="F3146" t="s">
        <v>5018</v>
      </c>
      <c r="G3146">
        <v>22</v>
      </c>
      <c r="H3146" s="5">
        <v>2.9310950174463342E-3</v>
      </c>
      <c r="I3146">
        <v>3</v>
      </c>
      <c r="J3146" t="b">
        <f>AND(CCData[[#This Row],[Date]]&gt;=Calculation!$E$3,CCData[[#This Row],[Date]]&lt;Calculation!$E$3+7)</f>
        <v>0</v>
      </c>
    </row>
    <row r="3147" spans="1:10">
      <c r="A3147" t="s">
        <v>3146</v>
      </c>
      <c r="B3147" s="2">
        <v>42059.733999999997</v>
      </c>
      <c r="C3147" s="3" t="s">
        <v>5009</v>
      </c>
      <c r="D3147" t="s">
        <v>5014</v>
      </c>
      <c r="E3147" t="s">
        <v>5019</v>
      </c>
      <c r="F3147" t="s">
        <v>5019</v>
      </c>
      <c r="G3147" t="s">
        <v>5022</v>
      </c>
      <c r="H3147" s="5" t="s">
        <v>5022</v>
      </c>
      <c r="I3147" t="s">
        <v>5022</v>
      </c>
      <c r="J3147" t="b">
        <f>AND(CCData[[#This Row],[Date]]&gt;=Calculation!$E$3,CCData[[#This Row],[Date]]&lt;Calculation!$E$3+7)</f>
        <v>0</v>
      </c>
    </row>
    <row r="3148" spans="1:10">
      <c r="A3148" t="s">
        <v>3147</v>
      </c>
      <c r="B3148" s="2">
        <v>42059.737999999998</v>
      </c>
      <c r="C3148" s="3" t="s">
        <v>5005</v>
      </c>
      <c r="D3148" t="s">
        <v>5015</v>
      </c>
      <c r="E3148" t="s">
        <v>5018</v>
      </c>
      <c r="F3148" t="s">
        <v>5019</v>
      </c>
      <c r="G3148">
        <v>12</v>
      </c>
      <c r="H3148" s="5">
        <v>3.9722433533875704E-3</v>
      </c>
      <c r="I3148">
        <v>4</v>
      </c>
      <c r="J3148" t="b">
        <f>AND(CCData[[#This Row],[Date]]&gt;=Calculation!$E$3,CCData[[#This Row],[Date]]&lt;Calculation!$E$3+7)</f>
        <v>0</v>
      </c>
    </row>
    <row r="3149" spans="1:10">
      <c r="A3149" t="s">
        <v>3148</v>
      </c>
      <c r="B3149" s="2">
        <v>42059.737999999998</v>
      </c>
      <c r="C3149" s="3" t="s">
        <v>5008</v>
      </c>
      <c r="D3149" t="s">
        <v>5016</v>
      </c>
      <c r="E3149" t="s">
        <v>5018</v>
      </c>
      <c r="F3149" t="s">
        <v>5018</v>
      </c>
      <c r="G3149">
        <v>111</v>
      </c>
      <c r="H3149" s="5">
        <v>3.0673547404527534E-3</v>
      </c>
      <c r="I3149">
        <v>3</v>
      </c>
      <c r="J3149" t="b">
        <f>AND(CCData[[#This Row],[Date]]&gt;=Calculation!$E$3,CCData[[#This Row],[Date]]&lt;Calculation!$E$3+7)</f>
        <v>0</v>
      </c>
    </row>
    <row r="3150" spans="1:10">
      <c r="A3150" t="s">
        <v>3149</v>
      </c>
      <c r="B3150" s="2">
        <v>42059.741000000002</v>
      </c>
      <c r="C3150" s="3" t="s">
        <v>5007</v>
      </c>
      <c r="D3150" t="s">
        <v>5015</v>
      </c>
      <c r="E3150" t="s">
        <v>5018</v>
      </c>
      <c r="F3150" t="s">
        <v>5018</v>
      </c>
      <c r="G3150">
        <v>97</v>
      </c>
      <c r="H3150" s="5">
        <v>2.6110033918700171E-3</v>
      </c>
      <c r="I3150">
        <v>5</v>
      </c>
      <c r="J3150" t="b">
        <f>AND(CCData[[#This Row],[Date]]&gt;=Calculation!$E$3,CCData[[#This Row],[Date]]&lt;Calculation!$E$3+7)</f>
        <v>0</v>
      </c>
    </row>
    <row r="3151" spans="1:10">
      <c r="A3151" t="s">
        <v>3150</v>
      </c>
      <c r="B3151" s="2">
        <v>42059.741000000002</v>
      </c>
      <c r="C3151" s="3" t="s">
        <v>5003</v>
      </c>
      <c r="D3151" t="s">
        <v>5016</v>
      </c>
      <c r="E3151" t="s">
        <v>5018</v>
      </c>
      <c r="F3151" t="s">
        <v>5018</v>
      </c>
      <c r="G3151">
        <v>93</v>
      </c>
      <c r="H3151" s="5">
        <v>3.8271869012978777E-3</v>
      </c>
      <c r="I3151">
        <v>4</v>
      </c>
      <c r="J3151" t="b">
        <f>AND(CCData[[#This Row],[Date]]&gt;=Calculation!$E$3,CCData[[#This Row],[Date]]&lt;Calculation!$E$3+7)</f>
        <v>0</v>
      </c>
    </row>
    <row r="3152" spans="1:10">
      <c r="A3152" t="s">
        <v>3151</v>
      </c>
      <c r="B3152" s="2">
        <v>42059.747000000003</v>
      </c>
      <c r="C3152" s="3" t="s">
        <v>5004</v>
      </c>
      <c r="D3152" t="s">
        <v>5016</v>
      </c>
      <c r="E3152" t="s">
        <v>5018</v>
      </c>
      <c r="F3152" t="s">
        <v>5018</v>
      </c>
      <c r="G3152">
        <v>24</v>
      </c>
      <c r="H3152" s="5">
        <v>1.6787822211002529E-3</v>
      </c>
      <c r="I3152">
        <v>3</v>
      </c>
      <c r="J3152" t="b">
        <f>AND(CCData[[#This Row],[Date]]&gt;=Calculation!$E$3,CCData[[#This Row],[Date]]&lt;Calculation!$E$3+7)</f>
        <v>0</v>
      </c>
    </row>
    <row r="3153" spans="1:10">
      <c r="A3153" t="s">
        <v>3152</v>
      </c>
      <c r="B3153" s="2">
        <v>42059.747000000003</v>
      </c>
      <c r="C3153" s="3" t="s">
        <v>5009</v>
      </c>
      <c r="D3153" t="s">
        <v>5013</v>
      </c>
      <c r="E3153" t="s">
        <v>5018</v>
      </c>
      <c r="F3153" t="s">
        <v>5018</v>
      </c>
      <c r="G3153">
        <v>84</v>
      </c>
      <c r="H3153" s="5">
        <v>1.2625436411537268E-3</v>
      </c>
      <c r="I3153">
        <v>1</v>
      </c>
      <c r="J3153" t="b">
        <f>AND(CCData[[#This Row],[Date]]&gt;=Calculation!$E$3,CCData[[#This Row],[Date]]&lt;Calculation!$E$3+7)</f>
        <v>0</v>
      </c>
    </row>
    <row r="3154" spans="1:10">
      <c r="A3154" t="s">
        <v>3153</v>
      </c>
      <c r="B3154" s="2">
        <v>42060.381999999998</v>
      </c>
      <c r="C3154" s="3" t="s">
        <v>5005</v>
      </c>
      <c r="D3154" t="s">
        <v>5012</v>
      </c>
      <c r="E3154" t="s">
        <v>5018</v>
      </c>
      <c r="F3154" t="s">
        <v>5018</v>
      </c>
      <c r="G3154">
        <v>17</v>
      </c>
      <c r="H3154" s="5">
        <v>1.3389564722820514E-3</v>
      </c>
      <c r="I3154">
        <v>4</v>
      </c>
      <c r="J3154" t="b">
        <f>AND(CCData[[#This Row],[Date]]&gt;=Calculation!$E$3,CCData[[#This Row],[Date]]&lt;Calculation!$E$3+7)</f>
        <v>0</v>
      </c>
    </row>
    <row r="3155" spans="1:10">
      <c r="A3155" t="s">
        <v>3154</v>
      </c>
      <c r="B3155" s="2">
        <v>42060.381999999998</v>
      </c>
      <c r="C3155" s="3" t="s">
        <v>5005</v>
      </c>
      <c r="D3155" t="s">
        <v>5013</v>
      </c>
      <c r="E3155" t="s">
        <v>5018</v>
      </c>
      <c r="F3155" t="s">
        <v>5018</v>
      </c>
      <c r="G3155">
        <v>55</v>
      </c>
      <c r="H3155" s="5">
        <v>2.8131612668987538E-3</v>
      </c>
      <c r="I3155">
        <v>4</v>
      </c>
      <c r="J3155" t="b">
        <f>AND(CCData[[#This Row],[Date]]&gt;=Calculation!$E$3,CCData[[#This Row],[Date]]&lt;Calculation!$E$3+7)</f>
        <v>0</v>
      </c>
    </row>
    <row r="3156" spans="1:10">
      <c r="A3156" t="s">
        <v>3155</v>
      </c>
      <c r="B3156" s="2">
        <v>42060.381999999998</v>
      </c>
      <c r="C3156" s="3" t="s">
        <v>5006</v>
      </c>
      <c r="D3156" t="s">
        <v>5014</v>
      </c>
      <c r="E3156" t="s">
        <v>5018</v>
      </c>
      <c r="F3156" t="s">
        <v>5018</v>
      </c>
      <c r="G3156">
        <v>118</v>
      </c>
      <c r="H3156" s="5">
        <v>8.4431269642458429E-4</v>
      </c>
      <c r="I3156">
        <v>3</v>
      </c>
      <c r="J3156" t="b">
        <f>AND(CCData[[#This Row],[Date]]&gt;=Calculation!$E$3,CCData[[#This Row],[Date]]&lt;Calculation!$E$3+7)</f>
        <v>0</v>
      </c>
    </row>
    <row r="3157" spans="1:10">
      <c r="A3157" t="s">
        <v>3156</v>
      </c>
      <c r="B3157" s="2">
        <v>42060.381999999998</v>
      </c>
      <c r="C3157" s="3" t="s">
        <v>5010</v>
      </c>
      <c r="D3157" t="s">
        <v>5016</v>
      </c>
      <c r="E3157" t="s">
        <v>5018</v>
      </c>
      <c r="F3157" t="s">
        <v>5018</v>
      </c>
      <c r="G3157">
        <v>109</v>
      </c>
      <c r="H3157" s="5">
        <v>2.0520957301224814E-3</v>
      </c>
      <c r="I3157">
        <v>5</v>
      </c>
      <c r="J3157" t="b">
        <f>AND(CCData[[#This Row],[Date]]&gt;=Calculation!$E$3,CCData[[#This Row],[Date]]&lt;Calculation!$E$3+7)</f>
        <v>0</v>
      </c>
    </row>
    <row r="3158" spans="1:10">
      <c r="A3158" t="s">
        <v>3157</v>
      </c>
      <c r="B3158" s="2">
        <v>42060.385999999999</v>
      </c>
      <c r="C3158" s="3" t="s">
        <v>5005</v>
      </c>
      <c r="D3158" t="s">
        <v>5013</v>
      </c>
      <c r="E3158" t="s">
        <v>5018</v>
      </c>
      <c r="F3158" t="s">
        <v>5018</v>
      </c>
      <c r="G3158">
        <v>33</v>
      </c>
      <c r="H3158" s="5">
        <v>1.8130672714412935E-3</v>
      </c>
      <c r="I3158">
        <v>4</v>
      </c>
      <c r="J3158" t="b">
        <f>AND(CCData[[#This Row],[Date]]&gt;=Calculation!$E$3,CCData[[#This Row],[Date]]&lt;Calculation!$E$3+7)</f>
        <v>0</v>
      </c>
    </row>
    <row r="3159" spans="1:10">
      <c r="A3159" t="s">
        <v>3158</v>
      </c>
      <c r="B3159" s="2">
        <v>42060.385999999999</v>
      </c>
      <c r="C3159" s="3" t="s">
        <v>5008</v>
      </c>
      <c r="D3159" t="s">
        <v>5012</v>
      </c>
      <c r="E3159" t="s">
        <v>5018</v>
      </c>
      <c r="F3159" t="s">
        <v>5018</v>
      </c>
      <c r="G3159">
        <v>18</v>
      </c>
      <c r="H3159" s="5">
        <v>4.1546456180393465E-3</v>
      </c>
      <c r="I3159">
        <v>4</v>
      </c>
      <c r="J3159" t="b">
        <f>AND(CCData[[#This Row],[Date]]&gt;=Calculation!$E$3,CCData[[#This Row],[Date]]&lt;Calculation!$E$3+7)</f>
        <v>0</v>
      </c>
    </row>
    <row r="3160" spans="1:10">
      <c r="A3160" t="s">
        <v>3159</v>
      </c>
      <c r="B3160" s="2">
        <v>42060.421000000002</v>
      </c>
      <c r="C3160" s="3" t="s">
        <v>5005</v>
      </c>
      <c r="D3160" t="s">
        <v>5015</v>
      </c>
      <c r="E3160" t="s">
        <v>5018</v>
      </c>
      <c r="F3160" t="s">
        <v>5018</v>
      </c>
      <c r="G3160">
        <v>99</v>
      </c>
      <c r="H3160" s="5">
        <v>2.9194467543307502E-3</v>
      </c>
      <c r="I3160">
        <v>2</v>
      </c>
      <c r="J3160" t="b">
        <f>AND(CCData[[#This Row],[Date]]&gt;=Calculation!$E$3,CCData[[#This Row],[Date]]&lt;Calculation!$E$3+7)</f>
        <v>0</v>
      </c>
    </row>
    <row r="3161" spans="1:10">
      <c r="A3161" t="s">
        <v>3160</v>
      </c>
      <c r="B3161" s="2">
        <v>42060.421000000002</v>
      </c>
      <c r="C3161" s="3" t="s">
        <v>5009</v>
      </c>
      <c r="D3161" t="s">
        <v>5012</v>
      </c>
      <c r="E3161" t="s">
        <v>5018</v>
      </c>
      <c r="F3161" t="s">
        <v>5018</v>
      </c>
      <c r="G3161">
        <v>111</v>
      </c>
      <c r="H3161" s="5">
        <v>1.7219322158520032E-3</v>
      </c>
      <c r="I3161">
        <v>3</v>
      </c>
      <c r="J3161" t="b">
        <f>AND(CCData[[#This Row],[Date]]&gt;=Calculation!$E$3,CCData[[#This Row],[Date]]&lt;Calculation!$E$3+7)</f>
        <v>0</v>
      </c>
    </row>
    <row r="3162" spans="1:10">
      <c r="A3162" t="s">
        <v>3161</v>
      </c>
      <c r="B3162" s="2">
        <v>42060.43</v>
      </c>
      <c r="C3162" s="3" t="s">
        <v>5003</v>
      </c>
      <c r="D3162" t="s">
        <v>5015</v>
      </c>
      <c r="E3162" t="s">
        <v>5019</v>
      </c>
      <c r="F3162" t="s">
        <v>5019</v>
      </c>
      <c r="G3162" t="s">
        <v>5022</v>
      </c>
      <c r="H3162" s="5" t="s">
        <v>5022</v>
      </c>
      <c r="I3162" t="s">
        <v>5022</v>
      </c>
      <c r="J3162" t="b">
        <f>AND(CCData[[#This Row],[Date]]&gt;=Calculation!$E$3,CCData[[#This Row],[Date]]&lt;Calculation!$E$3+7)</f>
        <v>0</v>
      </c>
    </row>
    <row r="3163" spans="1:10">
      <c r="A3163" t="s">
        <v>3162</v>
      </c>
      <c r="B3163" s="2">
        <v>42060.43</v>
      </c>
      <c r="C3163" s="3" t="s">
        <v>5003</v>
      </c>
      <c r="D3163" t="s">
        <v>5014</v>
      </c>
      <c r="E3163" t="s">
        <v>5018</v>
      </c>
      <c r="F3163" t="s">
        <v>5018</v>
      </c>
      <c r="G3163">
        <v>82</v>
      </c>
      <c r="H3163" s="5">
        <v>4.7058341297707331E-3</v>
      </c>
      <c r="I3163">
        <v>5</v>
      </c>
      <c r="J3163" t="b">
        <f>AND(CCData[[#This Row],[Date]]&gt;=Calculation!$E$3,CCData[[#This Row],[Date]]&lt;Calculation!$E$3+7)</f>
        <v>0</v>
      </c>
    </row>
    <row r="3164" spans="1:10">
      <c r="A3164" t="s">
        <v>3163</v>
      </c>
      <c r="B3164" s="2">
        <v>42060.430999999997</v>
      </c>
      <c r="C3164" s="3" t="s">
        <v>5004</v>
      </c>
      <c r="D3164" t="s">
        <v>5015</v>
      </c>
      <c r="E3164" t="s">
        <v>5018</v>
      </c>
      <c r="F3164" t="s">
        <v>5018</v>
      </c>
      <c r="G3164">
        <v>48</v>
      </c>
      <c r="H3164" s="5">
        <v>3.9392260570428545E-3</v>
      </c>
      <c r="I3164">
        <v>3</v>
      </c>
      <c r="J3164" t="b">
        <f>AND(CCData[[#This Row],[Date]]&gt;=Calculation!$E$3,CCData[[#This Row],[Date]]&lt;Calculation!$E$3+7)</f>
        <v>0</v>
      </c>
    </row>
    <row r="3165" spans="1:10">
      <c r="A3165" t="s">
        <v>3164</v>
      </c>
      <c r="B3165" s="2">
        <v>42060.430999999997</v>
      </c>
      <c r="C3165" s="3" t="s">
        <v>5008</v>
      </c>
      <c r="D3165" t="s">
        <v>5013</v>
      </c>
      <c r="E3165" t="s">
        <v>5018</v>
      </c>
      <c r="F3165" t="s">
        <v>5018</v>
      </c>
      <c r="G3165">
        <v>83</v>
      </c>
      <c r="H3165" s="5">
        <v>3.391476890614308E-3</v>
      </c>
      <c r="I3165">
        <v>3</v>
      </c>
      <c r="J3165" t="b">
        <f>AND(CCData[[#This Row],[Date]]&gt;=Calculation!$E$3,CCData[[#This Row],[Date]]&lt;Calculation!$E$3+7)</f>
        <v>0</v>
      </c>
    </row>
    <row r="3166" spans="1:10">
      <c r="A3166" t="s">
        <v>3165</v>
      </c>
      <c r="B3166" s="2">
        <v>42060.449000000001</v>
      </c>
      <c r="C3166" s="3" t="s">
        <v>5010</v>
      </c>
      <c r="D3166" t="s">
        <v>5013</v>
      </c>
      <c r="E3166" t="s">
        <v>5018</v>
      </c>
      <c r="F3166" t="s">
        <v>5018</v>
      </c>
      <c r="G3166">
        <v>102</v>
      </c>
      <c r="H3166" s="5">
        <v>1.5257569016396103E-3</v>
      </c>
      <c r="I3166">
        <v>5</v>
      </c>
      <c r="J3166" t="b">
        <f>AND(CCData[[#This Row],[Date]]&gt;=Calculation!$E$3,CCData[[#This Row],[Date]]&lt;Calculation!$E$3+7)</f>
        <v>0</v>
      </c>
    </row>
    <row r="3167" spans="1:10">
      <c r="A3167" t="s">
        <v>3166</v>
      </c>
      <c r="B3167" s="2">
        <v>42060.449000000001</v>
      </c>
      <c r="C3167" s="3" t="s">
        <v>5008</v>
      </c>
      <c r="D3167" t="s">
        <v>5015</v>
      </c>
      <c r="E3167" t="s">
        <v>5018</v>
      </c>
      <c r="F3167" t="s">
        <v>5018</v>
      </c>
      <c r="G3167">
        <v>124</v>
      </c>
      <c r="H3167" s="5">
        <v>9.6139461924614749E-4</v>
      </c>
      <c r="I3167">
        <v>1</v>
      </c>
      <c r="J3167" t="b">
        <f>AND(CCData[[#This Row],[Date]]&gt;=Calculation!$E$3,CCData[[#This Row],[Date]]&lt;Calculation!$E$3+7)</f>
        <v>0</v>
      </c>
    </row>
    <row r="3168" spans="1:10">
      <c r="A3168" t="s">
        <v>3167</v>
      </c>
      <c r="B3168" s="2">
        <v>42060.453000000001</v>
      </c>
      <c r="C3168" s="3" t="s">
        <v>5009</v>
      </c>
      <c r="D3168" t="s">
        <v>5016</v>
      </c>
      <c r="E3168" t="s">
        <v>5019</v>
      </c>
      <c r="F3168" t="s">
        <v>5019</v>
      </c>
      <c r="G3168" t="s">
        <v>5022</v>
      </c>
      <c r="H3168" s="5" t="s">
        <v>5022</v>
      </c>
      <c r="I3168" t="s">
        <v>5022</v>
      </c>
      <c r="J3168" t="b">
        <f>AND(CCData[[#This Row],[Date]]&gt;=Calculation!$E$3,CCData[[#This Row],[Date]]&lt;Calculation!$E$3+7)</f>
        <v>0</v>
      </c>
    </row>
    <row r="3169" spans="1:10">
      <c r="A3169" t="s">
        <v>3168</v>
      </c>
      <c r="B3169" s="2">
        <v>42060.453000000001</v>
      </c>
      <c r="C3169" s="3" t="s">
        <v>5008</v>
      </c>
      <c r="D3169" t="s">
        <v>5016</v>
      </c>
      <c r="E3169" t="s">
        <v>5018</v>
      </c>
      <c r="F3169" t="s">
        <v>5018</v>
      </c>
      <c r="G3169">
        <v>82</v>
      </c>
      <c r="H3169" s="5">
        <v>2.4561862828033068E-3</v>
      </c>
      <c r="I3169">
        <v>3</v>
      </c>
      <c r="J3169" t="b">
        <f>AND(CCData[[#This Row],[Date]]&gt;=Calculation!$E$3,CCData[[#This Row],[Date]]&lt;Calculation!$E$3+7)</f>
        <v>0</v>
      </c>
    </row>
    <row r="3170" spans="1:10">
      <c r="A3170" t="s">
        <v>3169</v>
      </c>
      <c r="B3170" s="2">
        <v>42060.464999999997</v>
      </c>
      <c r="C3170" s="3" t="s">
        <v>5007</v>
      </c>
      <c r="D3170" t="s">
        <v>5014</v>
      </c>
      <c r="E3170" t="s">
        <v>5018</v>
      </c>
      <c r="F3170" t="s">
        <v>5019</v>
      </c>
      <c r="G3170">
        <v>50</v>
      </c>
      <c r="H3170" s="5">
        <v>2.9245889331048608E-3</v>
      </c>
      <c r="I3170">
        <v>4</v>
      </c>
      <c r="J3170" t="b">
        <f>AND(CCData[[#This Row],[Date]]&gt;=Calculation!$E$3,CCData[[#This Row],[Date]]&lt;Calculation!$E$3+7)</f>
        <v>0</v>
      </c>
    </row>
    <row r="3171" spans="1:10">
      <c r="A3171" t="s">
        <v>3170</v>
      </c>
      <c r="B3171" s="2">
        <v>42060.464999999997</v>
      </c>
      <c r="C3171" s="3" t="s">
        <v>5009</v>
      </c>
      <c r="D3171" t="s">
        <v>5014</v>
      </c>
      <c r="E3171" t="s">
        <v>5018</v>
      </c>
      <c r="F3171" t="s">
        <v>5018</v>
      </c>
      <c r="G3171">
        <v>27</v>
      </c>
      <c r="H3171" s="5">
        <v>1.3257068552224769E-3</v>
      </c>
      <c r="I3171">
        <v>3</v>
      </c>
      <c r="J3171" t="b">
        <f>AND(CCData[[#This Row],[Date]]&gt;=Calculation!$E$3,CCData[[#This Row],[Date]]&lt;Calculation!$E$3+7)</f>
        <v>0</v>
      </c>
    </row>
    <row r="3172" spans="1:10">
      <c r="A3172" t="s">
        <v>3171</v>
      </c>
      <c r="B3172" s="2">
        <v>42060.483</v>
      </c>
      <c r="C3172" s="3" t="s">
        <v>5008</v>
      </c>
      <c r="D3172" t="s">
        <v>5015</v>
      </c>
      <c r="E3172" t="s">
        <v>5018</v>
      </c>
      <c r="F3172" t="s">
        <v>5018</v>
      </c>
      <c r="G3172">
        <v>96</v>
      </c>
      <c r="H3172" s="5">
        <v>1.9271168555992999E-3</v>
      </c>
      <c r="I3172">
        <v>4</v>
      </c>
      <c r="J3172" t="b">
        <f>AND(CCData[[#This Row],[Date]]&gt;=Calculation!$E$3,CCData[[#This Row],[Date]]&lt;Calculation!$E$3+7)</f>
        <v>0</v>
      </c>
    </row>
    <row r="3173" spans="1:10">
      <c r="A3173" t="s">
        <v>3172</v>
      </c>
      <c r="B3173" s="2">
        <v>42060.483</v>
      </c>
      <c r="C3173" s="3" t="s">
        <v>5006</v>
      </c>
      <c r="D3173" t="s">
        <v>5012</v>
      </c>
      <c r="E3173" t="s">
        <v>5018</v>
      </c>
      <c r="F3173" t="s">
        <v>5018</v>
      </c>
      <c r="G3173">
        <v>122</v>
      </c>
      <c r="H3173" s="5">
        <v>2.7223397471541695E-3</v>
      </c>
      <c r="I3173">
        <v>1</v>
      </c>
      <c r="J3173" t="b">
        <f>AND(CCData[[#This Row],[Date]]&gt;=Calculation!$E$3,CCData[[#This Row],[Date]]&lt;Calculation!$E$3+7)</f>
        <v>0</v>
      </c>
    </row>
    <row r="3174" spans="1:10">
      <c r="A3174" t="s">
        <v>3173</v>
      </c>
      <c r="B3174" s="2">
        <v>42060.487999999998</v>
      </c>
      <c r="C3174" s="3" t="s">
        <v>5003</v>
      </c>
      <c r="D3174" t="s">
        <v>5013</v>
      </c>
      <c r="E3174" t="s">
        <v>5019</v>
      </c>
      <c r="F3174" t="s">
        <v>5019</v>
      </c>
      <c r="G3174" t="s">
        <v>5022</v>
      </c>
      <c r="H3174" s="5" t="s">
        <v>5022</v>
      </c>
      <c r="I3174" t="s">
        <v>5022</v>
      </c>
      <c r="J3174" t="b">
        <f>AND(CCData[[#This Row],[Date]]&gt;=Calculation!$E$3,CCData[[#This Row],[Date]]&lt;Calculation!$E$3+7)</f>
        <v>0</v>
      </c>
    </row>
    <row r="3175" spans="1:10">
      <c r="A3175" t="s">
        <v>3174</v>
      </c>
      <c r="B3175" s="2">
        <v>42060.487999999998</v>
      </c>
      <c r="C3175" s="3" t="s">
        <v>5008</v>
      </c>
      <c r="D3175" t="s">
        <v>5014</v>
      </c>
      <c r="E3175" t="s">
        <v>5018</v>
      </c>
      <c r="F3175" t="s">
        <v>5018</v>
      </c>
      <c r="G3175">
        <v>76</v>
      </c>
      <c r="H3175" s="5">
        <v>1.2718952243073599E-3</v>
      </c>
      <c r="I3175">
        <v>4</v>
      </c>
      <c r="J3175" t="b">
        <f>AND(CCData[[#This Row],[Date]]&gt;=Calculation!$E$3,CCData[[#This Row],[Date]]&lt;Calculation!$E$3+7)</f>
        <v>0</v>
      </c>
    </row>
    <row r="3176" spans="1:10">
      <c r="A3176" t="s">
        <v>3175</v>
      </c>
      <c r="B3176" s="2">
        <v>42060.497000000003</v>
      </c>
      <c r="C3176" s="3" t="s">
        <v>5010</v>
      </c>
      <c r="D3176" t="s">
        <v>5015</v>
      </c>
      <c r="E3176" t="s">
        <v>5018</v>
      </c>
      <c r="F3176" t="s">
        <v>5018</v>
      </c>
      <c r="G3176">
        <v>66</v>
      </c>
      <c r="H3176" s="5">
        <v>1.2314949287882434E-3</v>
      </c>
      <c r="I3176">
        <v>5</v>
      </c>
      <c r="J3176" t="b">
        <f>AND(CCData[[#This Row],[Date]]&gt;=Calculation!$E$3,CCData[[#This Row],[Date]]&lt;Calculation!$E$3+7)</f>
        <v>0</v>
      </c>
    </row>
    <row r="3177" spans="1:10">
      <c r="A3177" t="s">
        <v>3176</v>
      </c>
      <c r="B3177" s="2">
        <v>42060.497000000003</v>
      </c>
      <c r="C3177" s="3" t="s">
        <v>5009</v>
      </c>
      <c r="D3177" t="s">
        <v>5013</v>
      </c>
      <c r="E3177" t="s">
        <v>5018</v>
      </c>
      <c r="F3177" t="s">
        <v>5018</v>
      </c>
      <c r="G3177">
        <v>98</v>
      </c>
      <c r="H3177" s="5">
        <v>1.5312400418727732E-3</v>
      </c>
      <c r="I3177">
        <v>3</v>
      </c>
      <c r="J3177" t="b">
        <f>AND(CCData[[#This Row],[Date]]&gt;=Calculation!$E$3,CCData[[#This Row],[Date]]&lt;Calculation!$E$3+7)</f>
        <v>0</v>
      </c>
    </row>
    <row r="3178" spans="1:10">
      <c r="A3178" t="s">
        <v>3177</v>
      </c>
      <c r="B3178" s="2">
        <v>42060.502999999997</v>
      </c>
      <c r="C3178" s="3" t="s">
        <v>5009</v>
      </c>
      <c r="D3178" t="s">
        <v>5012</v>
      </c>
      <c r="E3178" t="s">
        <v>5019</v>
      </c>
      <c r="F3178" t="s">
        <v>5019</v>
      </c>
      <c r="G3178" t="s">
        <v>5022</v>
      </c>
      <c r="H3178" s="5" t="s">
        <v>5022</v>
      </c>
      <c r="I3178" t="s">
        <v>5022</v>
      </c>
      <c r="J3178" t="b">
        <f>AND(CCData[[#This Row],[Date]]&gt;=Calculation!$E$3,CCData[[#This Row],[Date]]&lt;Calculation!$E$3+7)</f>
        <v>0</v>
      </c>
    </row>
    <row r="3179" spans="1:10">
      <c r="A3179" t="s">
        <v>3178</v>
      </c>
      <c r="B3179" s="2">
        <v>42060.502999999997</v>
      </c>
      <c r="C3179" s="3" t="s">
        <v>5008</v>
      </c>
      <c r="D3179" t="s">
        <v>5013</v>
      </c>
      <c r="E3179" t="s">
        <v>5018</v>
      </c>
      <c r="F3179" t="s">
        <v>5018</v>
      </c>
      <c r="G3179">
        <v>73</v>
      </c>
      <c r="H3179" s="5">
        <v>4.5308132806569021E-3</v>
      </c>
      <c r="I3179">
        <v>3</v>
      </c>
      <c r="J3179" t="b">
        <f>AND(CCData[[#This Row],[Date]]&gt;=Calculation!$E$3,CCData[[#This Row],[Date]]&lt;Calculation!$E$3+7)</f>
        <v>0</v>
      </c>
    </row>
    <row r="3180" spans="1:10">
      <c r="A3180" t="s">
        <v>3179</v>
      </c>
      <c r="B3180" s="2">
        <v>42060.504000000001</v>
      </c>
      <c r="C3180" s="3" t="s">
        <v>5008</v>
      </c>
      <c r="D3180" t="s">
        <v>5012</v>
      </c>
      <c r="E3180" t="s">
        <v>5018</v>
      </c>
      <c r="F3180" t="s">
        <v>5018</v>
      </c>
      <c r="G3180">
        <v>76</v>
      </c>
      <c r="H3180" s="5">
        <v>1.2378784535007964E-3</v>
      </c>
      <c r="I3180">
        <v>3</v>
      </c>
      <c r="J3180" t="b">
        <f>AND(CCData[[#This Row],[Date]]&gt;=Calculation!$E$3,CCData[[#This Row],[Date]]&lt;Calculation!$E$3+7)</f>
        <v>0</v>
      </c>
    </row>
    <row r="3181" spans="1:10">
      <c r="A3181" t="s">
        <v>3180</v>
      </c>
      <c r="B3181" s="2">
        <v>42060.504000000001</v>
      </c>
      <c r="C3181" s="3" t="s">
        <v>5006</v>
      </c>
      <c r="D3181" t="s">
        <v>5016</v>
      </c>
      <c r="E3181" t="s">
        <v>5019</v>
      </c>
      <c r="F3181" t="s">
        <v>5019</v>
      </c>
      <c r="G3181" t="s">
        <v>5022</v>
      </c>
      <c r="H3181" s="5" t="s">
        <v>5022</v>
      </c>
      <c r="I3181" t="s">
        <v>5022</v>
      </c>
      <c r="J3181" t="b">
        <f>AND(CCData[[#This Row],[Date]]&gt;=Calculation!$E$3,CCData[[#This Row],[Date]]&lt;Calculation!$E$3+7)</f>
        <v>0</v>
      </c>
    </row>
    <row r="3182" spans="1:10">
      <c r="A3182" t="s">
        <v>3181</v>
      </c>
      <c r="B3182" s="2">
        <v>42060.521999999997</v>
      </c>
      <c r="C3182" s="3" t="s">
        <v>5007</v>
      </c>
      <c r="D3182" t="s">
        <v>5015</v>
      </c>
      <c r="E3182" t="s">
        <v>5018</v>
      </c>
      <c r="F3182" t="s">
        <v>5018</v>
      </c>
      <c r="G3182">
        <v>123</v>
      </c>
      <c r="H3182" s="5">
        <v>4.0040370968722943E-3</v>
      </c>
      <c r="I3182">
        <v>4</v>
      </c>
      <c r="J3182" t="b">
        <f>AND(CCData[[#This Row],[Date]]&gt;=Calculation!$E$3,CCData[[#This Row],[Date]]&lt;Calculation!$E$3+7)</f>
        <v>0</v>
      </c>
    </row>
    <row r="3183" spans="1:10">
      <c r="A3183" t="s">
        <v>3182</v>
      </c>
      <c r="B3183" s="2">
        <v>42060.521999999997</v>
      </c>
      <c r="C3183" s="3" t="s">
        <v>5005</v>
      </c>
      <c r="D3183" t="s">
        <v>5015</v>
      </c>
      <c r="E3183" t="s">
        <v>5018</v>
      </c>
      <c r="F3183" t="s">
        <v>5019</v>
      </c>
      <c r="G3183">
        <v>98</v>
      </c>
      <c r="H3183" s="5">
        <v>3.5946708178334879E-3</v>
      </c>
      <c r="I3183">
        <v>4</v>
      </c>
      <c r="J3183" t="b">
        <f>AND(CCData[[#This Row],[Date]]&gt;=Calculation!$E$3,CCData[[#This Row],[Date]]&lt;Calculation!$E$3+7)</f>
        <v>0</v>
      </c>
    </row>
    <row r="3184" spans="1:10">
      <c r="A3184" t="s">
        <v>3183</v>
      </c>
      <c r="B3184" s="2">
        <v>42060.523999999998</v>
      </c>
      <c r="C3184" s="3" t="s">
        <v>5010</v>
      </c>
      <c r="D3184" t="s">
        <v>5013</v>
      </c>
      <c r="E3184" t="s">
        <v>5018</v>
      </c>
      <c r="F3184" t="s">
        <v>5018</v>
      </c>
      <c r="G3184">
        <v>81</v>
      </c>
      <c r="H3184" s="5">
        <v>1.462771508639717E-3</v>
      </c>
      <c r="I3184">
        <v>1</v>
      </c>
      <c r="J3184" t="b">
        <f>AND(CCData[[#This Row],[Date]]&gt;=Calculation!$E$3,CCData[[#This Row],[Date]]&lt;Calculation!$E$3+7)</f>
        <v>0</v>
      </c>
    </row>
    <row r="3185" spans="1:10">
      <c r="A3185" t="s">
        <v>3184</v>
      </c>
      <c r="B3185" s="2">
        <v>42060.523999999998</v>
      </c>
      <c r="C3185" s="3" t="s">
        <v>5010</v>
      </c>
      <c r="D3185" t="s">
        <v>5014</v>
      </c>
      <c r="E3185" t="s">
        <v>5018</v>
      </c>
      <c r="F3185" t="s">
        <v>5018</v>
      </c>
      <c r="G3185">
        <v>52</v>
      </c>
      <c r="H3185" s="5">
        <v>4.8087980436492418E-3</v>
      </c>
      <c r="I3185">
        <v>4</v>
      </c>
      <c r="J3185" t="b">
        <f>AND(CCData[[#This Row],[Date]]&gt;=Calculation!$E$3,CCData[[#This Row],[Date]]&lt;Calculation!$E$3+7)</f>
        <v>0</v>
      </c>
    </row>
    <row r="3186" spans="1:10">
      <c r="A3186" t="s">
        <v>3185</v>
      </c>
      <c r="B3186" s="2">
        <v>42060.523999999998</v>
      </c>
      <c r="C3186" s="3" t="s">
        <v>5005</v>
      </c>
      <c r="D3186" t="s">
        <v>5014</v>
      </c>
      <c r="E3186" t="s">
        <v>5018</v>
      </c>
      <c r="F3186" t="s">
        <v>5018</v>
      </c>
      <c r="G3186">
        <v>93</v>
      </c>
      <c r="H3186" s="5">
        <v>4.1941742423233517E-3</v>
      </c>
      <c r="I3186">
        <v>1</v>
      </c>
      <c r="J3186" t="b">
        <f>AND(CCData[[#This Row],[Date]]&gt;=Calculation!$E$3,CCData[[#This Row],[Date]]&lt;Calculation!$E$3+7)</f>
        <v>0</v>
      </c>
    </row>
    <row r="3187" spans="1:10">
      <c r="A3187" t="s">
        <v>3186</v>
      </c>
      <c r="B3187" s="2">
        <v>42060.523999999998</v>
      </c>
      <c r="C3187" s="3" t="s">
        <v>5007</v>
      </c>
      <c r="D3187" t="s">
        <v>5014</v>
      </c>
      <c r="E3187" t="s">
        <v>5018</v>
      </c>
      <c r="F3187" t="s">
        <v>5018</v>
      </c>
      <c r="G3187">
        <v>17</v>
      </c>
      <c r="H3187" s="5">
        <v>3.5544598163638132E-3</v>
      </c>
      <c r="I3187">
        <v>4</v>
      </c>
      <c r="J3187" t="b">
        <f>AND(CCData[[#This Row],[Date]]&gt;=Calculation!$E$3,CCData[[#This Row],[Date]]&lt;Calculation!$E$3+7)</f>
        <v>0</v>
      </c>
    </row>
    <row r="3188" spans="1:10">
      <c r="A3188" t="s">
        <v>3187</v>
      </c>
      <c r="B3188" s="2">
        <v>42060.542000000001</v>
      </c>
      <c r="C3188" s="3" t="s">
        <v>5010</v>
      </c>
      <c r="D3188" t="s">
        <v>5013</v>
      </c>
      <c r="E3188" t="s">
        <v>5018</v>
      </c>
      <c r="F3188" t="s">
        <v>5018</v>
      </c>
      <c r="G3188">
        <v>91</v>
      </c>
      <c r="H3188" s="5">
        <v>1.1353565963358593E-3</v>
      </c>
      <c r="I3188">
        <v>4</v>
      </c>
      <c r="J3188" t="b">
        <f>AND(CCData[[#This Row],[Date]]&gt;=Calculation!$E$3,CCData[[#This Row],[Date]]&lt;Calculation!$E$3+7)</f>
        <v>0</v>
      </c>
    </row>
    <row r="3189" spans="1:10">
      <c r="A3189" t="s">
        <v>3188</v>
      </c>
      <c r="B3189" s="2">
        <v>42060.542000000001</v>
      </c>
      <c r="C3189" s="3" t="s">
        <v>5010</v>
      </c>
      <c r="D3189" t="s">
        <v>5016</v>
      </c>
      <c r="E3189" t="s">
        <v>5018</v>
      </c>
      <c r="F3189" t="s">
        <v>5018</v>
      </c>
      <c r="G3189">
        <v>20</v>
      </c>
      <c r="H3189" s="5">
        <v>1.6605212680132655E-3</v>
      </c>
      <c r="I3189">
        <v>5</v>
      </c>
      <c r="J3189" t="b">
        <f>AND(CCData[[#This Row],[Date]]&gt;=Calculation!$E$3,CCData[[#This Row],[Date]]&lt;Calculation!$E$3+7)</f>
        <v>0</v>
      </c>
    </row>
    <row r="3190" spans="1:10">
      <c r="A3190" t="s">
        <v>3189</v>
      </c>
      <c r="B3190" s="2">
        <v>42060.591</v>
      </c>
      <c r="C3190" s="3" t="s">
        <v>5003</v>
      </c>
      <c r="D3190" t="s">
        <v>5012</v>
      </c>
      <c r="E3190" t="s">
        <v>5019</v>
      </c>
      <c r="F3190" t="s">
        <v>5019</v>
      </c>
      <c r="G3190" t="s">
        <v>5022</v>
      </c>
      <c r="H3190" s="5" t="s">
        <v>5022</v>
      </c>
      <c r="I3190" t="s">
        <v>5022</v>
      </c>
      <c r="J3190" t="b">
        <f>AND(CCData[[#This Row],[Date]]&gt;=Calculation!$E$3,CCData[[#This Row],[Date]]&lt;Calculation!$E$3+7)</f>
        <v>0</v>
      </c>
    </row>
    <row r="3191" spans="1:10">
      <c r="A3191" t="s">
        <v>3190</v>
      </c>
      <c r="B3191" s="2">
        <v>42060.591</v>
      </c>
      <c r="C3191" s="3" t="s">
        <v>5008</v>
      </c>
      <c r="D3191" t="s">
        <v>5014</v>
      </c>
      <c r="E3191" t="s">
        <v>5018</v>
      </c>
      <c r="F3191" t="s">
        <v>5018</v>
      </c>
      <c r="G3191">
        <v>125</v>
      </c>
      <c r="H3191" s="5">
        <v>4.3646566482856072E-3</v>
      </c>
      <c r="I3191">
        <v>4</v>
      </c>
      <c r="J3191" t="b">
        <f>AND(CCData[[#This Row],[Date]]&gt;=Calculation!$E$3,CCData[[#This Row],[Date]]&lt;Calculation!$E$3+7)</f>
        <v>0</v>
      </c>
    </row>
    <row r="3192" spans="1:10">
      <c r="A3192" t="s">
        <v>3191</v>
      </c>
      <c r="B3192" s="2">
        <v>42060.623</v>
      </c>
      <c r="C3192" s="3" t="s">
        <v>5009</v>
      </c>
      <c r="D3192" t="s">
        <v>5014</v>
      </c>
      <c r="E3192" t="s">
        <v>5018</v>
      </c>
      <c r="F3192" t="s">
        <v>5018</v>
      </c>
      <c r="G3192">
        <v>46</v>
      </c>
      <c r="H3192" s="5">
        <v>2.1535727282908069E-3</v>
      </c>
      <c r="I3192">
        <v>2</v>
      </c>
      <c r="J3192" t="b">
        <f>AND(CCData[[#This Row],[Date]]&gt;=Calculation!$E$3,CCData[[#This Row],[Date]]&lt;Calculation!$E$3+7)</f>
        <v>0</v>
      </c>
    </row>
    <row r="3193" spans="1:10">
      <c r="A3193" t="s">
        <v>3192</v>
      </c>
      <c r="B3193" s="2">
        <v>42060.623</v>
      </c>
      <c r="C3193" s="3" t="s">
        <v>5003</v>
      </c>
      <c r="D3193" t="s">
        <v>5012</v>
      </c>
      <c r="E3193" t="s">
        <v>5018</v>
      </c>
      <c r="F3193" t="s">
        <v>5018</v>
      </c>
      <c r="G3193">
        <v>124</v>
      </c>
      <c r="H3193" s="5">
        <v>3.803192330997253E-3</v>
      </c>
      <c r="I3193">
        <v>3</v>
      </c>
      <c r="J3193" t="b">
        <f>AND(CCData[[#This Row],[Date]]&gt;=Calculation!$E$3,CCData[[#This Row],[Date]]&lt;Calculation!$E$3+7)</f>
        <v>0</v>
      </c>
    </row>
    <row r="3194" spans="1:10">
      <c r="A3194" t="s">
        <v>3193</v>
      </c>
      <c r="B3194" s="2">
        <v>42060.635000000002</v>
      </c>
      <c r="C3194" s="3" t="s">
        <v>5010</v>
      </c>
      <c r="D3194" t="s">
        <v>5013</v>
      </c>
      <c r="E3194" t="s">
        <v>5018</v>
      </c>
      <c r="F3194" t="s">
        <v>5018</v>
      </c>
      <c r="G3194">
        <v>29</v>
      </c>
      <c r="H3194" s="5">
        <v>2.8346676117685502E-3</v>
      </c>
      <c r="I3194">
        <v>3</v>
      </c>
      <c r="J3194" t="b">
        <f>AND(CCData[[#This Row],[Date]]&gt;=Calculation!$E$3,CCData[[#This Row],[Date]]&lt;Calculation!$E$3+7)</f>
        <v>0</v>
      </c>
    </row>
    <row r="3195" spans="1:10">
      <c r="A3195" t="s">
        <v>3194</v>
      </c>
      <c r="B3195" s="2">
        <v>42060.635000000002</v>
      </c>
      <c r="C3195" s="3" t="s">
        <v>5008</v>
      </c>
      <c r="D3195" t="s">
        <v>5016</v>
      </c>
      <c r="E3195" t="s">
        <v>5018</v>
      </c>
      <c r="F3195" t="s">
        <v>5019</v>
      </c>
      <c r="G3195">
        <v>75</v>
      </c>
      <c r="H3195" s="5">
        <v>3.2050501381795551E-3</v>
      </c>
      <c r="I3195">
        <v>3</v>
      </c>
      <c r="J3195" t="b">
        <f>AND(CCData[[#This Row],[Date]]&gt;=Calculation!$E$3,CCData[[#This Row],[Date]]&lt;Calculation!$E$3+7)</f>
        <v>0</v>
      </c>
    </row>
    <row r="3196" spans="1:10">
      <c r="A3196" t="s">
        <v>3195</v>
      </c>
      <c r="B3196" s="2">
        <v>42060.644</v>
      </c>
      <c r="C3196" s="3" t="s">
        <v>5009</v>
      </c>
      <c r="D3196" t="s">
        <v>5013</v>
      </c>
      <c r="E3196" t="s">
        <v>5018</v>
      </c>
      <c r="F3196" t="s">
        <v>5018</v>
      </c>
      <c r="G3196">
        <v>57</v>
      </c>
      <c r="H3196" s="5">
        <v>2.9009470468750304E-3</v>
      </c>
      <c r="I3196">
        <v>4</v>
      </c>
      <c r="J3196" t="b">
        <f>AND(CCData[[#This Row],[Date]]&gt;=Calculation!$E$3,CCData[[#This Row],[Date]]&lt;Calculation!$E$3+7)</f>
        <v>0</v>
      </c>
    </row>
    <row r="3197" spans="1:10">
      <c r="A3197" t="s">
        <v>3196</v>
      </c>
      <c r="B3197" s="2">
        <v>42060.644</v>
      </c>
      <c r="C3197" s="3" t="s">
        <v>5010</v>
      </c>
      <c r="D3197" t="s">
        <v>5015</v>
      </c>
      <c r="E3197" t="s">
        <v>5019</v>
      </c>
      <c r="F3197" t="s">
        <v>5019</v>
      </c>
      <c r="G3197" t="s">
        <v>5022</v>
      </c>
      <c r="H3197" s="5" t="s">
        <v>5022</v>
      </c>
      <c r="I3197" t="s">
        <v>5022</v>
      </c>
      <c r="J3197" t="b">
        <f>AND(CCData[[#This Row],[Date]]&gt;=Calculation!$E$3,CCData[[#This Row],[Date]]&lt;Calculation!$E$3+7)</f>
        <v>0</v>
      </c>
    </row>
    <row r="3198" spans="1:10">
      <c r="A3198" t="s">
        <v>3197</v>
      </c>
      <c r="B3198" s="2">
        <v>42060.646000000001</v>
      </c>
      <c r="C3198" s="3" t="s">
        <v>5007</v>
      </c>
      <c r="D3198" t="s">
        <v>5016</v>
      </c>
      <c r="E3198" t="s">
        <v>5018</v>
      </c>
      <c r="F3198" t="s">
        <v>5018</v>
      </c>
      <c r="G3198">
        <v>106</v>
      </c>
      <c r="H3198" s="5">
        <v>1.3021425194284124E-3</v>
      </c>
      <c r="I3198">
        <v>4</v>
      </c>
      <c r="J3198" t="b">
        <f>AND(CCData[[#This Row],[Date]]&gt;=Calculation!$E$3,CCData[[#This Row],[Date]]&lt;Calculation!$E$3+7)</f>
        <v>0</v>
      </c>
    </row>
    <row r="3199" spans="1:10">
      <c r="A3199" t="s">
        <v>3198</v>
      </c>
      <c r="B3199" s="2">
        <v>42060.646000000001</v>
      </c>
      <c r="C3199" s="3" t="s">
        <v>5007</v>
      </c>
      <c r="D3199" t="s">
        <v>5012</v>
      </c>
      <c r="E3199" t="s">
        <v>5018</v>
      </c>
      <c r="F3199" t="s">
        <v>5018</v>
      </c>
      <c r="G3199">
        <v>19</v>
      </c>
      <c r="H3199" s="5">
        <v>3.9771317036697215E-3</v>
      </c>
      <c r="I3199">
        <v>3</v>
      </c>
      <c r="J3199" t="b">
        <f>AND(CCData[[#This Row],[Date]]&gt;=Calculation!$E$3,CCData[[#This Row],[Date]]&lt;Calculation!$E$3+7)</f>
        <v>0</v>
      </c>
    </row>
    <row r="3200" spans="1:10">
      <c r="A3200" t="s">
        <v>3199</v>
      </c>
      <c r="B3200" s="2">
        <v>42060.654000000002</v>
      </c>
      <c r="C3200" s="3" t="s">
        <v>5007</v>
      </c>
      <c r="D3200" t="s">
        <v>5013</v>
      </c>
      <c r="E3200" t="s">
        <v>5018</v>
      </c>
      <c r="F3200" t="s">
        <v>5018</v>
      </c>
      <c r="G3200">
        <v>94</v>
      </c>
      <c r="H3200" s="5">
        <v>8.1888232114409965E-4</v>
      </c>
      <c r="I3200">
        <v>4</v>
      </c>
      <c r="J3200" t="b">
        <f>AND(CCData[[#This Row],[Date]]&gt;=Calculation!$E$3,CCData[[#This Row],[Date]]&lt;Calculation!$E$3+7)</f>
        <v>0</v>
      </c>
    </row>
    <row r="3201" spans="1:10">
      <c r="A3201" t="s">
        <v>3200</v>
      </c>
      <c r="B3201" s="2">
        <v>42060.654000000002</v>
      </c>
      <c r="C3201" s="3" t="s">
        <v>5005</v>
      </c>
      <c r="D3201" t="s">
        <v>5016</v>
      </c>
      <c r="E3201" t="s">
        <v>5019</v>
      </c>
      <c r="F3201" t="s">
        <v>5019</v>
      </c>
      <c r="G3201" t="s">
        <v>5022</v>
      </c>
      <c r="H3201" s="5" t="s">
        <v>5022</v>
      </c>
      <c r="I3201" t="s">
        <v>5022</v>
      </c>
      <c r="J3201" t="b">
        <f>AND(CCData[[#This Row],[Date]]&gt;=Calculation!$E$3,CCData[[#This Row],[Date]]&lt;Calculation!$E$3+7)</f>
        <v>0</v>
      </c>
    </row>
    <row r="3202" spans="1:10">
      <c r="A3202" t="s">
        <v>3201</v>
      </c>
      <c r="B3202" s="2">
        <v>42060.663</v>
      </c>
      <c r="C3202" s="3" t="s">
        <v>5003</v>
      </c>
      <c r="D3202" t="s">
        <v>5015</v>
      </c>
      <c r="E3202" t="s">
        <v>5018</v>
      </c>
      <c r="F3202" t="s">
        <v>5018</v>
      </c>
      <c r="G3202">
        <v>28</v>
      </c>
      <c r="H3202" s="5">
        <v>2.0993264621966233E-3</v>
      </c>
      <c r="I3202">
        <v>3</v>
      </c>
      <c r="J3202" t="b">
        <f>AND(CCData[[#This Row],[Date]]&gt;=Calculation!$E$3,CCData[[#This Row],[Date]]&lt;Calculation!$E$3+7)</f>
        <v>0</v>
      </c>
    </row>
    <row r="3203" spans="1:10">
      <c r="A3203" t="s">
        <v>3202</v>
      </c>
      <c r="B3203" s="2">
        <v>42060.663</v>
      </c>
      <c r="C3203" s="3" t="s">
        <v>5003</v>
      </c>
      <c r="D3203" t="s">
        <v>5015</v>
      </c>
      <c r="E3203" t="s">
        <v>5018</v>
      </c>
      <c r="F3203" t="s">
        <v>5018</v>
      </c>
      <c r="G3203">
        <v>11</v>
      </c>
      <c r="H3203" s="5">
        <v>1.618199570795225E-3</v>
      </c>
      <c r="I3203">
        <v>4</v>
      </c>
      <c r="J3203" t="b">
        <f>AND(CCData[[#This Row],[Date]]&gt;=Calculation!$E$3,CCData[[#This Row],[Date]]&lt;Calculation!$E$3+7)</f>
        <v>0</v>
      </c>
    </row>
    <row r="3204" spans="1:10">
      <c r="A3204" t="s">
        <v>3203</v>
      </c>
      <c r="B3204" s="2">
        <v>42060.67</v>
      </c>
      <c r="C3204" s="3" t="s">
        <v>5005</v>
      </c>
      <c r="D3204" t="s">
        <v>5015</v>
      </c>
      <c r="E3204" t="s">
        <v>5018</v>
      </c>
      <c r="F3204" t="s">
        <v>5018</v>
      </c>
      <c r="G3204">
        <v>68</v>
      </c>
      <c r="H3204" s="5">
        <v>3.363393232694206E-3</v>
      </c>
      <c r="I3204">
        <v>5</v>
      </c>
      <c r="J3204" t="b">
        <f>AND(CCData[[#This Row],[Date]]&gt;=Calculation!$E$3,CCData[[#This Row],[Date]]&lt;Calculation!$E$3+7)</f>
        <v>0</v>
      </c>
    </row>
    <row r="3205" spans="1:10">
      <c r="A3205" t="s">
        <v>3204</v>
      </c>
      <c r="B3205" s="2">
        <v>42060.67</v>
      </c>
      <c r="C3205" s="3" t="s">
        <v>5010</v>
      </c>
      <c r="D3205" t="s">
        <v>5012</v>
      </c>
      <c r="E3205" t="s">
        <v>5018</v>
      </c>
      <c r="F3205" t="s">
        <v>5018</v>
      </c>
      <c r="G3205">
        <v>103</v>
      </c>
      <c r="H3205" s="5">
        <v>3.2651191996801109E-3</v>
      </c>
      <c r="I3205">
        <v>5</v>
      </c>
      <c r="J3205" t="b">
        <f>AND(CCData[[#This Row],[Date]]&gt;=Calculation!$E$3,CCData[[#This Row],[Date]]&lt;Calculation!$E$3+7)</f>
        <v>0</v>
      </c>
    </row>
    <row r="3206" spans="1:10">
      <c r="A3206" t="s">
        <v>3205</v>
      </c>
      <c r="B3206" s="2">
        <v>42060.684999999998</v>
      </c>
      <c r="C3206" s="3" t="s">
        <v>5005</v>
      </c>
      <c r="D3206" t="s">
        <v>5016</v>
      </c>
      <c r="E3206" t="s">
        <v>5018</v>
      </c>
      <c r="F3206" t="s">
        <v>5018</v>
      </c>
      <c r="G3206">
        <v>28</v>
      </c>
      <c r="H3206" s="5">
        <v>4.2306000189914223E-3</v>
      </c>
      <c r="I3206">
        <v>2</v>
      </c>
      <c r="J3206" t="b">
        <f>AND(CCData[[#This Row],[Date]]&gt;=Calculation!$E$3,CCData[[#This Row],[Date]]&lt;Calculation!$E$3+7)</f>
        <v>0</v>
      </c>
    </row>
    <row r="3207" spans="1:10">
      <c r="A3207" t="s">
        <v>3206</v>
      </c>
      <c r="B3207" s="2">
        <v>42060.684999999998</v>
      </c>
      <c r="C3207" s="3" t="s">
        <v>5009</v>
      </c>
      <c r="D3207" t="s">
        <v>5013</v>
      </c>
      <c r="E3207" t="s">
        <v>5018</v>
      </c>
      <c r="F3207" t="s">
        <v>5018</v>
      </c>
      <c r="G3207">
        <v>36</v>
      </c>
      <c r="H3207" s="5">
        <v>2.8816926550149684E-3</v>
      </c>
      <c r="I3207">
        <v>5</v>
      </c>
      <c r="J3207" t="b">
        <f>AND(CCData[[#This Row],[Date]]&gt;=Calculation!$E$3,CCData[[#This Row],[Date]]&lt;Calculation!$E$3+7)</f>
        <v>0</v>
      </c>
    </row>
    <row r="3208" spans="1:10">
      <c r="A3208" t="s">
        <v>3207</v>
      </c>
      <c r="B3208" s="2">
        <v>42060.695</v>
      </c>
      <c r="C3208" s="3" t="s">
        <v>5010</v>
      </c>
      <c r="D3208" t="s">
        <v>5013</v>
      </c>
      <c r="E3208" t="s">
        <v>5018</v>
      </c>
      <c r="F3208" t="s">
        <v>5018</v>
      </c>
      <c r="G3208">
        <v>63</v>
      </c>
      <c r="H3208" s="5">
        <v>3.929282521234265E-3</v>
      </c>
      <c r="I3208">
        <v>5</v>
      </c>
      <c r="J3208" t="b">
        <f>AND(CCData[[#This Row],[Date]]&gt;=Calculation!$E$3,CCData[[#This Row],[Date]]&lt;Calculation!$E$3+7)</f>
        <v>0</v>
      </c>
    </row>
    <row r="3209" spans="1:10">
      <c r="A3209" t="s">
        <v>3208</v>
      </c>
      <c r="B3209" s="2">
        <v>42060.695</v>
      </c>
      <c r="C3209" s="3" t="s">
        <v>5010</v>
      </c>
      <c r="D3209" t="s">
        <v>5012</v>
      </c>
      <c r="E3209" t="s">
        <v>5018</v>
      </c>
      <c r="F3209" t="s">
        <v>5018</v>
      </c>
      <c r="G3209">
        <v>14</v>
      </c>
      <c r="H3209" s="5">
        <v>4.1503132778219614E-4</v>
      </c>
      <c r="I3209">
        <v>5</v>
      </c>
      <c r="J3209" t="b">
        <f>AND(CCData[[#This Row],[Date]]&gt;=Calculation!$E$3,CCData[[#This Row],[Date]]&lt;Calculation!$E$3+7)</f>
        <v>0</v>
      </c>
    </row>
    <row r="3210" spans="1:10">
      <c r="A3210" t="s">
        <v>3209</v>
      </c>
      <c r="B3210" s="2">
        <v>42060.713000000003</v>
      </c>
      <c r="C3210" s="3" t="s">
        <v>5010</v>
      </c>
      <c r="D3210" t="s">
        <v>5016</v>
      </c>
      <c r="E3210" t="s">
        <v>5018</v>
      </c>
      <c r="F3210" t="s">
        <v>5018</v>
      </c>
      <c r="G3210">
        <v>82</v>
      </c>
      <c r="H3210" s="5">
        <v>3.642894650162324E-3</v>
      </c>
      <c r="I3210">
        <v>1</v>
      </c>
      <c r="J3210" t="b">
        <f>AND(CCData[[#This Row],[Date]]&gt;=Calculation!$E$3,CCData[[#This Row],[Date]]&lt;Calculation!$E$3+7)</f>
        <v>0</v>
      </c>
    </row>
    <row r="3211" spans="1:10">
      <c r="A3211" t="s">
        <v>3210</v>
      </c>
      <c r="B3211" s="2">
        <v>42060.713000000003</v>
      </c>
      <c r="C3211" s="3" t="s">
        <v>5003</v>
      </c>
      <c r="D3211" t="s">
        <v>5014</v>
      </c>
      <c r="E3211" t="s">
        <v>5019</v>
      </c>
      <c r="F3211" t="s">
        <v>5019</v>
      </c>
      <c r="G3211" t="s">
        <v>5022</v>
      </c>
      <c r="H3211" s="5" t="s">
        <v>5022</v>
      </c>
      <c r="I3211" t="s">
        <v>5022</v>
      </c>
      <c r="J3211" t="b">
        <f>AND(CCData[[#This Row],[Date]]&gt;=Calculation!$E$3,CCData[[#This Row],[Date]]&lt;Calculation!$E$3+7)</f>
        <v>0</v>
      </c>
    </row>
    <row r="3212" spans="1:10">
      <c r="A3212" t="s">
        <v>3211</v>
      </c>
      <c r="B3212" s="2">
        <v>42060.713000000003</v>
      </c>
      <c r="C3212" s="3" t="s">
        <v>5009</v>
      </c>
      <c r="D3212" t="s">
        <v>5015</v>
      </c>
      <c r="E3212" t="s">
        <v>5018</v>
      </c>
      <c r="F3212" t="s">
        <v>5018</v>
      </c>
      <c r="G3212">
        <v>15</v>
      </c>
      <c r="H3212" s="5">
        <v>3.9648972009324662E-3</v>
      </c>
      <c r="I3212">
        <v>3</v>
      </c>
      <c r="J3212" t="b">
        <f>AND(CCData[[#This Row],[Date]]&gt;=Calculation!$E$3,CCData[[#This Row],[Date]]&lt;Calculation!$E$3+7)</f>
        <v>0</v>
      </c>
    </row>
    <row r="3213" spans="1:10">
      <c r="A3213" t="s">
        <v>3212</v>
      </c>
      <c r="B3213" s="2">
        <v>42060.713000000003</v>
      </c>
      <c r="C3213" s="3" t="s">
        <v>5003</v>
      </c>
      <c r="D3213" t="s">
        <v>5015</v>
      </c>
      <c r="E3213" t="s">
        <v>5018</v>
      </c>
      <c r="F3213" t="s">
        <v>5018</v>
      </c>
      <c r="G3213">
        <v>85</v>
      </c>
      <c r="H3213" s="5">
        <v>2.9807057581155531E-3</v>
      </c>
      <c r="I3213">
        <v>3</v>
      </c>
      <c r="J3213" t="b">
        <f>AND(CCData[[#This Row],[Date]]&gt;=Calculation!$E$3,CCData[[#This Row],[Date]]&lt;Calculation!$E$3+7)</f>
        <v>0</v>
      </c>
    </row>
    <row r="3214" spans="1:10">
      <c r="A3214" t="s">
        <v>3213</v>
      </c>
      <c r="B3214" s="2">
        <v>42060.724999999999</v>
      </c>
      <c r="C3214" s="3" t="s">
        <v>5004</v>
      </c>
      <c r="D3214" t="s">
        <v>5015</v>
      </c>
      <c r="E3214" t="s">
        <v>5019</v>
      </c>
      <c r="F3214" t="s">
        <v>5019</v>
      </c>
      <c r="G3214" t="s">
        <v>5022</v>
      </c>
      <c r="H3214" s="5" t="s">
        <v>5022</v>
      </c>
      <c r="I3214" t="s">
        <v>5022</v>
      </c>
      <c r="J3214" t="b">
        <f>AND(CCData[[#This Row],[Date]]&gt;=Calculation!$E$3,CCData[[#This Row],[Date]]&lt;Calculation!$E$3+7)</f>
        <v>0</v>
      </c>
    </row>
    <row r="3215" spans="1:10">
      <c r="A3215" t="s">
        <v>3214</v>
      </c>
      <c r="B3215" s="2">
        <v>42060.724999999999</v>
      </c>
      <c r="C3215" s="3" t="s">
        <v>5006</v>
      </c>
      <c r="D3215" t="s">
        <v>5014</v>
      </c>
      <c r="E3215" t="s">
        <v>5018</v>
      </c>
      <c r="F3215" t="s">
        <v>5018</v>
      </c>
      <c r="G3215">
        <v>108</v>
      </c>
      <c r="H3215" s="5">
        <v>1.5227286346846931E-3</v>
      </c>
      <c r="I3215">
        <v>5</v>
      </c>
      <c r="J3215" t="b">
        <f>AND(CCData[[#This Row],[Date]]&gt;=Calculation!$E$3,CCData[[#This Row],[Date]]&lt;Calculation!$E$3+7)</f>
        <v>0</v>
      </c>
    </row>
    <row r="3216" spans="1:10">
      <c r="A3216" t="s">
        <v>3215</v>
      </c>
      <c r="B3216" s="2">
        <v>42060.741000000002</v>
      </c>
      <c r="C3216" s="3" t="s">
        <v>5009</v>
      </c>
      <c r="D3216" t="s">
        <v>5016</v>
      </c>
      <c r="E3216" t="s">
        <v>5018</v>
      </c>
      <c r="F3216" t="s">
        <v>5018</v>
      </c>
      <c r="G3216">
        <v>45</v>
      </c>
      <c r="H3216" s="5">
        <v>2.0597383148124658E-3</v>
      </c>
      <c r="I3216">
        <v>3</v>
      </c>
      <c r="J3216" t="b">
        <f>AND(CCData[[#This Row],[Date]]&gt;=Calculation!$E$3,CCData[[#This Row],[Date]]&lt;Calculation!$E$3+7)</f>
        <v>0</v>
      </c>
    </row>
    <row r="3217" spans="1:10">
      <c r="A3217" t="s">
        <v>3216</v>
      </c>
      <c r="B3217" s="2">
        <v>42060.741000000002</v>
      </c>
      <c r="C3217" s="3" t="s">
        <v>5008</v>
      </c>
      <c r="D3217" t="s">
        <v>5013</v>
      </c>
      <c r="E3217" t="s">
        <v>5018</v>
      </c>
      <c r="F3217" t="s">
        <v>5018</v>
      </c>
      <c r="G3217">
        <v>24</v>
      </c>
      <c r="H3217" s="5">
        <v>1.2982737305086086E-3</v>
      </c>
      <c r="I3217">
        <v>4</v>
      </c>
      <c r="J3217" t="b">
        <f>AND(CCData[[#This Row],[Date]]&gt;=Calculation!$E$3,CCData[[#This Row],[Date]]&lt;Calculation!$E$3+7)</f>
        <v>0</v>
      </c>
    </row>
    <row r="3218" spans="1:10">
      <c r="A3218" t="s">
        <v>3217</v>
      </c>
      <c r="B3218" s="2">
        <v>42061.381999999998</v>
      </c>
      <c r="C3218" s="3" t="s">
        <v>5006</v>
      </c>
      <c r="D3218" t="s">
        <v>5016</v>
      </c>
      <c r="E3218" t="s">
        <v>5018</v>
      </c>
      <c r="F3218" t="s">
        <v>5018</v>
      </c>
      <c r="G3218">
        <v>75</v>
      </c>
      <c r="H3218" s="5">
        <v>3.1327641055142099E-3</v>
      </c>
      <c r="I3218">
        <v>2</v>
      </c>
      <c r="J3218" t="b">
        <f>AND(CCData[[#This Row],[Date]]&gt;=Calculation!$E$3,CCData[[#This Row],[Date]]&lt;Calculation!$E$3+7)</f>
        <v>0</v>
      </c>
    </row>
    <row r="3219" spans="1:10">
      <c r="A3219" t="s">
        <v>3218</v>
      </c>
      <c r="B3219" s="2">
        <v>42061.381999999998</v>
      </c>
      <c r="C3219" s="3" t="s">
        <v>5009</v>
      </c>
      <c r="D3219" t="s">
        <v>5013</v>
      </c>
      <c r="E3219" t="s">
        <v>5018</v>
      </c>
      <c r="F3219" t="s">
        <v>5018</v>
      </c>
      <c r="G3219">
        <v>68</v>
      </c>
      <c r="H3219" s="5">
        <v>4.4411570091799244E-3</v>
      </c>
      <c r="I3219">
        <v>5</v>
      </c>
      <c r="J3219" t="b">
        <f>AND(CCData[[#This Row],[Date]]&gt;=Calculation!$E$3,CCData[[#This Row],[Date]]&lt;Calculation!$E$3+7)</f>
        <v>0</v>
      </c>
    </row>
    <row r="3220" spans="1:10">
      <c r="A3220" t="s">
        <v>3219</v>
      </c>
      <c r="B3220" s="2">
        <v>42061.387999999999</v>
      </c>
      <c r="C3220" s="3" t="s">
        <v>5007</v>
      </c>
      <c r="D3220" t="s">
        <v>5014</v>
      </c>
      <c r="E3220" t="s">
        <v>5018</v>
      </c>
      <c r="F3220" t="s">
        <v>5019</v>
      </c>
      <c r="G3220">
        <v>104</v>
      </c>
      <c r="H3220" s="5">
        <v>9.3936301125286596E-4</v>
      </c>
      <c r="I3220">
        <v>4</v>
      </c>
      <c r="J3220" t="b">
        <f>AND(CCData[[#This Row],[Date]]&gt;=Calculation!$E$3,CCData[[#This Row],[Date]]&lt;Calculation!$E$3+7)</f>
        <v>0</v>
      </c>
    </row>
    <row r="3221" spans="1:10">
      <c r="A3221" t="s">
        <v>3220</v>
      </c>
      <c r="B3221" s="2">
        <v>42061.387999999999</v>
      </c>
      <c r="C3221" s="3" t="s">
        <v>5008</v>
      </c>
      <c r="D3221" t="s">
        <v>5012</v>
      </c>
      <c r="E3221" t="s">
        <v>5018</v>
      </c>
      <c r="F3221" t="s">
        <v>5019</v>
      </c>
      <c r="G3221">
        <v>33</v>
      </c>
      <c r="H3221" s="5">
        <v>4.698962351702976E-4</v>
      </c>
      <c r="I3221">
        <v>3</v>
      </c>
      <c r="J3221" t="b">
        <f>AND(CCData[[#This Row],[Date]]&gt;=Calculation!$E$3,CCData[[#This Row],[Date]]&lt;Calculation!$E$3+7)</f>
        <v>0</v>
      </c>
    </row>
    <row r="3222" spans="1:10">
      <c r="A3222" t="s">
        <v>3221</v>
      </c>
      <c r="B3222" s="2">
        <v>42061.425000000003</v>
      </c>
      <c r="C3222" s="3" t="s">
        <v>5010</v>
      </c>
      <c r="D3222" t="s">
        <v>5013</v>
      </c>
      <c r="E3222" t="s">
        <v>5018</v>
      </c>
      <c r="F3222" t="s">
        <v>5018</v>
      </c>
      <c r="G3222">
        <v>101</v>
      </c>
      <c r="H3222" s="5">
        <v>2.6659109344949606E-3</v>
      </c>
      <c r="I3222">
        <v>2</v>
      </c>
      <c r="J3222" t="b">
        <f>AND(CCData[[#This Row],[Date]]&gt;=Calculation!$E$3,CCData[[#This Row],[Date]]&lt;Calculation!$E$3+7)</f>
        <v>0</v>
      </c>
    </row>
    <row r="3223" spans="1:10">
      <c r="A3223" t="s">
        <v>3222</v>
      </c>
      <c r="B3223" s="2">
        <v>42061.425000000003</v>
      </c>
      <c r="C3223" s="3" t="s">
        <v>5007</v>
      </c>
      <c r="D3223" t="s">
        <v>5015</v>
      </c>
      <c r="E3223" t="s">
        <v>5019</v>
      </c>
      <c r="F3223" t="s">
        <v>5019</v>
      </c>
      <c r="G3223" t="s">
        <v>5022</v>
      </c>
      <c r="H3223" s="5" t="s">
        <v>5022</v>
      </c>
      <c r="I3223" t="s">
        <v>5022</v>
      </c>
      <c r="J3223" t="b">
        <f>AND(CCData[[#This Row],[Date]]&gt;=Calculation!$E$3,CCData[[#This Row],[Date]]&lt;Calculation!$E$3+7)</f>
        <v>0</v>
      </c>
    </row>
    <row r="3224" spans="1:10">
      <c r="A3224" t="s">
        <v>3223</v>
      </c>
      <c r="B3224" s="2">
        <v>42061.434000000001</v>
      </c>
      <c r="C3224" s="3" t="s">
        <v>5006</v>
      </c>
      <c r="D3224" t="s">
        <v>5013</v>
      </c>
      <c r="E3224" t="s">
        <v>5018</v>
      </c>
      <c r="F3224" t="s">
        <v>5018</v>
      </c>
      <c r="G3224">
        <v>41</v>
      </c>
      <c r="H3224" s="5">
        <v>2.1321838057410643E-3</v>
      </c>
      <c r="I3224">
        <v>1</v>
      </c>
      <c r="J3224" t="b">
        <f>AND(CCData[[#This Row],[Date]]&gt;=Calculation!$E$3,CCData[[#This Row],[Date]]&lt;Calculation!$E$3+7)</f>
        <v>0</v>
      </c>
    </row>
    <row r="3225" spans="1:10">
      <c r="A3225" t="s">
        <v>3224</v>
      </c>
      <c r="B3225" s="2">
        <v>42061.434000000001</v>
      </c>
      <c r="C3225" s="3" t="s">
        <v>5009</v>
      </c>
      <c r="D3225" t="s">
        <v>5016</v>
      </c>
      <c r="E3225" t="s">
        <v>5019</v>
      </c>
      <c r="F3225" t="s">
        <v>5019</v>
      </c>
      <c r="G3225" t="s">
        <v>5022</v>
      </c>
      <c r="H3225" s="5" t="s">
        <v>5022</v>
      </c>
      <c r="I3225" t="s">
        <v>5022</v>
      </c>
      <c r="J3225" t="b">
        <f>AND(CCData[[#This Row],[Date]]&gt;=Calculation!$E$3,CCData[[#This Row],[Date]]&lt;Calculation!$E$3+7)</f>
        <v>0</v>
      </c>
    </row>
    <row r="3226" spans="1:10">
      <c r="A3226" t="s">
        <v>3225</v>
      </c>
      <c r="B3226" s="2">
        <v>42061.447999999997</v>
      </c>
      <c r="C3226" s="3" t="s">
        <v>5007</v>
      </c>
      <c r="D3226" t="s">
        <v>5012</v>
      </c>
      <c r="E3226" t="s">
        <v>5018</v>
      </c>
      <c r="F3226" t="s">
        <v>5018</v>
      </c>
      <c r="G3226">
        <v>124</v>
      </c>
      <c r="H3226" s="5">
        <v>2.3960186962259521E-3</v>
      </c>
      <c r="I3226">
        <v>4</v>
      </c>
      <c r="J3226" t="b">
        <f>AND(CCData[[#This Row],[Date]]&gt;=Calculation!$E$3,CCData[[#This Row],[Date]]&lt;Calculation!$E$3+7)</f>
        <v>0</v>
      </c>
    </row>
    <row r="3227" spans="1:10">
      <c r="A3227" t="s">
        <v>3226</v>
      </c>
      <c r="B3227" s="2">
        <v>42061.447999999997</v>
      </c>
      <c r="C3227" s="3" t="s">
        <v>5007</v>
      </c>
      <c r="D3227" t="s">
        <v>5016</v>
      </c>
      <c r="E3227" t="s">
        <v>5018</v>
      </c>
      <c r="F3227" t="s">
        <v>5019</v>
      </c>
      <c r="G3227">
        <v>98</v>
      </c>
      <c r="H3227" s="5">
        <v>3.8117307248940876E-3</v>
      </c>
      <c r="I3227">
        <v>2</v>
      </c>
      <c r="J3227" t="b">
        <f>AND(CCData[[#This Row],[Date]]&gt;=Calculation!$E$3,CCData[[#This Row],[Date]]&lt;Calculation!$E$3+7)</f>
        <v>0</v>
      </c>
    </row>
    <row r="3228" spans="1:10">
      <c r="A3228" t="s">
        <v>3227</v>
      </c>
      <c r="B3228" s="2">
        <v>42061.461000000003</v>
      </c>
      <c r="C3228" s="3" t="s">
        <v>5006</v>
      </c>
      <c r="D3228" t="s">
        <v>5014</v>
      </c>
      <c r="E3228" t="s">
        <v>5018</v>
      </c>
      <c r="F3228" t="s">
        <v>5018</v>
      </c>
      <c r="G3228">
        <v>119</v>
      </c>
      <c r="H3228" s="5">
        <v>1.5131964904864102E-3</v>
      </c>
      <c r="I3228">
        <v>3</v>
      </c>
      <c r="J3228" t="b">
        <f>AND(CCData[[#This Row],[Date]]&gt;=Calculation!$E$3,CCData[[#This Row],[Date]]&lt;Calculation!$E$3+7)</f>
        <v>0</v>
      </c>
    </row>
    <row r="3229" spans="1:10">
      <c r="A3229" t="s">
        <v>3228</v>
      </c>
      <c r="B3229" s="2">
        <v>42061.461000000003</v>
      </c>
      <c r="C3229" s="3" t="s">
        <v>5007</v>
      </c>
      <c r="D3229" t="s">
        <v>5016</v>
      </c>
      <c r="E3229" t="s">
        <v>5018</v>
      </c>
      <c r="F3229" t="s">
        <v>5018</v>
      </c>
      <c r="G3229">
        <v>40</v>
      </c>
      <c r="H3229" s="5">
        <v>1.6897761791435084E-3</v>
      </c>
      <c r="I3229">
        <v>1</v>
      </c>
      <c r="J3229" t="b">
        <f>AND(CCData[[#This Row],[Date]]&gt;=Calculation!$E$3,CCData[[#This Row],[Date]]&lt;Calculation!$E$3+7)</f>
        <v>0</v>
      </c>
    </row>
    <row r="3230" spans="1:10">
      <c r="A3230" t="s">
        <v>3229</v>
      </c>
      <c r="B3230" s="2">
        <v>42061.483999999997</v>
      </c>
      <c r="C3230" s="3" t="s">
        <v>5006</v>
      </c>
      <c r="D3230" t="s">
        <v>5014</v>
      </c>
      <c r="E3230" t="s">
        <v>5019</v>
      </c>
      <c r="F3230" t="s">
        <v>5019</v>
      </c>
      <c r="G3230" t="s">
        <v>5022</v>
      </c>
      <c r="H3230" s="5" t="s">
        <v>5022</v>
      </c>
      <c r="I3230" t="s">
        <v>5022</v>
      </c>
      <c r="J3230" t="b">
        <f>AND(CCData[[#This Row],[Date]]&gt;=Calculation!$E$3,CCData[[#This Row],[Date]]&lt;Calculation!$E$3+7)</f>
        <v>0</v>
      </c>
    </row>
    <row r="3231" spans="1:10">
      <c r="A3231" t="s">
        <v>3230</v>
      </c>
      <c r="B3231" s="2">
        <v>42061.483999999997</v>
      </c>
      <c r="C3231" s="3" t="s">
        <v>5004</v>
      </c>
      <c r="D3231" t="s">
        <v>5014</v>
      </c>
      <c r="E3231" t="s">
        <v>5018</v>
      </c>
      <c r="F3231" t="s">
        <v>5018</v>
      </c>
      <c r="G3231">
        <v>97</v>
      </c>
      <c r="H3231" s="5">
        <v>3.8095501507587654E-3</v>
      </c>
      <c r="I3231">
        <v>2</v>
      </c>
      <c r="J3231" t="b">
        <f>AND(CCData[[#This Row],[Date]]&gt;=Calculation!$E$3,CCData[[#This Row],[Date]]&lt;Calculation!$E$3+7)</f>
        <v>0</v>
      </c>
    </row>
    <row r="3232" spans="1:10">
      <c r="A3232" t="s">
        <v>3231</v>
      </c>
      <c r="B3232" s="2">
        <v>42061.489000000001</v>
      </c>
      <c r="C3232" s="3" t="s">
        <v>5009</v>
      </c>
      <c r="D3232" t="s">
        <v>5015</v>
      </c>
      <c r="E3232" t="s">
        <v>5018</v>
      </c>
      <c r="F3232" t="s">
        <v>5018</v>
      </c>
      <c r="G3232">
        <v>119</v>
      </c>
      <c r="H3232" s="5">
        <v>2.6184474680177794E-3</v>
      </c>
      <c r="I3232">
        <v>2</v>
      </c>
      <c r="J3232" t="b">
        <f>AND(CCData[[#This Row],[Date]]&gt;=Calculation!$E$3,CCData[[#This Row],[Date]]&lt;Calculation!$E$3+7)</f>
        <v>0</v>
      </c>
    </row>
    <row r="3233" spans="1:10">
      <c r="A3233" t="s">
        <v>3232</v>
      </c>
      <c r="B3233" s="2">
        <v>42061.489000000001</v>
      </c>
      <c r="C3233" s="3" t="s">
        <v>5004</v>
      </c>
      <c r="D3233" t="s">
        <v>5013</v>
      </c>
      <c r="E3233" t="s">
        <v>5019</v>
      </c>
      <c r="F3233" t="s">
        <v>5019</v>
      </c>
      <c r="G3233" t="s">
        <v>5022</v>
      </c>
      <c r="H3233" s="5" t="s">
        <v>5022</v>
      </c>
      <c r="I3233" t="s">
        <v>5022</v>
      </c>
      <c r="J3233" t="b">
        <f>AND(CCData[[#This Row],[Date]]&gt;=Calculation!$E$3,CCData[[#This Row],[Date]]&lt;Calculation!$E$3+7)</f>
        <v>0</v>
      </c>
    </row>
    <row r="3234" spans="1:10">
      <c r="A3234" t="s">
        <v>3233</v>
      </c>
      <c r="B3234" s="2">
        <v>42061.49</v>
      </c>
      <c r="C3234" s="3" t="s">
        <v>5005</v>
      </c>
      <c r="D3234" t="s">
        <v>5016</v>
      </c>
      <c r="E3234" t="s">
        <v>5018</v>
      </c>
      <c r="F3234" t="s">
        <v>5018</v>
      </c>
      <c r="G3234">
        <v>26</v>
      </c>
      <c r="H3234" s="5">
        <v>4.8197837946585358E-4</v>
      </c>
      <c r="I3234">
        <v>5</v>
      </c>
      <c r="J3234" t="b">
        <f>AND(CCData[[#This Row],[Date]]&gt;=Calculation!$E$3,CCData[[#This Row],[Date]]&lt;Calculation!$E$3+7)</f>
        <v>0</v>
      </c>
    </row>
    <row r="3235" spans="1:10">
      <c r="A3235" t="s">
        <v>3234</v>
      </c>
      <c r="B3235" s="2">
        <v>42061.49</v>
      </c>
      <c r="C3235" s="3" t="s">
        <v>5006</v>
      </c>
      <c r="D3235" t="s">
        <v>5014</v>
      </c>
      <c r="E3235" t="s">
        <v>5019</v>
      </c>
      <c r="F3235" t="s">
        <v>5019</v>
      </c>
      <c r="G3235" t="s">
        <v>5022</v>
      </c>
      <c r="H3235" s="5" t="s">
        <v>5022</v>
      </c>
      <c r="I3235" t="s">
        <v>5022</v>
      </c>
      <c r="J3235" t="b">
        <f>AND(CCData[[#This Row],[Date]]&gt;=Calculation!$E$3,CCData[[#This Row],[Date]]&lt;Calculation!$E$3+7)</f>
        <v>0</v>
      </c>
    </row>
    <row r="3236" spans="1:10">
      <c r="A3236" t="s">
        <v>3235</v>
      </c>
      <c r="B3236" s="2">
        <v>42061.527999999998</v>
      </c>
      <c r="C3236" s="3" t="s">
        <v>5007</v>
      </c>
      <c r="D3236" t="s">
        <v>5014</v>
      </c>
      <c r="E3236" t="s">
        <v>5018</v>
      </c>
      <c r="F3236" t="s">
        <v>5018</v>
      </c>
      <c r="G3236">
        <v>77</v>
      </c>
      <c r="H3236" s="5">
        <v>1.2312934045548179E-3</v>
      </c>
      <c r="I3236">
        <v>4</v>
      </c>
      <c r="J3236" t="b">
        <f>AND(CCData[[#This Row],[Date]]&gt;=Calculation!$E$3,CCData[[#This Row],[Date]]&lt;Calculation!$E$3+7)</f>
        <v>0</v>
      </c>
    </row>
    <row r="3237" spans="1:10">
      <c r="A3237" t="s">
        <v>3236</v>
      </c>
      <c r="B3237" s="2">
        <v>42061.527999999998</v>
      </c>
      <c r="C3237" s="3" t="s">
        <v>5007</v>
      </c>
      <c r="D3237" t="s">
        <v>5013</v>
      </c>
      <c r="E3237" t="s">
        <v>5018</v>
      </c>
      <c r="F3237" t="s">
        <v>5018</v>
      </c>
      <c r="G3237">
        <v>31</v>
      </c>
      <c r="H3237" s="5">
        <v>1.4509380024971897E-3</v>
      </c>
      <c r="I3237">
        <v>3</v>
      </c>
      <c r="J3237" t="b">
        <f>AND(CCData[[#This Row],[Date]]&gt;=Calculation!$E$3,CCData[[#This Row],[Date]]&lt;Calculation!$E$3+7)</f>
        <v>0</v>
      </c>
    </row>
    <row r="3238" spans="1:10">
      <c r="A3238" t="s">
        <v>3237</v>
      </c>
      <c r="B3238" s="2">
        <v>42061.542999999998</v>
      </c>
      <c r="C3238" s="3" t="s">
        <v>5004</v>
      </c>
      <c r="D3238" t="s">
        <v>5015</v>
      </c>
      <c r="E3238" t="s">
        <v>5019</v>
      </c>
      <c r="F3238" t="s">
        <v>5019</v>
      </c>
      <c r="G3238" t="s">
        <v>5022</v>
      </c>
      <c r="H3238" s="5" t="s">
        <v>5022</v>
      </c>
      <c r="I3238" t="s">
        <v>5022</v>
      </c>
      <c r="J3238" t="b">
        <f>AND(CCData[[#This Row],[Date]]&gt;=Calculation!$E$3,CCData[[#This Row],[Date]]&lt;Calculation!$E$3+7)</f>
        <v>0</v>
      </c>
    </row>
    <row r="3239" spans="1:10">
      <c r="A3239" t="s">
        <v>3238</v>
      </c>
      <c r="B3239" s="2">
        <v>42061.542999999998</v>
      </c>
      <c r="C3239" s="3" t="s">
        <v>5004</v>
      </c>
      <c r="D3239" t="s">
        <v>5014</v>
      </c>
      <c r="E3239" t="s">
        <v>5018</v>
      </c>
      <c r="F3239" t="s">
        <v>5019</v>
      </c>
      <c r="G3239">
        <v>16</v>
      </c>
      <c r="H3239" s="5">
        <v>2.5474464891589747E-3</v>
      </c>
      <c r="I3239">
        <v>4</v>
      </c>
      <c r="J3239" t="b">
        <f>AND(CCData[[#This Row],[Date]]&gt;=Calculation!$E$3,CCData[[#This Row],[Date]]&lt;Calculation!$E$3+7)</f>
        <v>0</v>
      </c>
    </row>
    <row r="3240" spans="1:10">
      <c r="A3240" t="s">
        <v>3239</v>
      </c>
      <c r="B3240" s="2">
        <v>42061.546000000002</v>
      </c>
      <c r="C3240" s="3" t="s">
        <v>5003</v>
      </c>
      <c r="D3240" t="s">
        <v>5015</v>
      </c>
      <c r="E3240" t="s">
        <v>5018</v>
      </c>
      <c r="F3240" t="s">
        <v>5018</v>
      </c>
      <c r="G3240">
        <v>117</v>
      </c>
      <c r="H3240" s="5">
        <v>4.5056317077635868E-3</v>
      </c>
      <c r="I3240">
        <v>4</v>
      </c>
      <c r="J3240" t="b">
        <f>AND(CCData[[#This Row],[Date]]&gt;=Calculation!$E$3,CCData[[#This Row],[Date]]&lt;Calculation!$E$3+7)</f>
        <v>0</v>
      </c>
    </row>
    <row r="3241" spans="1:10">
      <c r="A3241" t="s">
        <v>3240</v>
      </c>
      <c r="B3241" s="2">
        <v>42061.546000000002</v>
      </c>
      <c r="C3241" s="3" t="s">
        <v>5004</v>
      </c>
      <c r="D3241" t="s">
        <v>5016</v>
      </c>
      <c r="E3241" t="s">
        <v>5018</v>
      </c>
      <c r="F3241" t="s">
        <v>5019</v>
      </c>
      <c r="G3241">
        <v>16</v>
      </c>
      <c r="H3241" s="5">
        <v>2.2859573942060085E-3</v>
      </c>
      <c r="I3241">
        <v>5</v>
      </c>
      <c r="J3241" t="b">
        <f>AND(CCData[[#This Row],[Date]]&gt;=Calculation!$E$3,CCData[[#This Row],[Date]]&lt;Calculation!$E$3+7)</f>
        <v>0</v>
      </c>
    </row>
    <row r="3242" spans="1:10">
      <c r="A3242" t="s">
        <v>3241</v>
      </c>
      <c r="B3242" s="2">
        <v>42061.587</v>
      </c>
      <c r="C3242" s="3" t="s">
        <v>5005</v>
      </c>
      <c r="D3242" t="s">
        <v>5014</v>
      </c>
      <c r="E3242" t="s">
        <v>5018</v>
      </c>
      <c r="F3242" t="s">
        <v>5019</v>
      </c>
      <c r="G3242">
        <v>35</v>
      </c>
      <c r="H3242" s="5">
        <v>2.399633606736304E-3</v>
      </c>
      <c r="I3242">
        <v>4</v>
      </c>
      <c r="J3242" t="b">
        <f>AND(CCData[[#This Row],[Date]]&gt;=Calculation!$E$3,CCData[[#This Row],[Date]]&lt;Calculation!$E$3+7)</f>
        <v>0</v>
      </c>
    </row>
    <row r="3243" spans="1:10">
      <c r="A3243" t="s">
        <v>3242</v>
      </c>
      <c r="B3243" s="2">
        <v>42061.587</v>
      </c>
      <c r="C3243" s="3" t="s">
        <v>5009</v>
      </c>
      <c r="D3243" t="s">
        <v>5012</v>
      </c>
      <c r="E3243" t="s">
        <v>5018</v>
      </c>
      <c r="F3243" t="s">
        <v>5019</v>
      </c>
      <c r="G3243">
        <v>93</v>
      </c>
      <c r="H3243" s="5">
        <v>1.7645023238921985E-3</v>
      </c>
      <c r="I3243">
        <v>4</v>
      </c>
      <c r="J3243" t="b">
        <f>AND(CCData[[#This Row],[Date]]&gt;=Calculation!$E$3,CCData[[#This Row],[Date]]&lt;Calculation!$E$3+7)</f>
        <v>0</v>
      </c>
    </row>
    <row r="3244" spans="1:10">
      <c r="A3244" t="s">
        <v>3243</v>
      </c>
      <c r="B3244" s="2">
        <v>42061.618999999999</v>
      </c>
      <c r="C3244" s="3" t="s">
        <v>5008</v>
      </c>
      <c r="D3244" t="s">
        <v>5016</v>
      </c>
      <c r="E3244" t="s">
        <v>5018</v>
      </c>
      <c r="F3244" t="s">
        <v>5018</v>
      </c>
      <c r="G3244">
        <v>39</v>
      </c>
      <c r="H3244" s="5">
        <v>2.0401963104102164E-3</v>
      </c>
      <c r="I3244">
        <v>1</v>
      </c>
      <c r="J3244" t="b">
        <f>AND(CCData[[#This Row],[Date]]&gt;=Calculation!$E$3,CCData[[#This Row],[Date]]&lt;Calculation!$E$3+7)</f>
        <v>0</v>
      </c>
    </row>
    <row r="3245" spans="1:10">
      <c r="A3245" t="s">
        <v>3244</v>
      </c>
      <c r="B3245" s="2">
        <v>42061.618999999999</v>
      </c>
      <c r="C3245" s="3" t="s">
        <v>5006</v>
      </c>
      <c r="D3245" t="s">
        <v>5016</v>
      </c>
      <c r="E3245" t="s">
        <v>5018</v>
      </c>
      <c r="F3245" t="s">
        <v>5019</v>
      </c>
      <c r="G3245">
        <v>18</v>
      </c>
      <c r="H3245" s="5">
        <v>3.4060326483078287E-3</v>
      </c>
      <c r="I3245">
        <v>1</v>
      </c>
      <c r="J3245" t="b">
        <f>AND(CCData[[#This Row],[Date]]&gt;=Calculation!$E$3,CCData[[#This Row],[Date]]&lt;Calculation!$E$3+7)</f>
        <v>0</v>
      </c>
    </row>
    <row r="3246" spans="1:10">
      <c r="A3246" t="s">
        <v>3245</v>
      </c>
      <c r="B3246" s="2">
        <v>42061.620999999999</v>
      </c>
      <c r="C3246" s="3" t="s">
        <v>5006</v>
      </c>
      <c r="D3246" t="s">
        <v>5012</v>
      </c>
      <c r="E3246" t="s">
        <v>5018</v>
      </c>
      <c r="F3246" t="s">
        <v>5018</v>
      </c>
      <c r="G3246">
        <v>124</v>
      </c>
      <c r="H3246" s="5">
        <v>3.7877081032275258E-3</v>
      </c>
      <c r="I3246">
        <v>4</v>
      </c>
      <c r="J3246" t="b">
        <f>AND(CCData[[#This Row],[Date]]&gt;=Calculation!$E$3,CCData[[#This Row],[Date]]&lt;Calculation!$E$3+7)</f>
        <v>0</v>
      </c>
    </row>
    <row r="3247" spans="1:10">
      <c r="A3247" t="s">
        <v>3246</v>
      </c>
      <c r="B3247" s="2">
        <v>42061.620999999999</v>
      </c>
      <c r="C3247" s="3" t="s">
        <v>5006</v>
      </c>
      <c r="D3247" t="s">
        <v>5016</v>
      </c>
      <c r="E3247" t="s">
        <v>5019</v>
      </c>
      <c r="F3247" t="s">
        <v>5019</v>
      </c>
      <c r="G3247" t="s">
        <v>5022</v>
      </c>
      <c r="H3247" s="5" t="s">
        <v>5022</v>
      </c>
      <c r="I3247" t="s">
        <v>5022</v>
      </c>
      <c r="J3247" t="b">
        <f>AND(CCData[[#This Row],[Date]]&gt;=Calculation!$E$3,CCData[[#This Row],[Date]]&lt;Calculation!$E$3+7)</f>
        <v>0</v>
      </c>
    </row>
    <row r="3248" spans="1:10">
      <c r="A3248" t="s">
        <v>3247</v>
      </c>
      <c r="B3248" s="2">
        <v>42061.625999999997</v>
      </c>
      <c r="C3248" s="3" t="s">
        <v>5004</v>
      </c>
      <c r="D3248" t="s">
        <v>5016</v>
      </c>
      <c r="E3248" t="s">
        <v>5018</v>
      </c>
      <c r="F3248" t="s">
        <v>5018</v>
      </c>
      <c r="G3248">
        <v>10</v>
      </c>
      <c r="H3248" s="5">
        <v>2.7748754343152235E-3</v>
      </c>
      <c r="I3248">
        <v>1</v>
      </c>
      <c r="J3248" t="b">
        <f>AND(CCData[[#This Row],[Date]]&gt;=Calculation!$E$3,CCData[[#This Row],[Date]]&lt;Calculation!$E$3+7)</f>
        <v>0</v>
      </c>
    </row>
    <row r="3249" spans="1:10">
      <c r="A3249" t="s">
        <v>3248</v>
      </c>
      <c r="B3249" s="2">
        <v>42061.625999999997</v>
      </c>
      <c r="C3249" s="3" t="s">
        <v>5003</v>
      </c>
      <c r="D3249" t="s">
        <v>5012</v>
      </c>
      <c r="E3249" t="s">
        <v>5019</v>
      </c>
      <c r="F3249" t="s">
        <v>5019</v>
      </c>
      <c r="G3249" t="s">
        <v>5022</v>
      </c>
      <c r="H3249" s="5" t="s">
        <v>5022</v>
      </c>
      <c r="I3249" t="s">
        <v>5022</v>
      </c>
      <c r="J3249" t="b">
        <f>AND(CCData[[#This Row],[Date]]&gt;=Calculation!$E$3,CCData[[#This Row],[Date]]&lt;Calculation!$E$3+7)</f>
        <v>0</v>
      </c>
    </row>
    <row r="3250" spans="1:10">
      <c r="A3250" t="s">
        <v>3249</v>
      </c>
      <c r="B3250" s="2">
        <v>42061.629000000001</v>
      </c>
      <c r="C3250" s="3" t="s">
        <v>5004</v>
      </c>
      <c r="D3250" t="s">
        <v>5016</v>
      </c>
      <c r="E3250" t="s">
        <v>5018</v>
      </c>
      <c r="F3250" t="s">
        <v>5018</v>
      </c>
      <c r="G3250">
        <v>99</v>
      </c>
      <c r="H3250" s="5">
        <v>3.5607067753133906E-3</v>
      </c>
      <c r="I3250">
        <v>4</v>
      </c>
      <c r="J3250" t="b">
        <f>AND(CCData[[#This Row],[Date]]&gt;=Calculation!$E$3,CCData[[#This Row],[Date]]&lt;Calculation!$E$3+7)</f>
        <v>0</v>
      </c>
    </row>
    <row r="3251" spans="1:10">
      <c r="A3251" t="s">
        <v>3250</v>
      </c>
      <c r="B3251" s="2">
        <v>42061.629000000001</v>
      </c>
      <c r="C3251" s="3" t="s">
        <v>5006</v>
      </c>
      <c r="D3251" t="s">
        <v>5013</v>
      </c>
      <c r="E3251" t="s">
        <v>5018</v>
      </c>
      <c r="F3251" t="s">
        <v>5018</v>
      </c>
      <c r="G3251">
        <v>114</v>
      </c>
      <c r="H3251" s="5">
        <v>3.5405347624856971E-3</v>
      </c>
      <c r="I3251">
        <v>4</v>
      </c>
      <c r="J3251" t="b">
        <f>AND(CCData[[#This Row],[Date]]&gt;=Calculation!$E$3,CCData[[#This Row],[Date]]&lt;Calculation!$E$3+7)</f>
        <v>0</v>
      </c>
    </row>
    <row r="3252" spans="1:10">
      <c r="A3252" t="s">
        <v>3251</v>
      </c>
      <c r="B3252" s="2">
        <v>42061.654000000002</v>
      </c>
      <c r="C3252" s="3" t="s">
        <v>5006</v>
      </c>
      <c r="D3252" t="s">
        <v>5013</v>
      </c>
      <c r="E3252" t="s">
        <v>5018</v>
      </c>
      <c r="F3252" t="s">
        <v>5018</v>
      </c>
      <c r="G3252">
        <v>122</v>
      </c>
      <c r="H3252" s="5">
        <v>3.1829748127759519E-3</v>
      </c>
      <c r="I3252">
        <v>1</v>
      </c>
      <c r="J3252" t="b">
        <f>AND(CCData[[#This Row],[Date]]&gt;=Calculation!$E$3,CCData[[#This Row],[Date]]&lt;Calculation!$E$3+7)</f>
        <v>0</v>
      </c>
    </row>
    <row r="3253" spans="1:10">
      <c r="A3253" t="s">
        <v>3252</v>
      </c>
      <c r="B3253" s="2">
        <v>42061.654000000002</v>
      </c>
      <c r="C3253" s="3" t="s">
        <v>5008</v>
      </c>
      <c r="D3253" t="s">
        <v>5012</v>
      </c>
      <c r="E3253" t="s">
        <v>5019</v>
      </c>
      <c r="F3253" t="s">
        <v>5019</v>
      </c>
      <c r="G3253" t="s">
        <v>5022</v>
      </c>
      <c r="H3253" s="5" t="s">
        <v>5022</v>
      </c>
      <c r="I3253" t="s">
        <v>5022</v>
      </c>
      <c r="J3253" t="b">
        <f>AND(CCData[[#This Row],[Date]]&gt;=Calculation!$E$3,CCData[[#This Row],[Date]]&lt;Calculation!$E$3+7)</f>
        <v>0</v>
      </c>
    </row>
    <row r="3254" spans="1:10">
      <c r="A3254" t="s">
        <v>3253</v>
      </c>
      <c r="B3254" s="2">
        <v>42061.67</v>
      </c>
      <c r="C3254" s="3" t="s">
        <v>5004</v>
      </c>
      <c r="D3254" t="s">
        <v>5016</v>
      </c>
      <c r="E3254" t="s">
        <v>5019</v>
      </c>
      <c r="F3254" t="s">
        <v>5019</v>
      </c>
      <c r="G3254" t="s">
        <v>5022</v>
      </c>
      <c r="H3254" s="5" t="s">
        <v>5022</v>
      </c>
      <c r="I3254" t="s">
        <v>5022</v>
      </c>
      <c r="J3254" t="b">
        <f>AND(CCData[[#This Row],[Date]]&gt;=Calculation!$E$3,CCData[[#This Row],[Date]]&lt;Calculation!$E$3+7)</f>
        <v>0</v>
      </c>
    </row>
    <row r="3255" spans="1:10">
      <c r="A3255" t="s">
        <v>3254</v>
      </c>
      <c r="B3255" s="2">
        <v>42061.67</v>
      </c>
      <c r="C3255" s="3" t="s">
        <v>5003</v>
      </c>
      <c r="D3255" t="s">
        <v>5012</v>
      </c>
      <c r="E3255" t="s">
        <v>5018</v>
      </c>
      <c r="F3255" t="s">
        <v>5019</v>
      </c>
      <c r="G3255">
        <v>87</v>
      </c>
      <c r="H3255" s="5">
        <v>8.8207881825800227E-4</v>
      </c>
      <c r="I3255">
        <v>4</v>
      </c>
      <c r="J3255" t="b">
        <f>AND(CCData[[#This Row],[Date]]&gt;=Calculation!$E$3,CCData[[#This Row],[Date]]&lt;Calculation!$E$3+7)</f>
        <v>0</v>
      </c>
    </row>
    <row r="3256" spans="1:10">
      <c r="A3256" t="s">
        <v>3255</v>
      </c>
      <c r="B3256" s="2">
        <v>42061.686999999998</v>
      </c>
      <c r="C3256" s="3" t="s">
        <v>5010</v>
      </c>
      <c r="D3256" t="s">
        <v>5016</v>
      </c>
      <c r="E3256" t="s">
        <v>5018</v>
      </c>
      <c r="F3256" t="s">
        <v>5018</v>
      </c>
      <c r="G3256">
        <v>63</v>
      </c>
      <c r="H3256" s="5">
        <v>2.3940190190734081E-3</v>
      </c>
      <c r="I3256">
        <v>3</v>
      </c>
      <c r="J3256" t="b">
        <f>AND(CCData[[#This Row],[Date]]&gt;=Calculation!$E$3,CCData[[#This Row],[Date]]&lt;Calculation!$E$3+7)</f>
        <v>0</v>
      </c>
    </row>
    <row r="3257" spans="1:10">
      <c r="A3257" t="s">
        <v>3256</v>
      </c>
      <c r="B3257" s="2">
        <v>42061.686999999998</v>
      </c>
      <c r="C3257" s="3" t="s">
        <v>5009</v>
      </c>
      <c r="D3257" t="s">
        <v>5014</v>
      </c>
      <c r="E3257" t="s">
        <v>5019</v>
      </c>
      <c r="F3257" t="s">
        <v>5019</v>
      </c>
      <c r="G3257" t="s">
        <v>5022</v>
      </c>
      <c r="H3257" s="5" t="s">
        <v>5022</v>
      </c>
      <c r="I3257" t="s">
        <v>5022</v>
      </c>
      <c r="J3257" t="b">
        <f>AND(CCData[[#This Row],[Date]]&gt;=Calculation!$E$3,CCData[[#This Row],[Date]]&lt;Calculation!$E$3+7)</f>
        <v>0</v>
      </c>
    </row>
    <row r="3258" spans="1:10">
      <c r="A3258" t="s">
        <v>3257</v>
      </c>
      <c r="B3258" s="2">
        <v>42061.701000000001</v>
      </c>
      <c r="C3258" s="3" t="s">
        <v>5005</v>
      </c>
      <c r="D3258" t="s">
        <v>5016</v>
      </c>
      <c r="E3258" t="s">
        <v>5018</v>
      </c>
      <c r="F3258" t="s">
        <v>5018</v>
      </c>
      <c r="G3258">
        <v>120</v>
      </c>
      <c r="H3258" s="5">
        <v>4.617051765782261E-3</v>
      </c>
      <c r="I3258">
        <v>4</v>
      </c>
      <c r="J3258" t="b">
        <f>AND(CCData[[#This Row],[Date]]&gt;=Calculation!$E$3,CCData[[#This Row],[Date]]&lt;Calculation!$E$3+7)</f>
        <v>0</v>
      </c>
    </row>
    <row r="3259" spans="1:10">
      <c r="A3259" t="s">
        <v>3258</v>
      </c>
      <c r="B3259" s="2">
        <v>42061.701000000001</v>
      </c>
      <c r="C3259" s="3" t="s">
        <v>5007</v>
      </c>
      <c r="D3259" t="s">
        <v>5016</v>
      </c>
      <c r="E3259" t="s">
        <v>5019</v>
      </c>
      <c r="F3259" t="s">
        <v>5019</v>
      </c>
      <c r="G3259" t="s">
        <v>5022</v>
      </c>
      <c r="H3259" s="5" t="s">
        <v>5022</v>
      </c>
      <c r="I3259" t="s">
        <v>5022</v>
      </c>
      <c r="J3259" t="b">
        <f>AND(CCData[[#This Row],[Date]]&gt;=Calculation!$E$3,CCData[[#This Row],[Date]]&lt;Calculation!$E$3+7)</f>
        <v>0</v>
      </c>
    </row>
    <row r="3260" spans="1:10">
      <c r="A3260" t="s">
        <v>3259</v>
      </c>
      <c r="B3260" s="2">
        <v>42061.707000000002</v>
      </c>
      <c r="C3260" s="3" t="s">
        <v>5005</v>
      </c>
      <c r="D3260" t="s">
        <v>5016</v>
      </c>
      <c r="E3260" t="s">
        <v>5019</v>
      </c>
      <c r="F3260" t="s">
        <v>5019</v>
      </c>
      <c r="G3260" t="s">
        <v>5022</v>
      </c>
      <c r="H3260" s="5" t="s">
        <v>5022</v>
      </c>
      <c r="I3260" t="s">
        <v>5022</v>
      </c>
      <c r="J3260" t="b">
        <f>AND(CCData[[#This Row],[Date]]&gt;=Calculation!$E$3,CCData[[#This Row],[Date]]&lt;Calculation!$E$3+7)</f>
        <v>0</v>
      </c>
    </row>
    <row r="3261" spans="1:10">
      <c r="A3261" t="s">
        <v>3260</v>
      </c>
      <c r="B3261" s="2">
        <v>42061.707000000002</v>
      </c>
      <c r="C3261" s="3" t="s">
        <v>5005</v>
      </c>
      <c r="D3261" t="s">
        <v>5014</v>
      </c>
      <c r="E3261" t="s">
        <v>5018</v>
      </c>
      <c r="F3261" t="s">
        <v>5018</v>
      </c>
      <c r="G3261">
        <v>23</v>
      </c>
      <c r="H3261" s="5">
        <v>3.6953651877075539E-3</v>
      </c>
      <c r="I3261">
        <v>4</v>
      </c>
      <c r="J3261" t="b">
        <f>AND(CCData[[#This Row],[Date]]&gt;=Calculation!$E$3,CCData[[#This Row],[Date]]&lt;Calculation!$E$3+7)</f>
        <v>0</v>
      </c>
    </row>
    <row r="3262" spans="1:10">
      <c r="A3262" t="s">
        <v>3261</v>
      </c>
      <c r="B3262" s="2">
        <v>42061.712</v>
      </c>
      <c r="C3262" s="3" t="s">
        <v>5009</v>
      </c>
      <c r="D3262" t="s">
        <v>5013</v>
      </c>
      <c r="E3262" t="s">
        <v>5018</v>
      </c>
      <c r="F3262" t="s">
        <v>5019</v>
      </c>
      <c r="G3262">
        <v>122</v>
      </c>
      <c r="H3262" s="5">
        <v>2.6491133973609061E-3</v>
      </c>
      <c r="I3262">
        <v>5</v>
      </c>
      <c r="J3262" t="b">
        <f>AND(CCData[[#This Row],[Date]]&gt;=Calculation!$E$3,CCData[[#This Row],[Date]]&lt;Calculation!$E$3+7)</f>
        <v>0</v>
      </c>
    </row>
    <row r="3263" spans="1:10">
      <c r="A3263" t="s">
        <v>3262</v>
      </c>
      <c r="B3263" s="2">
        <v>42061.712</v>
      </c>
      <c r="C3263" s="3" t="s">
        <v>5008</v>
      </c>
      <c r="D3263" t="s">
        <v>5012</v>
      </c>
      <c r="E3263" t="s">
        <v>5018</v>
      </c>
      <c r="F3263" t="s">
        <v>5018</v>
      </c>
      <c r="G3263">
        <v>60</v>
      </c>
      <c r="H3263" s="5">
        <v>2.4108243462767449E-3</v>
      </c>
      <c r="I3263">
        <v>1</v>
      </c>
      <c r="J3263" t="b">
        <f>AND(CCData[[#This Row],[Date]]&gt;=Calculation!$E$3,CCData[[#This Row],[Date]]&lt;Calculation!$E$3+7)</f>
        <v>0</v>
      </c>
    </row>
    <row r="3264" spans="1:10">
      <c r="A3264" t="s">
        <v>3263</v>
      </c>
      <c r="B3264" s="2">
        <v>42061.733</v>
      </c>
      <c r="C3264" s="3" t="s">
        <v>5010</v>
      </c>
      <c r="D3264" t="s">
        <v>5012</v>
      </c>
      <c r="E3264" t="s">
        <v>5018</v>
      </c>
      <c r="F3264" t="s">
        <v>5018</v>
      </c>
      <c r="G3264">
        <v>123</v>
      </c>
      <c r="H3264" s="5">
        <v>5.2237953716389573E-4</v>
      </c>
      <c r="I3264">
        <v>5</v>
      </c>
      <c r="J3264" t="b">
        <f>AND(CCData[[#This Row],[Date]]&gt;=Calculation!$E$3,CCData[[#This Row],[Date]]&lt;Calculation!$E$3+7)</f>
        <v>0</v>
      </c>
    </row>
    <row r="3265" spans="1:10">
      <c r="A3265" t="s">
        <v>3264</v>
      </c>
      <c r="B3265" s="2">
        <v>42061.733</v>
      </c>
      <c r="C3265" s="3" t="s">
        <v>5010</v>
      </c>
      <c r="D3265" t="s">
        <v>5013</v>
      </c>
      <c r="E3265" t="s">
        <v>5018</v>
      </c>
      <c r="F3265" t="s">
        <v>5018</v>
      </c>
      <c r="G3265">
        <v>64</v>
      </c>
      <c r="H3265" s="5">
        <v>3.6926839995950833E-3</v>
      </c>
      <c r="I3265">
        <v>1</v>
      </c>
      <c r="J3265" t="b">
        <f>AND(CCData[[#This Row],[Date]]&gt;=Calculation!$E$3,CCData[[#This Row],[Date]]&lt;Calculation!$E$3+7)</f>
        <v>0</v>
      </c>
    </row>
    <row r="3266" spans="1:10">
      <c r="A3266" t="s">
        <v>3265</v>
      </c>
      <c r="B3266" s="2">
        <v>42061.733999999997</v>
      </c>
      <c r="C3266" s="3" t="s">
        <v>5006</v>
      </c>
      <c r="D3266" t="s">
        <v>5016</v>
      </c>
      <c r="E3266" t="s">
        <v>5018</v>
      </c>
      <c r="F3266" t="s">
        <v>5018</v>
      </c>
      <c r="G3266">
        <v>124</v>
      </c>
      <c r="H3266" s="5">
        <v>3.5235368776920734E-3</v>
      </c>
      <c r="I3266">
        <v>2</v>
      </c>
      <c r="J3266" t="b">
        <f>AND(CCData[[#This Row],[Date]]&gt;=Calculation!$E$3,CCData[[#This Row],[Date]]&lt;Calculation!$E$3+7)</f>
        <v>0</v>
      </c>
    </row>
    <row r="3267" spans="1:10">
      <c r="A3267" t="s">
        <v>3266</v>
      </c>
      <c r="B3267" s="2">
        <v>42061.733999999997</v>
      </c>
      <c r="C3267" s="3" t="s">
        <v>5003</v>
      </c>
      <c r="D3267" t="s">
        <v>5012</v>
      </c>
      <c r="E3267" t="s">
        <v>5018</v>
      </c>
      <c r="F3267" t="s">
        <v>5018</v>
      </c>
      <c r="G3267">
        <v>102</v>
      </c>
      <c r="H3267" s="5">
        <v>1.6187159094993705E-3</v>
      </c>
      <c r="I3267">
        <v>4</v>
      </c>
      <c r="J3267" t="b">
        <f>AND(CCData[[#This Row],[Date]]&gt;=Calculation!$E$3,CCData[[#This Row],[Date]]&lt;Calculation!$E$3+7)</f>
        <v>0</v>
      </c>
    </row>
    <row r="3268" spans="1:10">
      <c r="A3268" t="s">
        <v>3267</v>
      </c>
      <c r="B3268" s="2">
        <v>42061.735999999997</v>
      </c>
      <c r="C3268" s="3" t="s">
        <v>5004</v>
      </c>
      <c r="D3268" t="s">
        <v>5015</v>
      </c>
      <c r="E3268" t="s">
        <v>5018</v>
      </c>
      <c r="F3268" t="s">
        <v>5018</v>
      </c>
      <c r="G3268">
        <v>27</v>
      </c>
      <c r="H3268" s="5">
        <v>4.5378107381618968E-3</v>
      </c>
      <c r="I3268">
        <v>4</v>
      </c>
      <c r="J3268" t="b">
        <f>AND(CCData[[#This Row],[Date]]&gt;=Calculation!$E$3,CCData[[#This Row],[Date]]&lt;Calculation!$E$3+7)</f>
        <v>0</v>
      </c>
    </row>
    <row r="3269" spans="1:10">
      <c r="A3269" t="s">
        <v>3268</v>
      </c>
      <c r="B3269" s="2">
        <v>42061.735999999997</v>
      </c>
      <c r="C3269" s="3" t="s">
        <v>5004</v>
      </c>
      <c r="D3269" t="s">
        <v>5015</v>
      </c>
      <c r="E3269" t="s">
        <v>5018</v>
      </c>
      <c r="F3269" t="s">
        <v>5018</v>
      </c>
      <c r="G3269">
        <v>26</v>
      </c>
      <c r="H3269" s="5">
        <v>4.0147041125195917E-3</v>
      </c>
      <c r="I3269">
        <v>4</v>
      </c>
      <c r="J3269" t="b">
        <f>AND(CCData[[#This Row],[Date]]&gt;=Calculation!$E$3,CCData[[#This Row],[Date]]&lt;Calculation!$E$3+7)</f>
        <v>0</v>
      </c>
    </row>
    <row r="3270" spans="1:10">
      <c r="A3270" t="s">
        <v>3269</v>
      </c>
      <c r="B3270" s="2">
        <v>42061.737999999998</v>
      </c>
      <c r="C3270" s="3" t="s">
        <v>5008</v>
      </c>
      <c r="D3270" t="s">
        <v>5014</v>
      </c>
      <c r="E3270" t="s">
        <v>5018</v>
      </c>
      <c r="F3270" t="s">
        <v>5018</v>
      </c>
      <c r="G3270">
        <v>42</v>
      </c>
      <c r="H3270" s="5">
        <v>9.3991374130881588E-4</v>
      </c>
      <c r="I3270">
        <v>5</v>
      </c>
      <c r="J3270" t="b">
        <f>AND(CCData[[#This Row],[Date]]&gt;=Calculation!$E$3,CCData[[#This Row],[Date]]&lt;Calculation!$E$3+7)</f>
        <v>0</v>
      </c>
    </row>
    <row r="3271" spans="1:10">
      <c r="A3271" t="s">
        <v>3270</v>
      </c>
      <c r="B3271" s="2">
        <v>42061.737999999998</v>
      </c>
      <c r="C3271" s="3" t="s">
        <v>5010</v>
      </c>
      <c r="D3271" t="s">
        <v>5013</v>
      </c>
      <c r="E3271" t="s">
        <v>5018</v>
      </c>
      <c r="F3271" t="s">
        <v>5018</v>
      </c>
      <c r="G3271">
        <v>121</v>
      </c>
      <c r="H3271" s="5">
        <v>3.0806421135978809E-3</v>
      </c>
      <c r="I3271">
        <v>4</v>
      </c>
      <c r="J3271" t="b">
        <f>AND(CCData[[#This Row],[Date]]&gt;=Calculation!$E$3,CCData[[#This Row],[Date]]&lt;Calculation!$E$3+7)</f>
        <v>0</v>
      </c>
    </row>
    <row r="3272" spans="1:10">
      <c r="A3272" t="s">
        <v>3271</v>
      </c>
      <c r="B3272" s="2">
        <v>42061.743999999999</v>
      </c>
      <c r="C3272" s="3" t="s">
        <v>5004</v>
      </c>
      <c r="D3272" t="s">
        <v>5014</v>
      </c>
      <c r="E3272" t="s">
        <v>5018</v>
      </c>
      <c r="F3272" t="s">
        <v>5018</v>
      </c>
      <c r="G3272">
        <v>91</v>
      </c>
      <c r="H3272" s="5">
        <v>4.4671734275716036E-3</v>
      </c>
      <c r="I3272">
        <v>3</v>
      </c>
      <c r="J3272" t="b">
        <f>AND(CCData[[#This Row],[Date]]&gt;=Calculation!$E$3,CCData[[#This Row],[Date]]&lt;Calculation!$E$3+7)</f>
        <v>0</v>
      </c>
    </row>
    <row r="3273" spans="1:10">
      <c r="A3273" t="s">
        <v>3272</v>
      </c>
      <c r="B3273" s="2">
        <v>42061.743999999999</v>
      </c>
      <c r="C3273" s="3" t="s">
        <v>5005</v>
      </c>
      <c r="D3273" t="s">
        <v>5013</v>
      </c>
      <c r="E3273" t="s">
        <v>5018</v>
      </c>
      <c r="F3273" t="s">
        <v>5018</v>
      </c>
      <c r="G3273">
        <v>79</v>
      </c>
      <c r="H3273" s="5">
        <v>2.748264734646697E-3</v>
      </c>
      <c r="I3273">
        <v>5</v>
      </c>
      <c r="J3273" t="b">
        <f>AND(CCData[[#This Row],[Date]]&gt;=Calculation!$E$3,CCData[[#This Row],[Date]]&lt;Calculation!$E$3+7)</f>
        <v>0</v>
      </c>
    </row>
    <row r="3274" spans="1:10">
      <c r="A3274" t="s">
        <v>3273</v>
      </c>
      <c r="B3274" s="2">
        <v>42062.383000000002</v>
      </c>
      <c r="C3274" s="3" t="s">
        <v>5005</v>
      </c>
      <c r="D3274" t="s">
        <v>5016</v>
      </c>
      <c r="E3274" t="s">
        <v>5018</v>
      </c>
      <c r="F3274" t="s">
        <v>5018</v>
      </c>
      <c r="G3274">
        <v>49</v>
      </c>
      <c r="H3274" s="5">
        <v>3.0336316067880059E-3</v>
      </c>
      <c r="I3274">
        <v>5</v>
      </c>
      <c r="J3274" t="b">
        <f>AND(CCData[[#This Row],[Date]]&gt;=Calculation!$E$3,CCData[[#This Row],[Date]]&lt;Calculation!$E$3+7)</f>
        <v>0</v>
      </c>
    </row>
    <row r="3275" spans="1:10">
      <c r="A3275" t="s">
        <v>3274</v>
      </c>
      <c r="B3275" s="2">
        <v>42062.383000000002</v>
      </c>
      <c r="C3275" s="3" t="s">
        <v>5009</v>
      </c>
      <c r="D3275" t="s">
        <v>5016</v>
      </c>
      <c r="E3275" t="s">
        <v>5019</v>
      </c>
      <c r="F3275" t="s">
        <v>5019</v>
      </c>
      <c r="G3275" t="s">
        <v>5022</v>
      </c>
      <c r="H3275" s="5" t="s">
        <v>5022</v>
      </c>
      <c r="I3275" t="s">
        <v>5022</v>
      </c>
      <c r="J3275" t="b">
        <f>AND(CCData[[#This Row],[Date]]&gt;=Calculation!$E$3,CCData[[#This Row],[Date]]&lt;Calculation!$E$3+7)</f>
        <v>0</v>
      </c>
    </row>
    <row r="3276" spans="1:10">
      <c r="A3276" t="s">
        <v>3275</v>
      </c>
      <c r="B3276" s="2">
        <v>42062.383000000002</v>
      </c>
      <c r="C3276" s="3" t="s">
        <v>5009</v>
      </c>
      <c r="D3276" t="s">
        <v>5012</v>
      </c>
      <c r="E3276" t="s">
        <v>5018</v>
      </c>
      <c r="F3276" t="s">
        <v>5019</v>
      </c>
      <c r="G3276">
        <v>44</v>
      </c>
      <c r="H3276" s="5">
        <v>3.6619897103989806E-3</v>
      </c>
      <c r="I3276">
        <v>4</v>
      </c>
      <c r="J3276" t="b">
        <f>AND(CCData[[#This Row],[Date]]&gt;=Calculation!$E$3,CCData[[#This Row],[Date]]&lt;Calculation!$E$3+7)</f>
        <v>0</v>
      </c>
    </row>
    <row r="3277" spans="1:10">
      <c r="A3277" t="s">
        <v>3276</v>
      </c>
      <c r="B3277" s="2">
        <v>42062.383000000002</v>
      </c>
      <c r="C3277" s="3" t="s">
        <v>5004</v>
      </c>
      <c r="D3277" t="s">
        <v>5012</v>
      </c>
      <c r="E3277" t="s">
        <v>5019</v>
      </c>
      <c r="F3277" t="s">
        <v>5019</v>
      </c>
      <c r="G3277" t="s">
        <v>5022</v>
      </c>
      <c r="H3277" s="5" t="s">
        <v>5022</v>
      </c>
      <c r="I3277" t="s">
        <v>5022</v>
      </c>
      <c r="J3277" t="b">
        <f>AND(CCData[[#This Row],[Date]]&gt;=Calculation!$E$3,CCData[[#This Row],[Date]]&lt;Calculation!$E$3+7)</f>
        <v>0</v>
      </c>
    </row>
    <row r="3278" spans="1:10">
      <c r="A3278" t="s">
        <v>3277</v>
      </c>
      <c r="B3278" s="2">
        <v>42062.406999999999</v>
      </c>
      <c r="C3278" s="3" t="s">
        <v>5006</v>
      </c>
      <c r="D3278" t="s">
        <v>5016</v>
      </c>
      <c r="E3278" t="s">
        <v>5019</v>
      </c>
      <c r="F3278" t="s">
        <v>5019</v>
      </c>
      <c r="G3278" t="s">
        <v>5022</v>
      </c>
      <c r="H3278" s="5" t="s">
        <v>5022</v>
      </c>
      <c r="I3278" t="s">
        <v>5022</v>
      </c>
      <c r="J3278" t="b">
        <f>AND(CCData[[#This Row],[Date]]&gt;=Calculation!$E$3,CCData[[#This Row],[Date]]&lt;Calculation!$E$3+7)</f>
        <v>0</v>
      </c>
    </row>
    <row r="3279" spans="1:10">
      <c r="A3279" t="s">
        <v>3278</v>
      </c>
      <c r="B3279" s="2">
        <v>42062.406999999999</v>
      </c>
      <c r="C3279" s="3" t="s">
        <v>5006</v>
      </c>
      <c r="D3279" t="s">
        <v>5016</v>
      </c>
      <c r="E3279" t="s">
        <v>5018</v>
      </c>
      <c r="F3279" t="s">
        <v>5018</v>
      </c>
      <c r="G3279">
        <v>47</v>
      </c>
      <c r="H3279" s="5">
        <v>4.2279831737575971E-3</v>
      </c>
      <c r="I3279">
        <v>3</v>
      </c>
      <c r="J3279" t="b">
        <f>AND(CCData[[#This Row],[Date]]&gt;=Calculation!$E$3,CCData[[#This Row],[Date]]&lt;Calculation!$E$3+7)</f>
        <v>0</v>
      </c>
    </row>
    <row r="3280" spans="1:10">
      <c r="A3280" t="s">
        <v>3279</v>
      </c>
      <c r="B3280" s="2">
        <v>42062.41</v>
      </c>
      <c r="C3280" s="3" t="s">
        <v>5006</v>
      </c>
      <c r="D3280" t="s">
        <v>5016</v>
      </c>
      <c r="E3280" t="s">
        <v>5019</v>
      </c>
      <c r="F3280" t="s">
        <v>5019</v>
      </c>
      <c r="G3280" t="s">
        <v>5022</v>
      </c>
      <c r="H3280" s="5" t="s">
        <v>5022</v>
      </c>
      <c r="I3280" t="s">
        <v>5022</v>
      </c>
      <c r="J3280" t="b">
        <f>AND(CCData[[#This Row],[Date]]&gt;=Calculation!$E$3,CCData[[#This Row],[Date]]&lt;Calculation!$E$3+7)</f>
        <v>0</v>
      </c>
    </row>
    <row r="3281" spans="1:10">
      <c r="A3281" t="s">
        <v>3280</v>
      </c>
      <c r="B3281" s="2">
        <v>42062.41</v>
      </c>
      <c r="C3281" s="3" t="s">
        <v>5003</v>
      </c>
      <c r="D3281" t="s">
        <v>5014</v>
      </c>
      <c r="E3281" t="s">
        <v>5019</v>
      </c>
      <c r="F3281" t="s">
        <v>5019</v>
      </c>
      <c r="G3281" t="s">
        <v>5022</v>
      </c>
      <c r="H3281" s="5" t="s">
        <v>5022</v>
      </c>
      <c r="I3281" t="s">
        <v>5022</v>
      </c>
      <c r="J3281" t="b">
        <f>AND(CCData[[#This Row],[Date]]&gt;=Calculation!$E$3,CCData[[#This Row],[Date]]&lt;Calculation!$E$3+7)</f>
        <v>0</v>
      </c>
    </row>
    <row r="3282" spans="1:10">
      <c r="A3282" t="s">
        <v>3281</v>
      </c>
      <c r="B3282" s="2">
        <v>42062.413999999997</v>
      </c>
      <c r="C3282" s="3" t="s">
        <v>5006</v>
      </c>
      <c r="D3282" t="s">
        <v>5013</v>
      </c>
      <c r="E3282" t="s">
        <v>5018</v>
      </c>
      <c r="F3282" t="s">
        <v>5019</v>
      </c>
      <c r="G3282">
        <v>26</v>
      </c>
      <c r="H3282" s="5">
        <v>5.8494599382654668E-4</v>
      </c>
      <c r="I3282">
        <v>5</v>
      </c>
      <c r="J3282" t="b">
        <f>AND(CCData[[#This Row],[Date]]&gt;=Calculation!$E$3,CCData[[#This Row],[Date]]&lt;Calculation!$E$3+7)</f>
        <v>0</v>
      </c>
    </row>
    <row r="3283" spans="1:10">
      <c r="A3283" t="s">
        <v>3282</v>
      </c>
      <c r="B3283" s="2">
        <v>42062.413999999997</v>
      </c>
      <c r="C3283" s="3" t="s">
        <v>5006</v>
      </c>
      <c r="D3283" t="s">
        <v>5015</v>
      </c>
      <c r="E3283" t="s">
        <v>5019</v>
      </c>
      <c r="F3283" t="s">
        <v>5019</v>
      </c>
      <c r="G3283" t="s">
        <v>5022</v>
      </c>
      <c r="H3283" s="5" t="s">
        <v>5022</v>
      </c>
      <c r="I3283" t="s">
        <v>5022</v>
      </c>
      <c r="J3283" t="b">
        <f>AND(CCData[[#This Row],[Date]]&gt;=Calculation!$E$3,CCData[[#This Row],[Date]]&lt;Calculation!$E$3+7)</f>
        <v>0</v>
      </c>
    </row>
    <row r="3284" spans="1:10">
      <c r="A3284" t="s">
        <v>3283</v>
      </c>
      <c r="B3284" s="2">
        <v>42062.428</v>
      </c>
      <c r="C3284" s="3" t="s">
        <v>5009</v>
      </c>
      <c r="D3284" t="s">
        <v>5015</v>
      </c>
      <c r="E3284" t="s">
        <v>5018</v>
      </c>
      <c r="F3284" t="s">
        <v>5018</v>
      </c>
      <c r="G3284">
        <v>50</v>
      </c>
      <c r="H3284" s="5">
        <v>1.0748210331912238E-3</v>
      </c>
      <c r="I3284">
        <v>3</v>
      </c>
      <c r="J3284" t="b">
        <f>AND(CCData[[#This Row],[Date]]&gt;=Calculation!$E$3,CCData[[#This Row],[Date]]&lt;Calculation!$E$3+7)</f>
        <v>0</v>
      </c>
    </row>
    <row r="3285" spans="1:10">
      <c r="A3285" t="s">
        <v>3284</v>
      </c>
      <c r="B3285" s="2">
        <v>42062.428</v>
      </c>
      <c r="C3285" s="3" t="s">
        <v>5005</v>
      </c>
      <c r="D3285" t="s">
        <v>5016</v>
      </c>
      <c r="E3285" t="s">
        <v>5018</v>
      </c>
      <c r="F3285" t="s">
        <v>5018</v>
      </c>
      <c r="G3285">
        <v>121</v>
      </c>
      <c r="H3285" s="5">
        <v>3.7020903365088276E-3</v>
      </c>
      <c r="I3285">
        <v>1</v>
      </c>
      <c r="J3285" t="b">
        <f>AND(CCData[[#This Row],[Date]]&gt;=Calculation!$E$3,CCData[[#This Row],[Date]]&lt;Calculation!$E$3+7)</f>
        <v>0</v>
      </c>
    </row>
    <row r="3286" spans="1:10">
      <c r="A3286" t="s">
        <v>3285</v>
      </c>
      <c r="B3286" s="2">
        <v>42062.451999999997</v>
      </c>
      <c r="C3286" s="3" t="s">
        <v>5007</v>
      </c>
      <c r="D3286" t="s">
        <v>5012</v>
      </c>
      <c r="E3286" t="s">
        <v>5018</v>
      </c>
      <c r="F3286" t="s">
        <v>5018</v>
      </c>
      <c r="G3286">
        <v>82</v>
      </c>
      <c r="H3286" s="5">
        <v>4.6864787054711164E-3</v>
      </c>
      <c r="I3286">
        <v>3</v>
      </c>
      <c r="J3286" t="b">
        <f>AND(CCData[[#This Row],[Date]]&gt;=Calculation!$E$3,CCData[[#This Row],[Date]]&lt;Calculation!$E$3+7)</f>
        <v>0</v>
      </c>
    </row>
    <row r="3287" spans="1:10">
      <c r="A3287" t="s">
        <v>3286</v>
      </c>
      <c r="B3287" s="2">
        <v>42062.451999999997</v>
      </c>
      <c r="C3287" s="3" t="s">
        <v>5003</v>
      </c>
      <c r="D3287" t="s">
        <v>5015</v>
      </c>
      <c r="E3287" t="s">
        <v>5018</v>
      </c>
      <c r="F3287" t="s">
        <v>5018</v>
      </c>
      <c r="G3287">
        <v>41</v>
      </c>
      <c r="H3287" s="5">
        <v>3.2100110017926919E-3</v>
      </c>
      <c r="I3287">
        <v>4</v>
      </c>
      <c r="J3287" t="b">
        <f>AND(CCData[[#This Row],[Date]]&gt;=Calculation!$E$3,CCData[[#This Row],[Date]]&lt;Calculation!$E$3+7)</f>
        <v>0</v>
      </c>
    </row>
    <row r="3288" spans="1:10">
      <c r="A3288" t="s">
        <v>3287</v>
      </c>
      <c r="B3288" s="2">
        <v>42062.491000000002</v>
      </c>
      <c r="C3288" s="3" t="s">
        <v>5010</v>
      </c>
      <c r="D3288" t="s">
        <v>5015</v>
      </c>
      <c r="E3288" t="s">
        <v>5018</v>
      </c>
      <c r="F3288" t="s">
        <v>5018</v>
      </c>
      <c r="G3288">
        <v>65</v>
      </c>
      <c r="H3288" s="5">
        <v>4.0673573911883696E-3</v>
      </c>
      <c r="I3288">
        <v>1</v>
      </c>
      <c r="J3288" t="b">
        <f>AND(CCData[[#This Row],[Date]]&gt;=Calculation!$E$3,CCData[[#This Row],[Date]]&lt;Calculation!$E$3+7)</f>
        <v>0</v>
      </c>
    </row>
    <row r="3289" spans="1:10">
      <c r="A3289" t="s">
        <v>3288</v>
      </c>
      <c r="B3289" s="2">
        <v>42062.491000000002</v>
      </c>
      <c r="C3289" s="3" t="s">
        <v>5010</v>
      </c>
      <c r="D3289" t="s">
        <v>5012</v>
      </c>
      <c r="E3289" t="s">
        <v>5018</v>
      </c>
      <c r="F3289" t="s">
        <v>5018</v>
      </c>
      <c r="G3289">
        <v>100</v>
      </c>
      <c r="H3289" s="5">
        <v>4.0393087765945466E-3</v>
      </c>
      <c r="I3289">
        <v>3</v>
      </c>
      <c r="J3289" t="b">
        <f>AND(CCData[[#This Row],[Date]]&gt;=Calculation!$E$3,CCData[[#This Row],[Date]]&lt;Calculation!$E$3+7)</f>
        <v>0</v>
      </c>
    </row>
    <row r="3290" spans="1:10">
      <c r="A3290" t="s">
        <v>3289</v>
      </c>
      <c r="B3290" s="2">
        <v>42062.51</v>
      </c>
      <c r="C3290" s="3" t="s">
        <v>5010</v>
      </c>
      <c r="D3290" t="s">
        <v>5016</v>
      </c>
      <c r="E3290" t="s">
        <v>5018</v>
      </c>
      <c r="F3290" t="s">
        <v>5018</v>
      </c>
      <c r="G3290">
        <v>72</v>
      </c>
      <c r="H3290" s="5">
        <v>3.4513167422495087E-3</v>
      </c>
      <c r="I3290">
        <v>2</v>
      </c>
      <c r="J3290" t="b">
        <f>AND(CCData[[#This Row],[Date]]&gt;=Calculation!$E$3,CCData[[#This Row],[Date]]&lt;Calculation!$E$3+7)</f>
        <v>0</v>
      </c>
    </row>
    <row r="3291" spans="1:10">
      <c r="A3291" t="s">
        <v>3290</v>
      </c>
      <c r="B3291" s="2">
        <v>42062.51</v>
      </c>
      <c r="C3291" s="3" t="s">
        <v>5010</v>
      </c>
      <c r="D3291" t="s">
        <v>5016</v>
      </c>
      <c r="E3291" t="s">
        <v>5018</v>
      </c>
      <c r="F3291" t="s">
        <v>5018</v>
      </c>
      <c r="G3291">
        <v>120</v>
      </c>
      <c r="H3291" s="5">
        <v>5.619029050586762E-4</v>
      </c>
      <c r="I3291">
        <v>5</v>
      </c>
      <c r="J3291" t="b">
        <f>AND(CCData[[#This Row],[Date]]&gt;=Calculation!$E$3,CCData[[#This Row],[Date]]&lt;Calculation!$E$3+7)</f>
        <v>0</v>
      </c>
    </row>
    <row r="3292" spans="1:10">
      <c r="A3292" t="s">
        <v>3291</v>
      </c>
      <c r="B3292" s="2">
        <v>42062.523999999998</v>
      </c>
      <c r="C3292" s="3" t="s">
        <v>5005</v>
      </c>
      <c r="D3292" t="s">
        <v>5012</v>
      </c>
      <c r="E3292" t="s">
        <v>5018</v>
      </c>
      <c r="F3292" t="s">
        <v>5018</v>
      </c>
      <c r="G3292">
        <v>59</v>
      </c>
      <c r="H3292" s="5">
        <v>8.4116378512716957E-4</v>
      </c>
      <c r="I3292">
        <v>3</v>
      </c>
      <c r="J3292" t="b">
        <f>AND(CCData[[#This Row],[Date]]&gt;=Calculation!$E$3,CCData[[#This Row],[Date]]&lt;Calculation!$E$3+7)</f>
        <v>0</v>
      </c>
    </row>
    <row r="3293" spans="1:10">
      <c r="A3293" t="s">
        <v>3292</v>
      </c>
      <c r="B3293" s="2">
        <v>42062.523999999998</v>
      </c>
      <c r="C3293" s="3" t="s">
        <v>5003</v>
      </c>
      <c r="D3293" t="s">
        <v>5012</v>
      </c>
      <c r="E3293" t="s">
        <v>5019</v>
      </c>
      <c r="F3293" t="s">
        <v>5019</v>
      </c>
      <c r="G3293" t="s">
        <v>5022</v>
      </c>
      <c r="H3293" s="5" t="s">
        <v>5022</v>
      </c>
      <c r="I3293" t="s">
        <v>5022</v>
      </c>
      <c r="J3293" t="b">
        <f>AND(CCData[[#This Row],[Date]]&gt;=Calculation!$E$3,CCData[[#This Row],[Date]]&lt;Calculation!$E$3+7)</f>
        <v>0</v>
      </c>
    </row>
    <row r="3294" spans="1:10">
      <c r="A3294" t="s">
        <v>3293</v>
      </c>
      <c r="B3294" s="2">
        <v>42062.531000000003</v>
      </c>
      <c r="C3294" s="3" t="s">
        <v>5007</v>
      </c>
      <c r="D3294" t="s">
        <v>5012</v>
      </c>
      <c r="E3294" t="s">
        <v>5018</v>
      </c>
      <c r="F3294" t="s">
        <v>5018</v>
      </c>
      <c r="G3294">
        <v>25</v>
      </c>
      <c r="H3294" s="5">
        <v>2.8348247298569831E-3</v>
      </c>
      <c r="I3294">
        <v>2</v>
      </c>
      <c r="J3294" t="b">
        <f>AND(CCData[[#This Row],[Date]]&gt;=Calculation!$E$3,CCData[[#This Row],[Date]]&lt;Calculation!$E$3+7)</f>
        <v>0</v>
      </c>
    </row>
    <row r="3295" spans="1:10">
      <c r="A3295" t="s">
        <v>3294</v>
      </c>
      <c r="B3295" s="2">
        <v>42062.531000000003</v>
      </c>
      <c r="C3295" s="3" t="s">
        <v>5010</v>
      </c>
      <c r="D3295" t="s">
        <v>5016</v>
      </c>
      <c r="E3295" t="s">
        <v>5018</v>
      </c>
      <c r="F3295" t="s">
        <v>5018</v>
      </c>
      <c r="G3295">
        <v>20</v>
      </c>
      <c r="H3295" s="5">
        <v>3.4228131009377068E-3</v>
      </c>
      <c r="I3295">
        <v>3</v>
      </c>
      <c r="J3295" t="b">
        <f>AND(CCData[[#This Row],[Date]]&gt;=Calculation!$E$3,CCData[[#This Row],[Date]]&lt;Calculation!$E$3+7)</f>
        <v>0</v>
      </c>
    </row>
    <row r="3296" spans="1:10">
      <c r="A3296" t="s">
        <v>3295</v>
      </c>
      <c r="B3296" s="2">
        <v>42062.538999999997</v>
      </c>
      <c r="C3296" s="3" t="s">
        <v>5010</v>
      </c>
      <c r="D3296" t="s">
        <v>5014</v>
      </c>
      <c r="E3296" t="s">
        <v>5018</v>
      </c>
      <c r="F3296" t="s">
        <v>5018</v>
      </c>
      <c r="G3296">
        <v>40</v>
      </c>
      <c r="H3296" s="5">
        <v>4.0981356849372225E-3</v>
      </c>
      <c r="I3296">
        <v>4</v>
      </c>
      <c r="J3296" t="b">
        <f>AND(CCData[[#This Row],[Date]]&gt;=Calculation!$E$3,CCData[[#This Row],[Date]]&lt;Calculation!$E$3+7)</f>
        <v>0</v>
      </c>
    </row>
    <row r="3297" spans="1:10">
      <c r="A3297" t="s">
        <v>3296</v>
      </c>
      <c r="B3297" s="2">
        <v>42062.538999999997</v>
      </c>
      <c r="C3297" s="3" t="s">
        <v>5004</v>
      </c>
      <c r="D3297" t="s">
        <v>5016</v>
      </c>
      <c r="E3297" t="s">
        <v>5018</v>
      </c>
      <c r="F3297" t="s">
        <v>5018</v>
      </c>
      <c r="G3297">
        <v>34</v>
      </c>
      <c r="H3297" s="5">
        <v>3.5965776073605183E-3</v>
      </c>
      <c r="I3297">
        <v>5</v>
      </c>
      <c r="J3297" t="b">
        <f>AND(CCData[[#This Row],[Date]]&gt;=Calculation!$E$3,CCData[[#This Row],[Date]]&lt;Calculation!$E$3+7)</f>
        <v>0</v>
      </c>
    </row>
    <row r="3298" spans="1:10">
      <c r="A3298" t="s">
        <v>3297</v>
      </c>
      <c r="B3298" s="2">
        <v>42062.546999999999</v>
      </c>
      <c r="C3298" s="3" t="s">
        <v>5009</v>
      </c>
      <c r="D3298" t="s">
        <v>5015</v>
      </c>
      <c r="E3298" t="s">
        <v>5019</v>
      </c>
      <c r="F3298" t="s">
        <v>5019</v>
      </c>
      <c r="G3298" t="s">
        <v>5022</v>
      </c>
      <c r="H3298" s="5" t="s">
        <v>5022</v>
      </c>
      <c r="I3298" t="s">
        <v>5022</v>
      </c>
      <c r="J3298" t="b">
        <f>AND(CCData[[#This Row],[Date]]&gt;=Calculation!$E$3,CCData[[#This Row],[Date]]&lt;Calculation!$E$3+7)</f>
        <v>0</v>
      </c>
    </row>
    <row r="3299" spans="1:10">
      <c r="A3299" t="s">
        <v>3298</v>
      </c>
      <c r="B3299" s="2">
        <v>42062.546999999999</v>
      </c>
      <c r="C3299" s="3" t="s">
        <v>5009</v>
      </c>
      <c r="D3299" t="s">
        <v>5012</v>
      </c>
      <c r="E3299" t="s">
        <v>5018</v>
      </c>
      <c r="F3299" t="s">
        <v>5018</v>
      </c>
      <c r="G3299">
        <v>27</v>
      </c>
      <c r="H3299" s="5">
        <v>1.5115309386063071E-3</v>
      </c>
      <c r="I3299">
        <v>5</v>
      </c>
      <c r="J3299" t="b">
        <f>AND(CCData[[#This Row],[Date]]&gt;=Calculation!$E$3,CCData[[#This Row],[Date]]&lt;Calculation!$E$3+7)</f>
        <v>0</v>
      </c>
    </row>
    <row r="3300" spans="1:10">
      <c r="A3300" t="s">
        <v>3299</v>
      </c>
      <c r="B3300" s="2">
        <v>42062.569000000003</v>
      </c>
      <c r="C3300" s="3" t="s">
        <v>5008</v>
      </c>
      <c r="D3300" t="s">
        <v>5016</v>
      </c>
      <c r="E3300" t="s">
        <v>5018</v>
      </c>
      <c r="F3300" t="s">
        <v>5018</v>
      </c>
      <c r="G3300">
        <v>103</v>
      </c>
      <c r="H3300" s="5">
        <v>3.4266212207770138E-3</v>
      </c>
      <c r="I3300">
        <v>1</v>
      </c>
      <c r="J3300" t="b">
        <f>AND(CCData[[#This Row],[Date]]&gt;=Calculation!$E$3,CCData[[#This Row],[Date]]&lt;Calculation!$E$3+7)</f>
        <v>0</v>
      </c>
    </row>
    <row r="3301" spans="1:10">
      <c r="A3301" t="s">
        <v>3300</v>
      </c>
      <c r="B3301" s="2">
        <v>42062.569000000003</v>
      </c>
      <c r="C3301" s="3" t="s">
        <v>5003</v>
      </c>
      <c r="D3301" t="s">
        <v>5015</v>
      </c>
      <c r="E3301" t="s">
        <v>5018</v>
      </c>
      <c r="F3301" t="s">
        <v>5018</v>
      </c>
      <c r="G3301">
        <v>76</v>
      </c>
      <c r="H3301" s="5">
        <v>2.2848879616623168E-3</v>
      </c>
      <c r="I3301">
        <v>4</v>
      </c>
      <c r="J3301" t="b">
        <f>AND(CCData[[#This Row],[Date]]&gt;=Calculation!$E$3,CCData[[#This Row],[Date]]&lt;Calculation!$E$3+7)</f>
        <v>0</v>
      </c>
    </row>
    <row r="3302" spans="1:10">
      <c r="A3302" t="s">
        <v>3301</v>
      </c>
      <c r="B3302" s="2">
        <v>42062.591</v>
      </c>
      <c r="C3302" s="3" t="s">
        <v>5007</v>
      </c>
      <c r="D3302" t="s">
        <v>5012</v>
      </c>
      <c r="E3302" t="s">
        <v>5019</v>
      </c>
      <c r="F3302" t="s">
        <v>5019</v>
      </c>
      <c r="G3302" t="s">
        <v>5022</v>
      </c>
      <c r="H3302" s="5" t="s">
        <v>5022</v>
      </c>
      <c r="I3302" t="s">
        <v>5022</v>
      </c>
      <c r="J3302" t="b">
        <f>AND(CCData[[#This Row],[Date]]&gt;=Calculation!$E$3,CCData[[#This Row],[Date]]&lt;Calculation!$E$3+7)</f>
        <v>0</v>
      </c>
    </row>
    <row r="3303" spans="1:10">
      <c r="A3303" t="s">
        <v>3302</v>
      </c>
      <c r="B3303" s="2">
        <v>42062.591</v>
      </c>
      <c r="C3303" s="3" t="s">
        <v>5009</v>
      </c>
      <c r="D3303" t="s">
        <v>5015</v>
      </c>
      <c r="E3303" t="s">
        <v>5018</v>
      </c>
      <c r="F3303" t="s">
        <v>5018</v>
      </c>
      <c r="G3303">
        <v>23</v>
      </c>
      <c r="H3303" s="5">
        <v>1.8805097415327922E-3</v>
      </c>
      <c r="I3303">
        <v>4</v>
      </c>
      <c r="J3303" t="b">
        <f>AND(CCData[[#This Row],[Date]]&gt;=Calculation!$E$3,CCData[[#This Row],[Date]]&lt;Calculation!$E$3+7)</f>
        <v>0</v>
      </c>
    </row>
    <row r="3304" spans="1:10">
      <c r="A3304" t="s">
        <v>3303</v>
      </c>
      <c r="B3304" s="2">
        <v>42062.61</v>
      </c>
      <c r="C3304" s="3" t="s">
        <v>5006</v>
      </c>
      <c r="D3304" t="s">
        <v>5015</v>
      </c>
      <c r="E3304" t="s">
        <v>5018</v>
      </c>
      <c r="F3304" t="s">
        <v>5018</v>
      </c>
      <c r="G3304">
        <v>94</v>
      </c>
      <c r="H3304" s="5">
        <v>4.8273000909891855E-3</v>
      </c>
      <c r="I3304">
        <v>4</v>
      </c>
      <c r="J3304" t="b">
        <f>AND(CCData[[#This Row],[Date]]&gt;=Calculation!$E$3,CCData[[#This Row],[Date]]&lt;Calculation!$E$3+7)</f>
        <v>0</v>
      </c>
    </row>
    <row r="3305" spans="1:10">
      <c r="A3305" t="s">
        <v>3304</v>
      </c>
      <c r="B3305" s="2">
        <v>42062.61</v>
      </c>
      <c r="C3305" s="3" t="s">
        <v>5010</v>
      </c>
      <c r="D3305" t="s">
        <v>5013</v>
      </c>
      <c r="E3305" t="s">
        <v>5018</v>
      </c>
      <c r="F3305" t="s">
        <v>5018</v>
      </c>
      <c r="G3305">
        <v>115</v>
      </c>
      <c r="H3305" s="5">
        <v>4.3741885528085188E-3</v>
      </c>
      <c r="I3305">
        <v>5</v>
      </c>
      <c r="J3305" t="b">
        <f>AND(CCData[[#This Row],[Date]]&gt;=Calculation!$E$3,CCData[[#This Row],[Date]]&lt;Calculation!$E$3+7)</f>
        <v>0</v>
      </c>
    </row>
    <row r="3306" spans="1:10">
      <c r="A3306" t="s">
        <v>3305</v>
      </c>
      <c r="B3306" s="2">
        <v>42062.624000000003</v>
      </c>
      <c r="C3306" s="3" t="s">
        <v>5009</v>
      </c>
      <c r="D3306" t="s">
        <v>5013</v>
      </c>
      <c r="E3306" t="s">
        <v>5018</v>
      </c>
      <c r="F3306" t="s">
        <v>5019</v>
      </c>
      <c r="G3306">
        <v>11</v>
      </c>
      <c r="H3306" s="5">
        <v>2.2033785033784203E-3</v>
      </c>
      <c r="I3306">
        <v>3</v>
      </c>
      <c r="J3306" t="b">
        <f>AND(CCData[[#This Row],[Date]]&gt;=Calculation!$E$3,CCData[[#This Row],[Date]]&lt;Calculation!$E$3+7)</f>
        <v>0</v>
      </c>
    </row>
    <row r="3307" spans="1:10">
      <c r="A3307" t="s">
        <v>3306</v>
      </c>
      <c r="B3307" s="2">
        <v>42062.624000000003</v>
      </c>
      <c r="C3307" s="3" t="s">
        <v>5003</v>
      </c>
      <c r="D3307" t="s">
        <v>5014</v>
      </c>
      <c r="E3307" t="s">
        <v>5018</v>
      </c>
      <c r="F3307" t="s">
        <v>5018</v>
      </c>
      <c r="G3307">
        <v>117</v>
      </c>
      <c r="H3307" s="5">
        <v>1.4481592672162932E-3</v>
      </c>
      <c r="I3307">
        <v>5</v>
      </c>
      <c r="J3307" t="b">
        <f>AND(CCData[[#This Row],[Date]]&gt;=Calculation!$E$3,CCData[[#This Row],[Date]]&lt;Calculation!$E$3+7)</f>
        <v>0</v>
      </c>
    </row>
    <row r="3308" spans="1:10">
      <c r="A3308" t="s">
        <v>3307</v>
      </c>
      <c r="B3308" s="2">
        <v>42062.625</v>
      </c>
      <c r="C3308" s="3" t="s">
        <v>5003</v>
      </c>
      <c r="D3308" t="s">
        <v>5012</v>
      </c>
      <c r="E3308" t="s">
        <v>5018</v>
      </c>
      <c r="F3308" t="s">
        <v>5018</v>
      </c>
      <c r="G3308">
        <v>110</v>
      </c>
      <c r="H3308" s="5">
        <v>4.5452436514756582E-3</v>
      </c>
      <c r="I3308">
        <v>5</v>
      </c>
      <c r="J3308" t="b">
        <f>AND(CCData[[#This Row],[Date]]&gt;=Calculation!$E$3,CCData[[#This Row],[Date]]&lt;Calculation!$E$3+7)</f>
        <v>0</v>
      </c>
    </row>
    <row r="3309" spans="1:10">
      <c r="A3309" t="s">
        <v>3308</v>
      </c>
      <c r="B3309" s="2">
        <v>42062.625</v>
      </c>
      <c r="C3309" s="3" t="s">
        <v>5010</v>
      </c>
      <c r="D3309" t="s">
        <v>5015</v>
      </c>
      <c r="E3309" t="s">
        <v>5018</v>
      </c>
      <c r="F3309" t="s">
        <v>5018</v>
      </c>
      <c r="G3309">
        <v>24</v>
      </c>
      <c r="H3309" s="5">
        <v>1.9336639749159329E-3</v>
      </c>
      <c r="I3309">
        <v>3</v>
      </c>
      <c r="J3309" t="b">
        <f>AND(CCData[[#This Row],[Date]]&gt;=Calculation!$E$3,CCData[[#This Row],[Date]]&lt;Calculation!$E$3+7)</f>
        <v>0</v>
      </c>
    </row>
    <row r="3310" spans="1:10">
      <c r="A3310" t="s">
        <v>3309</v>
      </c>
      <c r="B3310" s="2">
        <v>42062.631000000001</v>
      </c>
      <c r="C3310" s="3" t="s">
        <v>5007</v>
      </c>
      <c r="D3310" t="s">
        <v>5016</v>
      </c>
      <c r="E3310" t="s">
        <v>5018</v>
      </c>
      <c r="F3310" t="s">
        <v>5018</v>
      </c>
      <c r="G3310">
        <v>31</v>
      </c>
      <c r="H3310" s="5">
        <v>3.2220993230500116E-3</v>
      </c>
      <c r="I3310">
        <v>3</v>
      </c>
      <c r="J3310" t="b">
        <f>AND(CCData[[#This Row],[Date]]&gt;=Calculation!$E$3,CCData[[#This Row],[Date]]&lt;Calculation!$E$3+7)</f>
        <v>0</v>
      </c>
    </row>
    <row r="3311" spans="1:10">
      <c r="A3311" t="s">
        <v>3310</v>
      </c>
      <c r="B3311" s="2">
        <v>42062.631000000001</v>
      </c>
      <c r="C3311" s="3" t="s">
        <v>5004</v>
      </c>
      <c r="D3311" t="s">
        <v>5015</v>
      </c>
      <c r="E3311" t="s">
        <v>5018</v>
      </c>
      <c r="F3311" t="s">
        <v>5018</v>
      </c>
      <c r="G3311">
        <v>25</v>
      </c>
      <c r="H3311" s="5">
        <v>3.5440796548407822E-3</v>
      </c>
      <c r="I3311">
        <v>3</v>
      </c>
      <c r="J3311" t="b">
        <f>AND(CCData[[#This Row],[Date]]&gt;=Calculation!$E$3,CCData[[#This Row],[Date]]&lt;Calculation!$E$3+7)</f>
        <v>0</v>
      </c>
    </row>
    <row r="3312" spans="1:10">
      <c r="A3312" t="s">
        <v>3311</v>
      </c>
      <c r="B3312" s="2">
        <v>42062.642999999996</v>
      </c>
      <c r="C3312" s="3" t="s">
        <v>5005</v>
      </c>
      <c r="D3312" t="s">
        <v>5012</v>
      </c>
      <c r="E3312" t="s">
        <v>5018</v>
      </c>
      <c r="F3312" t="s">
        <v>5018</v>
      </c>
      <c r="G3312">
        <v>96</v>
      </c>
      <c r="H3312" s="5">
        <v>3.8325622669159614E-3</v>
      </c>
      <c r="I3312">
        <v>3</v>
      </c>
      <c r="J3312" t="b">
        <f>AND(CCData[[#This Row],[Date]]&gt;=Calculation!$E$3,CCData[[#This Row],[Date]]&lt;Calculation!$E$3+7)</f>
        <v>0</v>
      </c>
    </row>
    <row r="3313" spans="1:10">
      <c r="A3313" t="s">
        <v>3312</v>
      </c>
      <c r="B3313" s="2">
        <v>42062.642999999996</v>
      </c>
      <c r="C3313" s="3" t="s">
        <v>5004</v>
      </c>
      <c r="D3313" t="s">
        <v>5016</v>
      </c>
      <c r="E3313" t="s">
        <v>5018</v>
      </c>
      <c r="F3313" t="s">
        <v>5018</v>
      </c>
      <c r="G3313">
        <v>48</v>
      </c>
      <c r="H3313" s="5">
        <v>5.0654515747387407E-4</v>
      </c>
      <c r="I3313">
        <v>2</v>
      </c>
      <c r="J3313" t="b">
        <f>AND(CCData[[#This Row],[Date]]&gt;=Calculation!$E$3,CCData[[#This Row],[Date]]&lt;Calculation!$E$3+7)</f>
        <v>0</v>
      </c>
    </row>
    <row r="3314" spans="1:10">
      <c r="A3314" t="s">
        <v>3313</v>
      </c>
      <c r="B3314" s="2">
        <v>42062.667000000001</v>
      </c>
      <c r="C3314" s="3" t="s">
        <v>5010</v>
      </c>
      <c r="D3314" t="s">
        <v>5015</v>
      </c>
      <c r="E3314" t="s">
        <v>5018</v>
      </c>
      <c r="F3314" t="s">
        <v>5019</v>
      </c>
      <c r="G3314">
        <v>110</v>
      </c>
      <c r="H3314" s="5">
        <v>1.808849404468174E-3</v>
      </c>
      <c r="I3314">
        <v>5</v>
      </c>
      <c r="J3314" t="b">
        <f>AND(CCData[[#This Row],[Date]]&gt;=Calculation!$E$3,CCData[[#This Row],[Date]]&lt;Calculation!$E$3+7)</f>
        <v>0</v>
      </c>
    </row>
    <row r="3315" spans="1:10">
      <c r="A3315" t="s">
        <v>3314</v>
      </c>
      <c r="B3315" s="2">
        <v>42062.667000000001</v>
      </c>
      <c r="C3315" s="3" t="s">
        <v>5007</v>
      </c>
      <c r="D3315" t="s">
        <v>5012</v>
      </c>
      <c r="E3315" t="s">
        <v>5018</v>
      </c>
      <c r="F3315" t="s">
        <v>5019</v>
      </c>
      <c r="G3315">
        <v>19</v>
      </c>
      <c r="H3315" s="5">
        <v>3.4143183757715124E-3</v>
      </c>
      <c r="I3315">
        <v>3</v>
      </c>
      <c r="J3315" t="b">
        <f>AND(CCData[[#This Row],[Date]]&gt;=Calculation!$E$3,CCData[[#This Row],[Date]]&lt;Calculation!$E$3+7)</f>
        <v>0</v>
      </c>
    </row>
    <row r="3316" spans="1:10">
      <c r="A3316" t="s">
        <v>3315</v>
      </c>
      <c r="B3316" s="2">
        <v>42062.680999999997</v>
      </c>
      <c r="C3316" s="3" t="s">
        <v>5003</v>
      </c>
      <c r="D3316" t="s">
        <v>5015</v>
      </c>
      <c r="E3316" t="s">
        <v>5019</v>
      </c>
      <c r="F3316" t="s">
        <v>5019</v>
      </c>
      <c r="G3316" t="s">
        <v>5022</v>
      </c>
      <c r="H3316" s="5" t="s">
        <v>5022</v>
      </c>
      <c r="I3316" t="s">
        <v>5022</v>
      </c>
      <c r="J3316" t="b">
        <f>AND(CCData[[#This Row],[Date]]&gt;=Calculation!$E$3,CCData[[#This Row],[Date]]&lt;Calculation!$E$3+7)</f>
        <v>0</v>
      </c>
    </row>
    <row r="3317" spans="1:10">
      <c r="A3317" t="s">
        <v>3316</v>
      </c>
      <c r="B3317" s="2">
        <v>42062.680999999997</v>
      </c>
      <c r="C3317" s="3" t="s">
        <v>5003</v>
      </c>
      <c r="D3317" t="s">
        <v>5012</v>
      </c>
      <c r="E3317" t="s">
        <v>5018</v>
      </c>
      <c r="F3317" t="s">
        <v>5018</v>
      </c>
      <c r="G3317">
        <v>88</v>
      </c>
      <c r="H3317" s="5">
        <v>2.5539708418984459E-3</v>
      </c>
      <c r="I3317">
        <v>1</v>
      </c>
      <c r="J3317" t="b">
        <f>AND(CCData[[#This Row],[Date]]&gt;=Calculation!$E$3,CCData[[#This Row],[Date]]&lt;Calculation!$E$3+7)</f>
        <v>0</v>
      </c>
    </row>
    <row r="3318" spans="1:10">
      <c r="A3318" t="s">
        <v>3317</v>
      </c>
      <c r="B3318" s="2">
        <v>42062.692999999999</v>
      </c>
      <c r="C3318" s="3" t="s">
        <v>5007</v>
      </c>
      <c r="D3318" t="s">
        <v>5012</v>
      </c>
      <c r="E3318" t="s">
        <v>5018</v>
      </c>
      <c r="F3318" t="s">
        <v>5018</v>
      </c>
      <c r="G3318">
        <v>42</v>
      </c>
      <c r="H3318" s="5">
        <v>4.4043982076363676E-3</v>
      </c>
      <c r="I3318">
        <v>3</v>
      </c>
      <c r="J3318" t="b">
        <f>AND(CCData[[#This Row],[Date]]&gt;=Calculation!$E$3,CCData[[#This Row],[Date]]&lt;Calculation!$E$3+7)</f>
        <v>0</v>
      </c>
    </row>
    <row r="3319" spans="1:10">
      <c r="A3319" t="s">
        <v>3318</v>
      </c>
      <c r="B3319" s="2">
        <v>42062.692999999999</v>
      </c>
      <c r="C3319" s="3" t="s">
        <v>5005</v>
      </c>
      <c r="D3319" t="s">
        <v>5014</v>
      </c>
      <c r="E3319" t="s">
        <v>5018</v>
      </c>
      <c r="F3319" t="s">
        <v>5018</v>
      </c>
      <c r="G3319">
        <v>111</v>
      </c>
      <c r="H3319" s="5">
        <v>4.61588911929443E-3</v>
      </c>
      <c r="I3319">
        <v>4</v>
      </c>
      <c r="J3319" t="b">
        <f>AND(CCData[[#This Row],[Date]]&gt;=Calculation!$E$3,CCData[[#This Row],[Date]]&lt;Calculation!$E$3+7)</f>
        <v>0</v>
      </c>
    </row>
    <row r="3320" spans="1:10">
      <c r="A3320" t="s">
        <v>3319</v>
      </c>
      <c r="B3320" s="2">
        <v>42062.699000000001</v>
      </c>
      <c r="C3320" s="3" t="s">
        <v>5005</v>
      </c>
      <c r="D3320" t="s">
        <v>5013</v>
      </c>
      <c r="E3320" t="s">
        <v>5018</v>
      </c>
      <c r="F3320" t="s">
        <v>5018</v>
      </c>
      <c r="G3320">
        <v>89</v>
      </c>
      <c r="H3320" s="5">
        <v>2.6065725854554386E-3</v>
      </c>
      <c r="I3320">
        <v>5</v>
      </c>
      <c r="J3320" t="b">
        <f>AND(CCData[[#This Row],[Date]]&gt;=Calculation!$E$3,CCData[[#This Row],[Date]]&lt;Calculation!$E$3+7)</f>
        <v>0</v>
      </c>
    </row>
    <row r="3321" spans="1:10">
      <c r="A3321" t="s">
        <v>3320</v>
      </c>
      <c r="B3321" s="2">
        <v>42062.699000000001</v>
      </c>
      <c r="C3321" s="3" t="s">
        <v>5010</v>
      </c>
      <c r="D3321" t="s">
        <v>5016</v>
      </c>
      <c r="E3321" t="s">
        <v>5018</v>
      </c>
      <c r="F3321" t="s">
        <v>5018</v>
      </c>
      <c r="G3321">
        <v>32</v>
      </c>
      <c r="H3321" s="5">
        <v>3.9394103997242684E-3</v>
      </c>
      <c r="I3321">
        <v>2</v>
      </c>
      <c r="J3321" t="b">
        <f>AND(CCData[[#This Row],[Date]]&gt;=Calculation!$E$3,CCData[[#This Row],[Date]]&lt;Calculation!$E$3+7)</f>
        <v>0</v>
      </c>
    </row>
    <row r="3322" spans="1:10">
      <c r="A3322" t="s">
        <v>3321</v>
      </c>
      <c r="B3322" s="2">
        <v>42062.703000000001</v>
      </c>
      <c r="C3322" s="3" t="s">
        <v>5006</v>
      </c>
      <c r="D3322" t="s">
        <v>5013</v>
      </c>
      <c r="E3322" t="s">
        <v>5018</v>
      </c>
      <c r="F3322" t="s">
        <v>5018</v>
      </c>
      <c r="G3322">
        <v>118</v>
      </c>
      <c r="H3322" s="5">
        <v>4.1445752605403143E-3</v>
      </c>
      <c r="I3322">
        <v>3</v>
      </c>
      <c r="J3322" t="b">
        <f>AND(CCData[[#This Row],[Date]]&gt;=Calculation!$E$3,CCData[[#This Row],[Date]]&lt;Calculation!$E$3+7)</f>
        <v>0</v>
      </c>
    </row>
    <row r="3323" spans="1:10">
      <c r="A3323" t="s">
        <v>3322</v>
      </c>
      <c r="B3323" s="2">
        <v>42062.703000000001</v>
      </c>
      <c r="C3323" s="3" t="s">
        <v>5008</v>
      </c>
      <c r="D3323" t="s">
        <v>5013</v>
      </c>
      <c r="E3323" t="s">
        <v>5018</v>
      </c>
      <c r="F3323" t="s">
        <v>5018</v>
      </c>
      <c r="G3323">
        <v>21</v>
      </c>
      <c r="H3323" s="5">
        <v>5.3744218080643391E-4</v>
      </c>
      <c r="I3323">
        <v>4</v>
      </c>
      <c r="J3323" t="b">
        <f>AND(CCData[[#This Row],[Date]]&gt;=Calculation!$E$3,CCData[[#This Row],[Date]]&lt;Calculation!$E$3+7)</f>
        <v>0</v>
      </c>
    </row>
    <row r="3324" spans="1:10">
      <c r="A3324" t="s">
        <v>3323</v>
      </c>
      <c r="B3324" s="2">
        <v>42062.713000000003</v>
      </c>
      <c r="C3324" s="3" t="s">
        <v>5007</v>
      </c>
      <c r="D3324" t="s">
        <v>5012</v>
      </c>
      <c r="E3324" t="s">
        <v>5018</v>
      </c>
      <c r="F3324" t="s">
        <v>5018</v>
      </c>
      <c r="G3324">
        <v>15</v>
      </c>
      <c r="H3324" s="5">
        <v>1.1695044731384239E-3</v>
      </c>
      <c r="I3324">
        <v>2</v>
      </c>
      <c r="J3324" t="b">
        <f>AND(CCData[[#This Row],[Date]]&gt;=Calculation!$E$3,CCData[[#This Row],[Date]]&lt;Calculation!$E$3+7)</f>
        <v>0</v>
      </c>
    </row>
    <row r="3325" spans="1:10">
      <c r="A3325" t="s">
        <v>3324</v>
      </c>
      <c r="B3325" s="2">
        <v>42062.713000000003</v>
      </c>
      <c r="C3325" s="3" t="s">
        <v>5010</v>
      </c>
      <c r="D3325" t="s">
        <v>5013</v>
      </c>
      <c r="E3325" t="s">
        <v>5018</v>
      </c>
      <c r="F3325" t="s">
        <v>5018</v>
      </c>
      <c r="G3325">
        <v>87</v>
      </c>
      <c r="H3325" s="5">
        <v>1.9696153756547231E-3</v>
      </c>
      <c r="I3325">
        <v>4</v>
      </c>
      <c r="J3325" t="b">
        <f>AND(CCData[[#This Row],[Date]]&gt;=Calculation!$E$3,CCData[[#This Row],[Date]]&lt;Calculation!$E$3+7)</f>
        <v>0</v>
      </c>
    </row>
    <row r="3326" spans="1:10">
      <c r="A3326" t="s">
        <v>3325</v>
      </c>
      <c r="B3326" s="2">
        <v>42062.714999999997</v>
      </c>
      <c r="C3326" s="3" t="s">
        <v>5004</v>
      </c>
      <c r="D3326" t="s">
        <v>5015</v>
      </c>
      <c r="E3326" t="s">
        <v>5018</v>
      </c>
      <c r="F3326" t="s">
        <v>5018</v>
      </c>
      <c r="G3326">
        <v>18</v>
      </c>
      <c r="H3326" s="5">
        <v>4.3526314591391902E-3</v>
      </c>
      <c r="I3326">
        <v>1</v>
      </c>
      <c r="J3326" t="b">
        <f>AND(CCData[[#This Row],[Date]]&gt;=Calculation!$E$3,CCData[[#This Row],[Date]]&lt;Calculation!$E$3+7)</f>
        <v>0</v>
      </c>
    </row>
    <row r="3327" spans="1:10">
      <c r="A3327" t="s">
        <v>3326</v>
      </c>
      <c r="B3327" s="2">
        <v>42062.714999999997</v>
      </c>
      <c r="C3327" s="3" t="s">
        <v>5004</v>
      </c>
      <c r="D3327" t="s">
        <v>5014</v>
      </c>
      <c r="E3327" t="s">
        <v>5019</v>
      </c>
      <c r="F3327" t="s">
        <v>5019</v>
      </c>
      <c r="G3327" t="s">
        <v>5022</v>
      </c>
      <c r="H3327" s="5" t="s">
        <v>5022</v>
      </c>
      <c r="I3327" t="s">
        <v>5022</v>
      </c>
      <c r="J3327" t="b">
        <f>AND(CCData[[#This Row],[Date]]&gt;=Calculation!$E$3,CCData[[#This Row],[Date]]&lt;Calculation!$E$3+7)</f>
        <v>0</v>
      </c>
    </row>
    <row r="3328" spans="1:10">
      <c r="A3328" t="s">
        <v>3327</v>
      </c>
      <c r="B3328" s="2">
        <v>42063.38</v>
      </c>
      <c r="C3328" s="3" t="s">
        <v>5003</v>
      </c>
      <c r="D3328" t="s">
        <v>5013</v>
      </c>
      <c r="E3328" t="s">
        <v>5018</v>
      </c>
      <c r="F3328" t="s">
        <v>5018</v>
      </c>
      <c r="G3328">
        <v>15</v>
      </c>
      <c r="H3328" s="5">
        <v>2.1476500095662459E-3</v>
      </c>
      <c r="I3328">
        <v>3</v>
      </c>
      <c r="J3328" t="b">
        <f>AND(CCData[[#This Row],[Date]]&gt;=Calculation!$E$3,CCData[[#This Row],[Date]]&lt;Calculation!$E$3+7)</f>
        <v>0</v>
      </c>
    </row>
    <row r="3329" spans="1:10">
      <c r="A3329" t="s">
        <v>3328</v>
      </c>
      <c r="B3329" s="2">
        <v>42063.38</v>
      </c>
      <c r="C3329" s="3" t="s">
        <v>5003</v>
      </c>
      <c r="D3329" t="s">
        <v>5012</v>
      </c>
      <c r="E3329" t="s">
        <v>5018</v>
      </c>
      <c r="F3329" t="s">
        <v>5018</v>
      </c>
      <c r="G3329">
        <v>12</v>
      </c>
      <c r="H3329" s="5">
        <v>4.0428475199285373E-3</v>
      </c>
      <c r="I3329">
        <v>5</v>
      </c>
      <c r="J3329" t="b">
        <f>AND(CCData[[#This Row],[Date]]&gt;=Calculation!$E$3,CCData[[#This Row],[Date]]&lt;Calculation!$E$3+7)</f>
        <v>0</v>
      </c>
    </row>
    <row r="3330" spans="1:10">
      <c r="A3330" t="s">
        <v>3329</v>
      </c>
      <c r="B3330" s="2">
        <v>42063.385000000002</v>
      </c>
      <c r="C3330" s="3" t="s">
        <v>5005</v>
      </c>
      <c r="D3330" t="s">
        <v>5012</v>
      </c>
      <c r="E3330" t="s">
        <v>5019</v>
      </c>
      <c r="F3330" t="s">
        <v>5019</v>
      </c>
      <c r="G3330" t="s">
        <v>5022</v>
      </c>
      <c r="H3330" s="5" t="s">
        <v>5022</v>
      </c>
      <c r="I3330" t="s">
        <v>5022</v>
      </c>
      <c r="J3330" t="b">
        <f>AND(CCData[[#This Row],[Date]]&gt;=Calculation!$E$3,CCData[[#This Row],[Date]]&lt;Calculation!$E$3+7)</f>
        <v>0</v>
      </c>
    </row>
    <row r="3331" spans="1:10">
      <c r="A3331" t="s">
        <v>3330</v>
      </c>
      <c r="B3331" s="2">
        <v>42063.385000000002</v>
      </c>
      <c r="C3331" s="3" t="s">
        <v>5004</v>
      </c>
      <c r="D3331" t="s">
        <v>5015</v>
      </c>
      <c r="E3331" t="s">
        <v>5018</v>
      </c>
      <c r="F3331" t="s">
        <v>5018</v>
      </c>
      <c r="G3331">
        <v>84</v>
      </c>
      <c r="H3331" s="5">
        <v>1.6859068716749135E-3</v>
      </c>
      <c r="I3331">
        <v>3</v>
      </c>
      <c r="J3331" t="b">
        <f>AND(CCData[[#This Row],[Date]]&gt;=Calculation!$E$3,CCData[[#This Row],[Date]]&lt;Calculation!$E$3+7)</f>
        <v>0</v>
      </c>
    </row>
    <row r="3332" spans="1:10">
      <c r="A3332" t="s">
        <v>3331</v>
      </c>
      <c r="B3332" s="2">
        <v>42063.385999999999</v>
      </c>
      <c r="C3332" s="3" t="s">
        <v>5003</v>
      </c>
      <c r="D3332" t="s">
        <v>5012</v>
      </c>
      <c r="E3332" t="s">
        <v>5019</v>
      </c>
      <c r="F3332" t="s">
        <v>5019</v>
      </c>
      <c r="G3332" t="s">
        <v>5022</v>
      </c>
      <c r="H3332" s="5" t="s">
        <v>5022</v>
      </c>
      <c r="I3332" t="s">
        <v>5022</v>
      </c>
      <c r="J3332" t="b">
        <f>AND(CCData[[#This Row],[Date]]&gt;=Calculation!$E$3,CCData[[#This Row],[Date]]&lt;Calculation!$E$3+7)</f>
        <v>0</v>
      </c>
    </row>
    <row r="3333" spans="1:10">
      <c r="A3333" t="s">
        <v>3332</v>
      </c>
      <c r="B3333" s="2">
        <v>42063.385999999999</v>
      </c>
      <c r="C3333" s="3" t="s">
        <v>5008</v>
      </c>
      <c r="D3333" t="s">
        <v>5015</v>
      </c>
      <c r="E3333" t="s">
        <v>5019</v>
      </c>
      <c r="F3333" t="s">
        <v>5019</v>
      </c>
      <c r="G3333" t="s">
        <v>5022</v>
      </c>
      <c r="H3333" s="5" t="s">
        <v>5022</v>
      </c>
      <c r="I3333" t="s">
        <v>5022</v>
      </c>
      <c r="J3333" t="b">
        <f>AND(CCData[[#This Row],[Date]]&gt;=Calculation!$E$3,CCData[[#This Row],[Date]]&lt;Calculation!$E$3+7)</f>
        <v>0</v>
      </c>
    </row>
    <row r="3334" spans="1:10">
      <c r="A3334" t="s">
        <v>3333</v>
      </c>
      <c r="B3334" s="2">
        <v>42063.396000000001</v>
      </c>
      <c r="C3334" s="3" t="s">
        <v>5010</v>
      </c>
      <c r="D3334" t="s">
        <v>5016</v>
      </c>
      <c r="E3334" t="s">
        <v>5018</v>
      </c>
      <c r="F3334" t="s">
        <v>5018</v>
      </c>
      <c r="G3334">
        <v>55</v>
      </c>
      <c r="H3334" s="5">
        <v>2.6318025919821039E-3</v>
      </c>
      <c r="I3334">
        <v>4</v>
      </c>
      <c r="J3334" t="b">
        <f>AND(CCData[[#This Row],[Date]]&gt;=Calculation!$E$3,CCData[[#This Row],[Date]]&lt;Calculation!$E$3+7)</f>
        <v>0</v>
      </c>
    </row>
    <row r="3335" spans="1:10">
      <c r="A3335" t="s">
        <v>3334</v>
      </c>
      <c r="B3335" s="2">
        <v>42063.396000000001</v>
      </c>
      <c r="C3335" s="3" t="s">
        <v>5007</v>
      </c>
      <c r="D3335" t="s">
        <v>5016</v>
      </c>
      <c r="E3335" t="s">
        <v>5019</v>
      </c>
      <c r="F3335" t="s">
        <v>5019</v>
      </c>
      <c r="G3335" t="s">
        <v>5022</v>
      </c>
      <c r="H3335" s="5" t="s">
        <v>5022</v>
      </c>
      <c r="I3335" t="s">
        <v>5022</v>
      </c>
      <c r="J3335" t="b">
        <f>AND(CCData[[#This Row],[Date]]&gt;=Calculation!$E$3,CCData[[#This Row],[Date]]&lt;Calculation!$E$3+7)</f>
        <v>0</v>
      </c>
    </row>
    <row r="3336" spans="1:10">
      <c r="A3336" t="s">
        <v>3335</v>
      </c>
      <c r="B3336" s="2">
        <v>42063.421999999999</v>
      </c>
      <c r="C3336" s="3" t="s">
        <v>5009</v>
      </c>
      <c r="D3336" t="s">
        <v>5013</v>
      </c>
      <c r="E3336" t="s">
        <v>5018</v>
      </c>
      <c r="F3336" t="s">
        <v>5018</v>
      </c>
      <c r="G3336">
        <v>63</v>
      </c>
      <c r="H3336" s="5">
        <v>2.4283134120710887E-3</v>
      </c>
      <c r="I3336">
        <v>5</v>
      </c>
      <c r="J3336" t="b">
        <f>AND(CCData[[#This Row],[Date]]&gt;=Calculation!$E$3,CCData[[#This Row],[Date]]&lt;Calculation!$E$3+7)</f>
        <v>0</v>
      </c>
    </row>
    <row r="3337" spans="1:10">
      <c r="A3337" t="s">
        <v>3336</v>
      </c>
      <c r="B3337" s="2">
        <v>42063.421999999999</v>
      </c>
      <c r="C3337" s="3" t="s">
        <v>5010</v>
      </c>
      <c r="D3337" t="s">
        <v>5014</v>
      </c>
      <c r="E3337" t="s">
        <v>5019</v>
      </c>
      <c r="F3337" t="s">
        <v>5019</v>
      </c>
      <c r="G3337" t="s">
        <v>5022</v>
      </c>
      <c r="H3337" s="5" t="s">
        <v>5022</v>
      </c>
      <c r="I3337" t="s">
        <v>5022</v>
      </c>
      <c r="J3337" t="b">
        <f>AND(CCData[[#This Row],[Date]]&gt;=Calculation!$E$3,CCData[[#This Row],[Date]]&lt;Calculation!$E$3+7)</f>
        <v>0</v>
      </c>
    </row>
    <row r="3338" spans="1:10">
      <c r="A3338" t="s">
        <v>3337</v>
      </c>
      <c r="B3338" s="2">
        <v>42063.436000000002</v>
      </c>
      <c r="C3338" s="3" t="s">
        <v>5008</v>
      </c>
      <c r="D3338" t="s">
        <v>5016</v>
      </c>
      <c r="E3338" t="s">
        <v>5018</v>
      </c>
      <c r="F3338" t="s">
        <v>5018</v>
      </c>
      <c r="G3338">
        <v>121</v>
      </c>
      <c r="H3338" s="5">
        <v>2.4212834086461887E-3</v>
      </c>
      <c r="I3338">
        <v>3</v>
      </c>
      <c r="J3338" t="b">
        <f>AND(CCData[[#This Row],[Date]]&gt;=Calculation!$E$3,CCData[[#This Row],[Date]]&lt;Calculation!$E$3+7)</f>
        <v>0</v>
      </c>
    </row>
    <row r="3339" spans="1:10">
      <c r="A3339" t="s">
        <v>3338</v>
      </c>
      <c r="B3339" s="2">
        <v>42063.436000000002</v>
      </c>
      <c r="C3339" s="3" t="s">
        <v>5008</v>
      </c>
      <c r="D3339" t="s">
        <v>5015</v>
      </c>
      <c r="E3339" t="s">
        <v>5018</v>
      </c>
      <c r="F3339" t="s">
        <v>5018</v>
      </c>
      <c r="G3339">
        <v>53</v>
      </c>
      <c r="H3339" s="5">
        <v>4.2318279513395805E-3</v>
      </c>
      <c r="I3339">
        <v>4</v>
      </c>
      <c r="J3339" t="b">
        <f>AND(CCData[[#This Row],[Date]]&gt;=Calculation!$E$3,CCData[[#This Row],[Date]]&lt;Calculation!$E$3+7)</f>
        <v>0</v>
      </c>
    </row>
    <row r="3340" spans="1:10">
      <c r="A3340" t="s">
        <v>3339</v>
      </c>
      <c r="B3340" s="2">
        <v>42063.44</v>
      </c>
      <c r="C3340" s="3" t="s">
        <v>5006</v>
      </c>
      <c r="D3340" t="s">
        <v>5016</v>
      </c>
      <c r="E3340" t="s">
        <v>5018</v>
      </c>
      <c r="F3340" t="s">
        <v>5018</v>
      </c>
      <c r="G3340">
        <v>102</v>
      </c>
      <c r="H3340" s="5">
        <v>3.9941778466781754E-4</v>
      </c>
      <c r="I3340">
        <v>3</v>
      </c>
      <c r="J3340" t="b">
        <f>AND(CCData[[#This Row],[Date]]&gt;=Calculation!$E$3,CCData[[#This Row],[Date]]&lt;Calculation!$E$3+7)</f>
        <v>0</v>
      </c>
    </row>
    <row r="3341" spans="1:10">
      <c r="A3341" t="s">
        <v>3340</v>
      </c>
      <c r="B3341" s="2">
        <v>42063.44</v>
      </c>
      <c r="C3341" s="3" t="s">
        <v>5008</v>
      </c>
      <c r="D3341" t="s">
        <v>5012</v>
      </c>
      <c r="E3341" t="s">
        <v>5018</v>
      </c>
      <c r="F3341" t="s">
        <v>5018</v>
      </c>
      <c r="G3341">
        <v>92</v>
      </c>
      <c r="H3341" s="5">
        <v>4.3086503314334786E-3</v>
      </c>
      <c r="I3341">
        <v>2</v>
      </c>
      <c r="J3341" t="b">
        <f>AND(CCData[[#This Row],[Date]]&gt;=Calculation!$E$3,CCData[[#This Row],[Date]]&lt;Calculation!$E$3+7)</f>
        <v>0</v>
      </c>
    </row>
    <row r="3342" spans="1:10">
      <c r="A3342" t="s">
        <v>3341</v>
      </c>
      <c r="B3342" s="2">
        <v>42063.459000000003</v>
      </c>
      <c r="C3342" s="3" t="s">
        <v>5009</v>
      </c>
      <c r="D3342" t="s">
        <v>5012</v>
      </c>
      <c r="E3342" t="s">
        <v>5018</v>
      </c>
      <c r="F3342" t="s">
        <v>5018</v>
      </c>
      <c r="G3342">
        <v>32</v>
      </c>
      <c r="H3342" s="5">
        <v>5.367665938063712E-4</v>
      </c>
      <c r="I3342">
        <v>5</v>
      </c>
      <c r="J3342" t="b">
        <f>AND(CCData[[#This Row],[Date]]&gt;=Calculation!$E$3,CCData[[#This Row],[Date]]&lt;Calculation!$E$3+7)</f>
        <v>0</v>
      </c>
    </row>
    <row r="3343" spans="1:10">
      <c r="A3343" t="s">
        <v>3342</v>
      </c>
      <c r="B3343" s="2">
        <v>42063.459000000003</v>
      </c>
      <c r="C3343" s="3" t="s">
        <v>5005</v>
      </c>
      <c r="D3343" t="s">
        <v>5015</v>
      </c>
      <c r="E3343" t="s">
        <v>5018</v>
      </c>
      <c r="F3343" t="s">
        <v>5018</v>
      </c>
      <c r="G3343">
        <v>107</v>
      </c>
      <c r="H3343" s="5">
        <v>3.300596409524007E-3</v>
      </c>
      <c r="I3343">
        <v>5</v>
      </c>
      <c r="J3343" t="b">
        <f>AND(CCData[[#This Row],[Date]]&gt;=Calculation!$E$3,CCData[[#This Row],[Date]]&lt;Calculation!$E$3+7)</f>
        <v>0</v>
      </c>
    </row>
    <row r="3344" spans="1:10">
      <c r="A3344" t="s">
        <v>3343</v>
      </c>
      <c r="B3344" s="2">
        <v>42063.459000000003</v>
      </c>
      <c r="C3344" s="3" t="s">
        <v>5003</v>
      </c>
      <c r="D3344" t="s">
        <v>5015</v>
      </c>
      <c r="E3344" t="s">
        <v>5018</v>
      </c>
      <c r="F3344" t="s">
        <v>5018</v>
      </c>
      <c r="G3344">
        <v>106</v>
      </c>
      <c r="H3344" s="5">
        <v>3.3528554231583916E-3</v>
      </c>
      <c r="I3344">
        <v>1</v>
      </c>
      <c r="J3344" t="b">
        <f>AND(CCData[[#This Row],[Date]]&gt;=Calculation!$E$3,CCData[[#This Row],[Date]]&lt;Calculation!$E$3+7)</f>
        <v>0</v>
      </c>
    </row>
    <row r="3345" spans="1:10">
      <c r="A3345" t="s">
        <v>3344</v>
      </c>
      <c r="B3345" s="2">
        <v>42063.459000000003</v>
      </c>
      <c r="C3345" s="3" t="s">
        <v>5007</v>
      </c>
      <c r="D3345" t="s">
        <v>5012</v>
      </c>
      <c r="E3345" t="s">
        <v>5018</v>
      </c>
      <c r="F3345" t="s">
        <v>5018</v>
      </c>
      <c r="G3345">
        <v>114</v>
      </c>
      <c r="H3345" s="5">
        <v>2.3007186450796652E-3</v>
      </c>
      <c r="I3345">
        <v>5</v>
      </c>
      <c r="J3345" t="b">
        <f>AND(CCData[[#This Row],[Date]]&gt;=Calculation!$E$3,CCData[[#This Row],[Date]]&lt;Calculation!$E$3+7)</f>
        <v>0</v>
      </c>
    </row>
    <row r="3346" spans="1:10">
      <c r="A3346" t="s">
        <v>3345</v>
      </c>
      <c r="B3346" s="2">
        <v>42063.466999999997</v>
      </c>
      <c r="C3346" s="3" t="s">
        <v>5003</v>
      </c>
      <c r="D3346" t="s">
        <v>5014</v>
      </c>
      <c r="E3346" t="s">
        <v>5018</v>
      </c>
      <c r="F3346" t="s">
        <v>5019</v>
      </c>
      <c r="G3346">
        <v>62</v>
      </c>
      <c r="H3346" s="5">
        <v>1.5396832543479225E-3</v>
      </c>
      <c r="I3346">
        <v>5</v>
      </c>
      <c r="J3346" t="b">
        <f>AND(CCData[[#This Row],[Date]]&gt;=Calculation!$E$3,CCData[[#This Row],[Date]]&lt;Calculation!$E$3+7)</f>
        <v>0</v>
      </c>
    </row>
    <row r="3347" spans="1:10">
      <c r="A3347" t="s">
        <v>3346</v>
      </c>
      <c r="B3347" s="2">
        <v>42063.466999999997</v>
      </c>
      <c r="C3347" s="3" t="s">
        <v>5010</v>
      </c>
      <c r="D3347" t="s">
        <v>5014</v>
      </c>
      <c r="E3347" t="s">
        <v>5018</v>
      </c>
      <c r="F3347" t="s">
        <v>5018</v>
      </c>
      <c r="G3347">
        <v>37</v>
      </c>
      <c r="H3347" s="5">
        <v>2.8956177817544095E-3</v>
      </c>
      <c r="I3347">
        <v>5</v>
      </c>
      <c r="J3347" t="b">
        <f>AND(CCData[[#This Row],[Date]]&gt;=Calculation!$E$3,CCData[[#This Row],[Date]]&lt;Calculation!$E$3+7)</f>
        <v>0</v>
      </c>
    </row>
    <row r="3348" spans="1:10">
      <c r="A3348" t="s">
        <v>3347</v>
      </c>
      <c r="B3348" s="2">
        <v>42063.476999999999</v>
      </c>
      <c r="C3348" s="3" t="s">
        <v>5004</v>
      </c>
      <c r="D3348" t="s">
        <v>5012</v>
      </c>
      <c r="E3348" t="s">
        <v>5018</v>
      </c>
      <c r="F3348" t="s">
        <v>5019</v>
      </c>
      <c r="G3348">
        <v>116</v>
      </c>
      <c r="H3348" s="5">
        <v>4.1733585285831055E-3</v>
      </c>
      <c r="I3348">
        <v>4</v>
      </c>
      <c r="J3348" t="b">
        <f>AND(CCData[[#This Row],[Date]]&gt;=Calculation!$E$3,CCData[[#This Row],[Date]]&lt;Calculation!$E$3+7)</f>
        <v>0</v>
      </c>
    </row>
    <row r="3349" spans="1:10">
      <c r="A3349" t="s">
        <v>3348</v>
      </c>
      <c r="B3349" s="2">
        <v>42063.476999999999</v>
      </c>
      <c r="C3349" s="3" t="s">
        <v>5004</v>
      </c>
      <c r="D3349" t="s">
        <v>5014</v>
      </c>
      <c r="E3349" t="s">
        <v>5018</v>
      </c>
      <c r="F3349" t="s">
        <v>5018</v>
      </c>
      <c r="G3349">
        <v>89</v>
      </c>
      <c r="H3349" s="5">
        <v>1.5432680694288698E-3</v>
      </c>
      <c r="I3349">
        <v>4</v>
      </c>
      <c r="J3349" t="b">
        <f>AND(CCData[[#This Row],[Date]]&gt;=Calculation!$E$3,CCData[[#This Row],[Date]]&lt;Calculation!$E$3+7)</f>
        <v>0</v>
      </c>
    </row>
    <row r="3350" spans="1:10">
      <c r="A3350" t="s">
        <v>3349</v>
      </c>
      <c r="B3350" s="2">
        <v>42063.482000000004</v>
      </c>
      <c r="C3350" s="3" t="s">
        <v>5007</v>
      </c>
      <c r="D3350" t="s">
        <v>5012</v>
      </c>
      <c r="E3350" t="s">
        <v>5018</v>
      </c>
      <c r="F3350" t="s">
        <v>5018</v>
      </c>
      <c r="G3350">
        <v>37</v>
      </c>
      <c r="H3350" s="5">
        <v>3.3017442807583655E-3</v>
      </c>
      <c r="I3350">
        <v>4</v>
      </c>
      <c r="J3350" t="b">
        <f>AND(CCData[[#This Row],[Date]]&gt;=Calculation!$E$3,CCData[[#This Row],[Date]]&lt;Calculation!$E$3+7)</f>
        <v>0</v>
      </c>
    </row>
    <row r="3351" spans="1:10">
      <c r="A3351" t="s">
        <v>3350</v>
      </c>
      <c r="B3351" s="2">
        <v>42063.482000000004</v>
      </c>
      <c r="C3351" s="3" t="s">
        <v>5007</v>
      </c>
      <c r="D3351" t="s">
        <v>5012</v>
      </c>
      <c r="E3351" t="s">
        <v>5018</v>
      </c>
      <c r="F3351" t="s">
        <v>5018</v>
      </c>
      <c r="G3351">
        <v>120</v>
      </c>
      <c r="H3351" s="5">
        <v>3.8079264097598715E-3</v>
      </c>
      <c r="I3351">
        <v>3</v>
      </c>
      <c r="J3351" t="b">
        <f>AND(CCData[[#This Row],[Date]]&gt;=Calculation!$E$3,CCData[[#This Row],[Date]]&lt;Calculation!$E$3+7)</f>
        <v>0</v>
      </c>
    </row>
    <row r="3352" spans="1:10">
      <c r="A3352" t="s">
        <v>3351</v>
      </c>
      <c r="B3352" s="2">
        <v>42063.482000000004</v>
      </c>
      <c r="C3352" s="3" t="s">
        <v>5010</v>
      </c>
      <c r="D3352" t="s">
        <v>5012</v>
      </c>
      <c r="E3352" t="s">
        <v>5018</v>
      </c>
      <c r="F3352" t="s">
        <v>5018</v>
      </c>
      <c r="G3352">
        <v>46</v>
      </c>
      <c r="H3352" s="5">
        <v>3.9686460491225482E-3</v>
      </c>
      <c r="I3352">
        <v>1</v>
      </c>
      <c r="J3352" t="b">
        <f>AND(CCData[[#This Row],[Date]]&gt;=Calculation!$E$3,CCData[[#This Row],[Date]]&lt;Calculation!$E$3+7)</f>
        <v>0</v>
      </c>
    </row>
    <row r="3353" spans="1:10">
      <c r="A3353" t="s">
        <v>3352</v>
      </c>
      <c r="B3353" s="2">
        <v>42063.482000000004</v>
      </c>
      <c r="C3353" s="3" t="s">
        <v>5004</v>
      </c>
      <c r="D3353" t="s">
        <v>5016</v>
      </c>
      <c r="E3353" t="s">
        <v>5018</v>
      </c>
      <c r="F3353" t="s">
        <v>5018</v>
      </c>
      <c r="G3353">
        <v>70</v>
      </c>
      <c r="H3353" s="5">
        <v>6.9578689818529035E-4</v>
      </c>
      <c r="I3353">
        <v>4</v>
      </c>
      <c r="J3353" t="b">
        <f>AND(CCData[[#This Row],[Date]]&gt;=Calculation!$E$3,CCData[[#This Row],[Date]]&lt;Calculation!$E$3+7)</f>
        <v>0</v>
      </c>
    </row>
    <row r="3354" spans="1:10">
      <c r="A3354" t="s">
        <v>3353</v>
      </c>
      <c r="B3354" s="2">
        <v>42063.487999999998</v>
      </c>
      <c r="C3354" s="3" t="s">
        <v>5003</v>
      </c>
      <c r="D3354" t="s">
        <v>5013</v>
      </c>
      <c r="E3354" t="s">
        <v>5018</v>
      </c>
      <c r="F3354" t="s">
        <v>5018</v>
      </c>
      <c r="G3354">
        <v>21</v>
      </c>
      <c r="H3354" s="5">
        <v>1.5367336513063519E-3</v>
      </c>
      <c r="I3354">
        <v>4</v>
      </c>
      <c r="J3354" t="b">
        <f>AND(CCData[[#This Row],[Date]]&gt;=Calculation!$E$3,CCData[[#This Row],[Date]]&lt;Calculation!$E$3+7)</f>
        <v>0</v>
      </c>
    </row>
    <row r="3355" spans="1:10">
      <c r="A3355" t="s">
        <v>3354</v>
      </c>
      <c r="B3355" s="2">
        <v>42063.487999999998</v>
      </c>
      <c r="C3355" s="3" t="s">
        <v>5008</v>
      </c>
      <c r="D3355" t="s">
        <v>5015</v>
      </c>
      <c r="E3355" t="s">
        <v>5018</v>
      </c>
      <c r="F3355" t="s">
        <v>5018</v>
      </c>
      <c r="G3355">
        <v>86</v>
      </c>
      <c r="H3355" s="5">
        <v>5.9423825116770065E-4</v>
      </c>
      <c r="I3355">
        <v>4</v>
      </c>
      <c r="J3355" t="b">
        <f>AND(CCData[[#This Row],[Date]]&gt;=Calculation!$E$3,CCData[[#This Row],[Date]]&lt;Calculation!$E$3+7)</f>
        <v>0</v>
      </c>
    </row>
    <row r="3356" spans="1:10">
      <c r="A3356" t="s">
        <v>3355</v>
      </c>
      <c r="B3356" s="2">
        <v>42063.527999999998</v>
      </c>
      <c r="C3356" s="3" t="s">
        <v>5004</v>
      </c>
      <c r="D3356" t="s">
        <v>5016</v>
      </c>
      <c r="E3356" t="s">
        <v>5018</v>
      </c>
      <c r="F3356" t="s">
        <v>5019</v>
      </c>
      <c r="G3356">
        <v>54</v>
      </c>
      <c r="H3356" s="5">
        <v>3.8242979185406168E-3</v>
      </c>
      <c r="I3356">
        <v>2</v>
      </c>
      <c r="J3356" t="b">
        <f>AND(CCData[[#This Row],[Date]]&gt;=Calculation!$E$3,CCData[[#This Row],[Date]]&lt;Calculation!$E$3+7)</f>
        <v>0</v>
      </c>
    </row>
    <row r="3357" spans="1:10">
      <c r="A3357" t="s">
        <v>3356</v>
      </c>
      <c r="B3357" s="2">
        <v>42063.527999999998</v>
      </c>
      <c r="C3357" s="3" t="s">
        <v>5009</v>
      </c>
      <c r="D3357" t="s">
        <v>5015</v>
      </c>
      <c r="E3357" t="s">
        <v>5018</v>
      </c>
      <c r="F3357" t="s">
        <v>5018</v>
      </c>
      <c r="G3357">
        <v>117</v>
      </c>
      <c r="H3357" s="5">
        <v>3.9264459635967282E-3</v>
      </c>
      <c r="I3357">
        <v>4</v>
      </c>
      <c r="J3357" t="b">
        <f>AND(CCData[[#This Row],[Date]]&gt;=Calculation!$E$3,CCData[[#This Row],[Date]]&lt;Calculation!$E$3+7)</f>
        <v>0</v>
      </c>
    </row>
    <row r="3358" spans="1:10">
      <c r="A3358" t="s">
        <v>3357</v>
      </c>
      <c r="B3358" s="2">
        <v>42063.527999999998</v>
      </c>
      <c r="C3358" s="3" t="s">
        <v>5006</v>
      </c>
      <c r="D3358" t="s">
        <v>5015</v>
      </c>
      <c r="E3358" t="s">
        <v>5019</v>
      </c>
      <c r="F3358" t="s">
        <v>5019</v>
      </c>
      <c r="G3358" t="s">
        <v>5022</v>
      </c>
      <c r="H3358" s="5" t="s">
        <v>5022</v>
      </c>
      <c r="I3358" t="s">
        <v>5022</v>
      </c>
      <c r="J3358" t="b">
        <f>AND(CCData[[#This Row],[Date]]&gt;=Calculation!$E$3,CCData[[#This Row],[Date]]&lt;Calculation!$E$3+7)</f>
        <v>0</v>
      </c>
    </row>
    <row r="3359" spans="1:10">
      <c r="A3359" t="s">
        <v>3358</v>
      </c>
      <c r="B3359" s="2">
        <v>42063.527999999998</v>
      </c>
      <c r="C3359" s="3" t="s">
        <v>5004</v>
      </c>
      <c r="D3359" t="s">
        <v>5016</v>
      </c>
      <c r="E3359" t="s">
        <v>5018</v>
      </c>
      <c r="F3359" t="s">
        <v>5018</v>
      </c>
      <c r="G3359">
        <v>101</v>
      </c>
      <c r="H3359" s="5">
        <v>3.5379921588133368E-3</v>
      </c>
      <c r="I3359">
        <v>1</v>
      </c>
      <c r="J3359" t="b">
        <f>AND(CCData[[#This Row],[Date]]&gt;=Calculation!$E$3,CCData[[#This Row],[Date]]&lt;Calculation!$E$3+7)</f>
        <v>0</v>
      </c>
    </row>
    <row r="3360" spans="1:10">
      <c r="A3360" t="s">
        <v>3359</v>
      </c>
      <c r="B3360" s="2">
        <v>42063.548000000003</v>
      </c>
      <c r="C3360" s="3" t="s">
        <v>5009</v>
      </c>
      <c r="D3360" t="s">
        <v>5014</v>
      </c>
      <c r="E3360" t="s">
        <v>5018</v>
      </c>
      <c r="F3360" t="s">
        <v>5018</v>
      </c>
      <c r="G3360">
        <v>52</v>
      </c>
      <c r="H3360" s="5">
        <v>1.2393166116522109E-3</v>
      </c>
      <c r="I3360">
        <v>2</v>
      </c>
      <c r="J3360" t="b">
        <f>AND(CCData[[#This Row],[Date]]&gt;=Calculation!$E$3,CCData[[#This Row],[Date]]&lt;Calculation!$E$3+7)</f>
        <v>0</v>
      </c>
    </row>
    <row r="3361" spans="1:10">
      <c r="A3361" t="s">
        <v>3360</v>
      </c>
      <c r="B3361" s="2">
        <v>42063.548000000003</v>
      </c>
      <c r="C3361" s="3" t="s">
        <v>5010</v>
      </c>
      <c r="D3361" t="s">
        <v>5013</v>
      </c>
      <c r="E3361" t="s">
        <v>5018</v>
      </c>
      <c r="F3361" t="s">
        <v>5018</v>
      </c>
      <c r="G3361">
        <v>65</v>
      </c>
      <c r="H3361" s="5">
        <v>1.5650316291671417E-3</v>
      </c>
      <c r="I3361">
        <v>5</v>
      </c>
      <c r="J3361" t="b">
        <f>AND(CCData[[#This Row],[Date]]&gt;=Calculation!$E$3,CCData[[#This Row],[Date]]&lt;Calculation!$E$3+7)</f>
        <v>0</v>
      </c>
    </row>
    <row r="3362" spans="1:10">
      <c r="A3362" t="s">
        <v>3361</v>
      </c>
      <c r="B3362" s="2">
        <v>42063.552000000003</v>
      </c>
      <c r="C3362" s="3" t="s">
        <v>5006</v>
      </c>
      <c r="D3362" t="s">
        <v>5014</v>
      </c>
      <c r="E3362" t="s">
        <v>5018</v>
      </c>
      <c r="F3362" t="s">
        <v>5018</v>
      </c>
      <c r="G3362">
        <v>84</v>
      </c>
      <c r="H3362" s="5">
        <v>3.5728308603336953E-3</v>
      </c>
      <c r="I3362">
        <v>5</v>
      </c>
      <c r="J3362" t="b">
        <f>AND(CCData[[#This Row],[Date]]&gt;=Calculation!$E$3,CCData[[#This Row],[Date]]&lt;Calculation!$E$3+7)</f>
        <v>0</v>
      </c>
    </row>
    <row r="3363" spans="1:10">
      <c r="A3363" t="s">
        <v>3362</v>
      </c>
      <c r="B3363" s="2">
        <v>42063.552000000003</v>
      </c>
      <c r="C3363" s="3" t="s">
        <v>5008</v>
      </c>
      <c r="D3363" t="s">
        <v>5013</v>
      </c>
      <c r="E3363" t="s">
        <v>5018</v>
      </c>
      <c r="F3363" t="s">
        <v>5019</v>
      </c>
      <c r="G3363">
        <v>115</v>
      </c>
      <c r="H3363" s="5">
        <v>4.5193814394210632E-3</v>
      </c>
      <c r="I3363">
        <v>2</v>
      </c>
      <c r="J3363" t="b">
        <f>AND(CCData[[#This Row],[Date]]&gt;=Calculation!$E$3,CCData[[#This Row],[Date]]&lt;Calculation!$E$3+7)</f>
        <v>0</v>
      </c>
    </row>
    <row r="3364" spans="1:10">
      <c r="A3364" t="s">
        <v>3363</v>
      </c>
      <c r="B3364" s="2">
        <v>42063.555999999997</v>
      </c>
      <c r="C3364" s="3" t="s">
        <v>5004</v>
      </c>
      <c r="D3364" t="s">
        <v>5012</v>
      </c>
      <c r="E3364" t="s">
        <v>5019</v>
      </c>
      <c r="F3364" t="s">
        <v>5019</v>
      </c>
      <c r="G3364" t="s">
        <v>5022</v>
      </c>
      <c r="H3364" s="5" t="s">
        <v>5022</v>
      </c>
      <c r="I3364" t="s">
        <v>5022</v>
      </c>
      <c r="J3364" t="b">
        <f>AND(CCData[[#This Row],[Date]]&gt;=Calculation!$E$3,CCData[[#This Row],[Date]]&lt;Calculation!$E$3+7)</f>
        <v>0</v>
      </c>
    </row>
    <row r="3365" spans="1:10">
      <c r="A3365" t="s">
        <v>3364</v>
      </c>
      <c r="B3365" s="2">
        <v>42063.555999999997</v>
      </c>
      <c r="C3365" s="3" t="s">
        <v>5003</v>
      </c>
      <c r="D3365" t="s">
        <v>5015</v>
      </c>
      <c r="E3365" t="s">
        <v>5018</v>
      </c>
      <c r="F3365" t="s">
        <v>5018</v>
      </c>
      <c r="G3365">
        <v>22</v>
      </c>
      <c r="H3365" s="5">
        <v>2.3861186584002527E-3</v>
      </c>
      <c r="I3365">
        <v>4</v>
      </c>
      <c r="J3365" t="b">
        <f>AND(CCData[[#This Row],[Date]]&gt;=Calculation!$E$3,CCData[[#This Row],[Date]]&lt;Calculation!$E$3+7)</f>
        <v>0</v>
      </c>
    </row>
    <row r="3366" spans="1:10">
      <c r="A3366" t="s">
        <v>3365</v>
      </c>
      <c r="B3366" s="2">
        <v>42063.557999999997</v>
      </c>
      <c r="C3366" s="3" t="s">
        <v>5006</v>
      </c>
      <c r="D3366" t="s">
        <v>5015</v>
      </c>
      <c r="E3366" t="s">
        <v>5018</v>
      </c>
      <c r="F3366" t="s">
        <v>5018</v>
      </c>
      <c r="G3366">
        <v>45</v>
      </c>
      <c r="H3366" s="5">
        <v>4.8034499495217139E-4</v>
      </c>
      <c r="I3366">
        <v>4</v>
      </c>
      <c r="J3366" t="b">
        <f>AND(CCData[[#This Row],[Date]]&gt;=Calculation!$E$3,CCData[[#This Row],[Date]]&lt;Calculation!$E$3+7)</f>
        <v>0</v>
      </c>
    </row>
    <row r="3367" spans="1:10">
      <c r="A3367" t="s">
        <v>3366</v>
      </c>
      <c r="B3367" s="2">
        <v>42063.557999999997</v>
      </c>
      <c r="C3367" s="3" t="s">
        <v>5007</v>
      </c>
      <c r="D3367" t="s">
        <v>5015</v>
      </c>
      <c r="E3367" t="s">
        <v>5019</v>
      </c>
      <c r="F3367" t="s">
        <v>5019</v>
      </c>
      <c r="G3367" t="s">
        <v>5022</v>
      </c>
      <c r="H3367" s="5" t="s">
        <v>5022</v>
      </c>
      <c r="I3367" t="s">
        <v>5022</v>
      </c>
      <c r="J3367" t="b">
        <f>AND(CCData[[#This Row],[Date]]&gt;=Calculation!$E$3,CCData[[#This Row],[Date]]&lt;Calculation!$E$3+7)</f>
        <v>0</v>
      </c>
    </row>
    <row r="3368" spans="1:10">
      <c r="A3368" t="s">
        <v>3367</v>
      </c>
      <c r="B3368" s="2">
        <v>42063.57</v>
      </c>
      <c r="C3368" s="3" t="s">
        <v>5003</v>
      </c>
      <c r="D3368" t="s">
        <v>5012</v>
      </c>
      <c r="E3368" t="s">
        <v>5019</v>
      </c>
      <c r="F3368" t="s">
        <v>5019</v>
      </c>
      <c r="G3368" t="s">
        <v>5022</v>
      </c>
      <c r="H3368" s="5" t="s">
        <v>5022</v>
      </c>
      <c r="I3368" t="s">
        <v>5022</v>
      </c>
      <c r="J3368" t="b">
        <f>AND(CCData[[#This Row],[Date]]&gt;=Calculation!$E$3,CCData[[#This Row],[Date]]&lt;Calculation!$E$3+7)</f>
        <v>0</v>
      </c>
    </row>
    <row r="3369" spans="1:10">
      <c r="A3369" t="s">
        <v>3368</v>
      </c>
      <c r="B3369" s="2">
        <v>42063.57</v>
      </c>
      <c r="C3369" s="3" t="s">
        <v>5006</v>
      </c>
      <c r="D3369" t="s">
        <v>5012</v>
      </c>
      <c r="E3369" t="s">
        <v>5018</v>
      </c>
      <c r="F3369" t="s">
        <v>5018</v>
      </c>
      <c r="G3369">
        <v>23</v>
      </c>
      <c r="H3369" s="5">
        <v>3.4466862414154389E-3</v>
      </c>
      <c r="I3369">
        <v>5</v>
      </c>
      <c r="J3369" t="b">
        <f>AND(CCData[[#This Row],[Date]]&gt;=Calculation!$E$3,CCData[[#This Row],[Date]]&lt;Calculation!$E$3+7)</f>
        <v>0</v>
      </c>
    </row>
    <row r="3370" spans="1:10">
      <c r="A3370" t="s">
        <v>3369</v>
      </c>
      <c r="B3370" s="2">
        <v>42063.586000000003</v>
      </c>
      <c r="C3370" s="3" t="s">
        <v>5006</v>
      </c>
      <c r="D3370" t="s">
        <v>5013</v>
      </c>
      <c r="E3370" t="s">
        <v>5018</v>
      </c>
      <c r="F3370" t="s">
        <v>5018</v>
      </c>
      <c r="G3370">
        <v>45</v>
      </c>
      <c r="H3370" s="5">
        <v>1.7294837980370498E-3</v>
      </c>
      <c r="I3370">
        <v>3</v>
      </c>
      <c r="J3370" t="b">
        <f>AND(CCData[[#This Row],[Date]]&gt;=Calculation!$E$3,CCData[[#This Row],[Date]]&lt;Calculation!$E$3+7)</f>
        <v>0</v>
      </c>
    </row>
    <row r="3371" spans="1:10">
      <c r="A3371" t="s">
        <v>3370</v>
      </c>
      <c r="B3371" s="2">
        <v>42063.586000000003</v>
      </c>
      <c r="C3371" s="3" t="s">
        <v>5007</v>
      </c>
      <c r="D3371" t="s">
        <v>5012</v>
      </c>
      <c r="E3371" t="s">
        <v>5019</v>
      </c>
      <c r="F3371" t="s">
        <v>5019</v>
      </c>
      <c r="G3371" t="s">
        <v>5022</v>
      </c>
      <c r="H3371" s="5" t="s">
        <v>5022</v>
      </c>
      <c r="I3371" t="s">
        <v>5022</v>
      </c>
      <c r="J3371" t="b">
        <f>AND(CCData[[#This Row],[Date]]&gt;=Calculation!$E$3,CCData[[#This Row],[Date]]&lt;Calculation!$E$3+7)</f>
        <v>0</v>
      </c>
    </row>
    <row r="3372" spans="1:10">
      <c r="A3372" t="s">
        <v>3371</v>
      </c>
      <c r="B3372" s="2">
        <v>42063.616999999998</v>
      </c>
      <c r="C3372" s="3" t="s">
        <v>5003</v>
      </c>
      <c r="D3372" t="s">
        <v>5012</v>
      </c>
      <c r="E3372" t="s">
        <v>5018</v>
      </c>
      <c r="F3372" t="s">
        <v>5018</v>
      </c>
      <c r="G3372">
        <v>53</v>
      </c>
      <c r="H3372" s="5">
        <v>5.4626579371723125E-4</v>
      </c>
      <c r="I3372">
        <v>4</v>
      </c>
      <c r="J3372" t="b">
        <f>AND(CCData[[#This Row],[Date]]&gt;=Calculation!$E$3,CCData[[#This Row],[Date]]&lt;Calculation!$E$3+7)</f>
        <v>0</v>
      </c>
    </row>
    <row r="3373" spans="1:10">
      <c r="A3373" t="s">
        <v>3372</v>
      </c>
      <c r="B3373" s="2">
        <v>42063.616999999998</v>
      </c>
      <c r="C3373" s="3" t="s">
        <v>5006</v>
      </c>
      <c r="D3373" t="s">
        <v>5012</v>
      </c>
      <c r="E3373" t="s">
        <v>5018</v>
      </c>
      <c r="F3373" t="s">
        <v>5018</v>
      </c>
      <c r="G3373">
        <v>76</v>
      </c>
      <c r="H3373" s="5">
        <v>3.5327549006232018E-3</v>
      </c>
      <c r="I3373">
        <v>4</v>
      </c>
      <c r="J3373" t="b">
        <f>AND(CCData[[#This Row],[Date]]&gt;=Calculation!$E$3,CCData[[#This Row],[Date]]&lt;Calculation!$E$3+7)</f>
        <v>0</v>
      </c>
    </row>
    <row r="3374" spans="1:10">
      <c r="A3374" t="s">
        <v>3373</v>
      </c>
      <c r="B3374" s="2">
        <v>42063.62</v>
      </c>
      <c r="C3374" s="3" t="s">
        <v>5003</v>
      </c>
      <c r="D3374" t="s">
        <v>5015</v>
      </c>
      <c r="E3374" t="s">
        <v>5018</v>
      </c>
      <c r="F3374" t="s">
        <v>5018</v>
      </c>
      <c r="G3374">
        <v>62</v>
      </c>
      <c r="H3374" s="5">
        <v>2.0577826952966299E-3</v>
      </c>
      <c r="I3374">
        <v>3</v>
      </c>
      <c r="J3374" t="b">
        <f>AND(CCData[[#This Row],[Date]]&gt;=Calculation!$E$3,CCData[[#This Row],[Date]]&lt;Calculation!$E$3+7)</f>
        <v>0</v>
      </c>
    </row>
    <row r="3375" spans="1:10">
      <c r="A3375" t="s">
        <v>3374</v>
      </c>
      <c r="B3375" s="2">
        <v>42063.62</v>
      </c>
      <c r="C3375" s="3" t="s">
        <v>5009</v>
      </c>
      <c r="D3375" t="s">
        <v>5016</v>
      </c>
      <c r="E3375" t="s">
        <v>5018</v>
      </c>
      <c r="F3375" t="s">
        <v>5019</v>
      </c>
      <c r="G3375">
        <v>104</v>
      </c>
      <c r="H3375" s="5">
        <v>1.8686342830675834E-3</v>
      </c>
      <c r="I3375">
        <v>3</v>
      </c>
      <c r="J3375" t="b">
        <f>AND(CCData[[#This Row],[Date]]&gt;=Calculation!$E$3,CCData[[#This Row],[Date]]&lt;Calculation!$E$3+7)</f>
        <v>0</v>
      </c>
    </row>
    <row r="3376" spans="1:10">
      <c r="A3376" t="s">
        <v>3375</v>
      </c>
      <c r="B3376" s="2">
        <v>42063.64</v>
      </c>
      <c r="C3376" s="3" t="s">
        <v>5009</v>
      </c>
      <c r="D3376" t="s">
        <v>5015</v>
      </c>
      <c r="E3376" t="s">
        <v>5019</v>
      </c>
      <c r="F3376" t="s">
        <v>5019</v>
      </c>
      <c r="G3376" t="s">
        <v>5022</v>
      </c>
      <c r="H3376" s="5" t="s">
        <v>5022</v>
      </c>
      <c r="I3376" t="s">
        <v>5022</v>
      </c>
      <c r="J3376" t="b">
        <f>AND(CCData[[#This Row],[Date]]&gt;=Calculation!$E$3,CCData[[#This Row],[Date]]&lt;Calculation!$E$3+7)</f>
        <v>0</v>
      </c>
    </row>
    <row r="3377" spans="1:10">
      <c r="A3377" t="s">
        <v>3376</v>
      </c>
      <c r="B3377" s="2">
        <v>42063.64</v>
      </c>
      <c r="C3377" s="3" t="s">
        <v>5009</v>
      </c>
      <c r="D3377" t="s">
        <v>5012</v>
      </c>
      <c r="E3377" t="s">
        <v>5018</v>
      </c>
      <c r="F3377" t="s">
        <v>5018</v>
      </c>
      <c r="G3377">
        <v>72</v>
      </c>
      <c r="H3377" s="5">
        <v>4.3355965985568149E-3</v>
      </c>
      <c r="I3377">
        <v>1</v>
      </c>
      <c r="J3377" t="b">
        <f>AND(CCData[[#This Row],[Date]]&gt;=Calculation!$E$3,CCData[[#This Row],[Date]]&lt;Calculation!$E$3+7)</f>
        <v>0</v>
      </c>
    </row>
    <row r="3378" spans="1:10">
      <c r="A3378" t="s">
        <v>3377</v>
      </c>
      <c r="B3378" s="2">
        <v>42063.642999999996</v>
      </c>
      <c r="C3378" s="3" t="s">
        <v>5008</v>
      </c>
      <c r="D3378" t="s">
        <v>5013</v>
      </c>
      <c r="E3378" t="s">
        <v>5019</v>
      </c>
      <c r="F3378" t="s">
        <v>5019</v>
      </c>
      <c r="G3378" t="s">
        <v>5022</v>
      </c>
      <c r="H3378" s="5" t="s">
        <v>5022</v>
      </c>
      <c r="I3378" t="s">
        <v>5022</v>
      </c>
      <c r="J3378" t="b">
        <f>AND(CCData[[#This Row],[Date]]&gt;=Calculation!$E$3,CCData[[#This Row],[Date]]&lt;Calculation!$E$3+7)</f>
        <v>0</v>
      </c>
    </row>
    <row r="3379" spans="1:10">
      <c r="A3379" t="s">
        <v>3378</v>
      </c>
      <c r="B3379" s="2">
        <v>42063.642999999996</v>
      </c>
      <c r="C3379" s="3" t="s">
        <v>5006</v>
      </c>
      <c r="D3379" t="s">
        <v>5015</v>
      </c>
      <c r="E3379" t="s">
        <v>5018</v>
      </c>
      <c r="F3379" t="s">
        <v>5018</v>
      </c>
      <c r="G3379">
        <v>74</v>
      </c>
      <c r="H3379" s="5">
        <v>4.4021832602422805E-3</v>
      </c>
      <c r="I3379">
        <v>4</v>
      </c>
      <c r="J3379" t="b">
        <f>AND(CCData[[#This Row],[Date]]&gt;=Calculation!$E$3,CCData[[#This Row],[Date]]&lt;Calculation!$E$3+7)</f>
        <v>0</v>
      </c>
    </row>
    <row r="3380" spans="1:10">
      <c r="A3380" t="s">
        <v>3379</v>
      </c>
      <c r="B3380" s="2">
        <v>42063.671000000002</v>
      </c>
      <c r="C3380" s="3" t="s">
        <v>5008</v>
      </c>
      <c r="D3380" t="s">
        <v>5014</v>
      </c>
      <c r="E3380" t="s">
        <v>5018</v>
      </c>
      <c r="F3380" t="s">
        <v>5018</v>
      </c>
      <c r="G3380">
        <v>64</v>
      </c>
      <c r="H3380" s="5">
        <v>5.7056701494577987E-4</v>
      </c>
      <c r="I3380">
        <v>4</v>
      </c>
      <c r="J3380" t="b">
        <f>AND(CCData[[#This Row],[Date]]&gt;=Calculation!$E$3,CCData[[#This Row],[Date]]&lt;Calculation!$E$3+7)</f>
        <v>0</v>
      </c>
    </row>
    <row r="3381" spans="1:10">
      <c r="A3381" t="s">
        <v>3380</v>
      </c>
      <c r="B3381" s="2">
        <v>42063.671000000002</v>
      </c>
      <c r="C3381" s="3" t="s">
        <v>5003</v>
      </c>
      <c r="D3381" t="s">
        <v>5016</v>
      </c>
      <c r="E3381" t="s">
        <v>5018</v>
      </c>
      <c r="F3381" t="s">
        <v>5018</v>
      </c>
      <c r="G3381">
        <v>44</v>
      </c>
      <c r="H3381" s="5">
        <v>2.1818626338675918E-3</v>
      </c>
      <c r="I3381">
        <v>4</v>
      </c>
      <c r="J3381" t="b">
        <f>AND(CCData[[#This Row],[Date]]&gt;=Calculation!$E$3,CCData[[#This Row],[Date]]&lt;Calculation!$E$3+7)</f>
        <v>0</v>
      </c>
    </row>
    <row r="3382" spans="1:10">
      <c r="A3382" t="s">
        <v>3381</v>
      </c>
      <c r="B3382" s="2">
        <v>42063.671999999999</v>
      </c>
      <c r="C3382" s="3" t="s">
        <v>5005</v>
      </c>
      <c r="D3382" t="s">
        <v>5013</v>
      </c>
      <c r="E3382" t="s">
        <v>5018</v>
      </c>
      <c r="F3382" t="s">
        <v>5018</v>
      </c>
      <c r="G3382">
        <v>50</v>
      </c>
      <c r="H3382" s="5">
        <v>3.6105583443010094E-3</v>
      </c>
      <c r="I3382">
        <v>4</v>
      </c>
      <c r="J3382" t="b">
        <f>AND(CCData[[#This Row],[Date]]&gt;=Calculation!$E$3,CCData[[#This Row],[Date]]&lt;Calculation!$E$3+7)</f>
        <v>0</v>
      </c>
    </row>
    <row r="3383" spans="1:10">
      <c r="A3383" t="s">
        <v>3382</v>
      </c>
      <c r="B3383" s="2">
        <v>42063.671999999999</v>
      </c>
      <c r="C3383" s="3" t="s">
        <v>5010</v>
      </c>
      <c r="D3383" t="s">
        <v>5013</v>
      </c>
      <c r="E3383" t="s">
        <v>5018</v>
      </c>
      <c r="F3383" t="s">
        <v>5018</v>
      </c>
      <c r="G3383">
        <v>73</v>
      </c>
      <c r="H3383" s="5">
        <v>2.7259277920545989E-3</v>
      </c>
      <c r="I3383">
        <v>3</v>
      </c>
      <c r="J3383" t="b">
        <f>AND(CCData[[#This Row],[Date]]&gt;=Calculation!$E$3,CCData[[#This Row],[Date]]&lt;Calculation!$E$3+7)</f>
        <v>0</v>
      </c>
    </row>
    <row r="3384" spans="1:10">
      <c r="A3384" t="s">
        <v>3383</v>
      </c>
      <c r="B3384" s="2">
        <v>42063.701999999997</v>
      </c>
      <c r="C3384" s="3" t="s">
        <v>5008</v>
      </c>
      <c r="D3384" t="s">
        <v>5013</v>
      </c>
      <c r="E3384" t="s">
        <v>5018</v>
      </c>
      <c r="F3384" t="s">
        <v>5018</v>
      </c>
      <c r="G3384">
        <v>34</v>
      </c>
      <c r="H3384" s="5">
        <v>2.3708801611960072E-3</v>
      </c>
      <c r="I3384">
        <v>1</v>
      </c>
      <c r="J3384" t="b">
        <f>AND(CCData[[#This Row],[Date]]&gt;=Calculation!$E$3,CCData[[#This Row],[Date]]&lt;Calculation!$E$3+7)</f>
        <v>0</v>
      </c>
    </row>
    <row r="3385" spans="1:10">
      <c r="A3385" t="s">
        <v>3384</v>
      </c>
      <c r="B3385" s="2">
        <v>42063.701999999997</v>
      </c>
      <c r="C3385" s="3" t="s">
        <v>5010</v>
      </c>
      <c r="D3385" t="s">
        <v>5014</v>
      </c>
      <c r="E3385" t="s">
        <v>5018</v>
      </c>
      <c r="F3385" t="s">
        <v>5018</v>
      </c>
      <c r="G3385">
        <v>118</v>
      </c>
      <c r="H3385" s="5">
        <v>4.5292952419686361E-3</v>
      </c>
      <c r="I3385">
        <v>3</v>
      </c>
      <c r="J3385" t="b">
        <f>AND(CCData[[#This Row],[Date]]&gt;=Calculation!$E$3,CCData[[#This Row],[Date]]&lt;Calculation!$E$3+7)</f>
        <v>0</v>
      </c>
    </row>
    <row r="3386" spans="1:10">
      <c r="A3386" t="s">
        <v>3385</v>
      </c>
      <c r="B3386" s="2">
        <v>42063.731</v>
      </c>
      <c r="C3386" s="3" t="s">
        <v>5004</v>
      </c>
      <c r="D3386" t="s">
        <v>5015</v>
      </c>
      <c r="E3386" t="s">
        <v>5018</v>
      </c>
      <c r="F3386" t="s">
        <v>5018</v>
      </c>
      <c r="G3386">
        <v>44</v>
      </c>
      <c r="H3386" s="5">
        <v>4.7417580280116464E-3</v>
      </c>
      <c r="I3386">
        <v>3</v>
      </c>
      <c r="J3386" t="b">
        <f>AND(CCData[[#This Row],[Date]]&gt;=Calculation!$E$3,CCData[[#This Row],[Date]]&lt;Calculation!$E$3+7)</f>
        <v>0</v>
      </c>
    </row>
    <row r="3387" spans="1:10">
      <c r="A3387" t="s">
        <v>3386</v>
      </c>
      <c r="B3387" s="2">
        <v>42063.731</v>
      </c>
      <c r="C3387" s="3" t="s">
        <v>5006</v>
      </c>
      <c r="D3387" t="s">
        <v>5012</v>
      </c>
      <c r="E3387" t="s">
        <v>5018</v>
      </c>
      <c r="F3387" t="s">
        <v>5018</v>
      </c>
      <c r="G3387">
        <v>38</v>
      </c>
      <c r="H3387" s="5">
        <v>1.1117123635262403E-3</v>
      </c>
      <c r="I3387">
        <v>3</v>
      </c>
      <c r="J3387" t="b">
        <f>AND(CCData[[#This Row],[Date]]&gt;=Calculation!$E$3,CCData[[#This Row],[Date]]&lt;Calculation!$E$3+7)</f>
        <v>0</v>
      </c>
    </row>
    <row r="3388" spans="1:10">
      <c r="A3388" t="s">
        <v>3387</v>
      </c>
      <c r="B3388" s="2">
        <v>42063.75</v>
      </c>
      <c r="C3388" s="3" t="s">
        <v>5007</v>
      </c>
      <c r="D3388" t="s">
        <v>5016</v>
      </c>
      <c r="E3388" t="s">
        <v>5018</v>
      </c>
      <c r="F3388" t="s">
        <v>5018</v>
      </c>
      <c r="G3388">
        <v>56</v>
      </c>
      <c r="H3388" s="5">
        <v>1.781978319514833E-3</v>
      </c>
      <c r="I3388">
        <v>4</v>
      </c>
      <c r="J3388" t="b">
        <f>AND(CCData[[#This Row],[Date]]&gt;=Calculation!$E$3,CCData[[#This Row],[Date]]&lt;Calculation!$E$3+7)</f>
        <v>0</v>
      </c>
    </row>
    <row r="3389" spans="1:10">
      <c r="A3389" t="s">
        <v>3388</v>
      </c>
      <c r="B3389" s="2">
        <v>42063.75</v>
      </c>
      <c r="C3389" s="3" t="s">
        <v>5008</v>
      </c>
      <c r="D3389" t="s">
        <v>5013</v>
      </c>
      <c r="E3389" t="s">
        <v>5018</v>
      </c>
      <c r="F3389" t="s">
        <v>5018</v>
      </c>
      <c r="G3389">
        <v>79</v>
      </c>
      <c r="H3389" s="5">
        <v>4.3911612660328799E-3</v>
      </c>
      <c r="I3389">
        <v>4</v>
      </c>
      <c r="J3389" t="b">
        <f>AND(CCData[[#This Row],[Date]]&gt;=Calculation!$E$3,CCData[[#This Row],[Date]]&lt;Calculation!$E$3+7)</f>
        <v>0</v>
      </c>
    </row>
    <row r="3390" spans="1:10">
      <c r="A3390" t="s">
        <v>3389</v>
      </c>
      <c r="B3390" s="2">
        <v>42064.38</v>
      </c>
      <c r="C3390" s="3" t="s">
        <v>5005</v>
      </c>
      <c r="D3390" t="s">
        <v>5014</v>
      </c>
      <c r="E3390" t="s">
        <v>5018</v>
      </c>
      <c r="F3390" t="s">
        <v>5018</v>
      </c>
      <c r="G3390">
        <v>111</v>
      </c>
      <c r="H3390" s="5">
        <v>3.1427404089019967E-3</v>
      </c>
      <c r="I3390">
        <v>5</v>
      </c>
      <c r="J3390" t="b">
        <f>AND(CCData[[#This Row],[Date]]&gt;=Calculation!$E$3,CCData[[#This Row],[Date]]&lt;Calculation!$E$3+7)</f>
        <v>0</v>
      </c>
    </row>
    <row r="3391" spans="1:10">
      <c r="A3391" t="s">
        <v>3390</v>
      </c>
      <c r="B3391" s="2">
        <v>42064.38</v>
      </c>
      <c r="C3391" s="3" t="s">
        <v>5008</v>
      </c>
      <c r="D3391" t="s">
        <v>5012</v>
      </c>
      <c r="E3391" t="s">
        <v>5018</v>
      </c>
      <c r="F3391" t="s">
        <v>5019</v>
      </c>
      <c r="G3391">
        <v>62</v>
      </c>
      <c r="H3391" s="5">
        <v>3.5667827685034459E-3</v>
      </c>
      <c r="I3391">
        <v>5</v>
      </c>
      <c r="J3391" t="b">
        <f>AND(CCData[[#This Row],[Date]]&gt;=Calculation!$E$3,CCData[[#This Row],[Date]]&lt;Calculation!$E$3+7)</f>
        <v>0</v>
      </c>
    </row>
    <row r="3392" spans="1:10">
      <c r="A3392" t="s">
        <v>3391</v>
      </c>
      <c r="B3392" s="2">
        <v>42064.385999999999</v>
      </c>
      <c r="C3392" s="3" t="s">
        <v>5009</v>
      </c>
      <c r="D3392" t="s">
        <v>5016</v>
      </c>
      <c r="E3392" t="s">
        <v>5018</v>
      </c>
      <c r="F3392" t="s">
        <v>5018</v>
      </c>
      <c r="G3392">
        <v>112</v>
      </c>
      <c r="H3392" s="5">
        <v>3.0066577502920171E-3</v>
      </c>
      <c r="I3392">
        <v>1</v>
      </c>
      <c r="J3392" t="b">
        <f>AND(CCData[[#This Row],[Date]]&gt;=Calculation!$E$3,CCData[[#This Row],[Date]]&lt;Calculation!$E$3+7)</f>
        <v>0</v>
      </c>
    </row>
    <row r="3393" spans="1:10">
      <c r="A3393" t="s">
        <v>3392</v>
      </c>
      <c r="B3393" s="2">
        <v>42064.385999999999</v>
      </c>
      <c r="C3393" s="3" t="s">
        <v>5010</v>
      </c>
      <c r="D3393" t="s">
        <v>5015</v>
      </c>
      <c r="E3393" t="s">
        <v>5018</v>
      </c>
      <c r="F3393" t="s">
        <v>5018</v>
      </c>
      <c r="G3393">
        <v>55</v>
      </c>
      <c r="H3393" s="5">
        <v>3.8297388123174118E-3</v>
      </c>
      <c r="I3393">
        <v>4</v>
      </c>
      <c r="J3393" t="b">
        <f>AND(CCData[[#This Row],[Date]]&gt;=Calculation!$E$3,CCData[[#This Row],[Date]]&lt;Calculation!$E$3+7)</f>
        <v>0</v>
      </c>
    </row>
    <row r="3394" spans="1:10">
      <c r="A3394" t="s">
        <v>3393</v>
      </c>
      <c r="B3394" s="2">
        <v>42064.398000000001</v>
      </c>
      <c r="C3394" s="3" t="s">
        <v>5007</v>
      </c>
      <c r="D3394" t="s">
        <v>5015</v>
      </c>
      <c r="E3394" t="s">
        <v>5018</v>
      </c>
      <c r="F3394" t="s">
        <v>5018</v>
      </c>
      <c r="G3394">
        <v>107</v>
      </c>
      <c r="H3394" s="5">
        <v>2.607641976233917E-3</v>
      </c>
      <c r="I3394">
        <v>5</v>
      </c>
      <c r="J3394" t="b">
        <f>AND(CCData[[#This Row],[Date]]&gt;=Calculation!$E$3,CCData[[#This Row],[Date]]&lt;Calculation!$E$3+7)</f>
        <v>0</v>
      </c>
    </row>
    <row r="3395" spans="1:10">
      <c r="A3395" t="s">
        <v>3394</v>
      </c>
      <c r="B3395" s="2">
        <v>42064.398000000001</v>
      </c>
      <c r="C3395" s="3" t="s">
        <v>5009</v>
      </c>
      <c r="D3395" t="s">
        <v>5015</v>
      </c>
      <c r="E3395" t="s">
        <v>5019</v>
      </c>
      <c r="F3395" t="s">
        <v>5019</v>
      </c>
      <c r="G3395" t="s">
        <v>5022</v>
      </c>
      <c r="H3395" s="5" t="s">
        <v>5022</v>
      </c>
      <c r="I3395" t="s">
        <v>5022</v>
      </c>
      <c r="J3395" t="b">
        <f>AND(CCData[[#This Row],[Date]]&gt;=Calculation!$E$3,CCData[[#This Row],[Date]]&lt;Calculation!$E$3+7)</f>
        <v>0</v>
      </c>
    </row>
    <row r="3396" spans="1:10">
      <c r="A3396" t="s">
        <v>3395</v>
      </c>
      <c r="B3396" s="2">
        <v>42064.415000000001</v>
      </c>
      <c r="C3396" s="3" t="s">
        <v>5003</v>
      </c>
      <c r="D3396" t="s">
        <v>5013</v>
      </c>
      <c r="E3396" t="s">
        <v>5019</v>
      </c>
      <c r="F3396" t="s">
        <v>5019</v>
      </c>
      <c r="G3396" t="s">
        <v>5022</v>
      </c>
      <c r="H3396" s="5" t="s">
        <v>5022</v>
      </c>
      <c r="I3396" t="s">
        <v>5022</v>
      </c>
      <c r="J3396" t="b">
        <f>AND(CCData[[#This Row],[Date]]&gt;=Calculation!$E$3,CCData[[#This Row],[Date]]&lt;Calculation!$E$3+7)</f>
        <v>0</v>
      </c>
    </row>
    <row r="3397" spans="1:10">
      <c r="A3397" t="s">
        <v>3396</v>
      </c>
      <c r="B3397" s="2">
        <v>42064.415000000001</v>
      </c>
      <c r="C3397" s="3" t="s">
        <v>5004</v>
      </c>
      <c r="D3397" t="s">
        <v>5015</v>
      </c>
      <c r="E3397" t="s">
        <v>5018</v>
      </c>
      <c r="F3397" t="s">
        <v>5018</v>
      </c>
      <c r="G3397">
        <v>81</v>
      </c>
      <c r="H3397" s="5">
        <v>4.0399416526112611E-3</v>
      </c>
      <c r="I3397">
        <v>4</v>
      </c>
      <c r="J3397" t="b">
        <f>AND(CCData[[#This Row],[Date]]&gt;=Calculation!$E$3,CCData[[#This Row],[Date]]&lt;Calculation!$E$3+7)</f>
        <v>0</v>
      </c>
    </row>
    <row r="3398" spans="1:10">
      <c r="A3398" t="s">
        <v>3397</v>
      </c>
      <c r="B3398" s="2">
        <v>42064.417999999998</v>
      </c>
      <c r="C3398" s="3" t="s">
        <v>5008</v>
      </c>
      <c r="D3398" t="s">
        <v>5016</v>
      </c>
      <c r="E3398" t="s">
        <v>5018</v>
      </c>
      <c r="F3398" t="s">
        <v>5019</v>
      </c>
      <c r="G3398">
        <v>120</v>
      </c>
      <c r="H3398" s="5">
        <v>1.7454944354695571E-3</v>
      </c>
      <c r="I3398">
        <v>4</v>
      </c>
      <c r="J3398" t="b">
        <f>AND(CCData[[#This Row],[Date]]&gt;=Calculation!$E$3,CCData[[#This Row],[Date]]&lt;Calculation!$E$3+7)</f>
        <v>0</v>
      </c>
    </row>
    <row r="3399" spans="1:10">
      <c r="A3399" t="s">
        <v>3398</v>
      </c>
      <c r="B3399" s="2">
        <v>42064.417999999998</v>
      </c>
      <c r="C3399" s="3" t="s">
        <v>5003</v>
      </c>
      <c r="D3399" t="s">
        <v>5015</v>
      </c>
      <c r="E3399" t="s">
        <v>5019</v>
      </c>
      <c r="F3399" t="s">
        <v>5019</v>
      </c>
      <c r="G3399" t="s">
        <v>5022</v>
      </c>
      <c r="H3399" s="5" t="s">
        <v>5022</v>
      </c>
      <c r="I3399" t="s">
        <v>5022</v>
      </c>
      <c r="J3399" t="b">
        <f>AND(CCData[[#This Row],[Date]]&gt;=Calculation!$E$3,CCData[[#This Row],[Date]]&lt;Calculation!$E$3+7)</f>
        <v>0</v>
      </c>
    </row>
    <row r="3400" spans="1:10">
      <c r="A3400" t="s">
        <v>3399</v>
      </c>
      <c r="B3400" s="2">
        <v>42064.44</v>
      </c>
      <c r="C3400" s="3" t="s">
        <v>5004</v>
      </c>
      <c r="D3400" t="s">
        <v>5012</v>
      </c>
      <c r="E3400" t="s">
        <v>5019</v>
      </c>
      <c r="F3400" t="s">
        <v>5019</v>
      </c>
      <c r="G3400" t="s">
        <v>5022</v>
      </c>
      <c r="H3400" s="5" t="s">
        <v>5022</v>
      </c>
      <c r="I3400" t="s">
        <v>5022</v>
      </c>
      <c r="J3400" t="b">
        <f>AND(CCData[[#This Row],[Date]]&gt;=Calculation!$E$3,CCData[[#This Row],[Date]]&lt;Calculation!$E$3+7)</f>
        <v>0</v>
      </c>
    </row>
    <row r="3401" spans="1:10">
      <c r="A3401" t="s">
        <v>3400</v>
      </c>
      <c r="B3401" s="2">
        <v>42064.44</v>
      </c>
      <c r="C3401" s="3" t="s">
        <v>5007</v>
      </c>
      <c r="D3401" t="s">
        <v>5013</v>
      </c>
      <c r="E3401" t="s">
        <v>5018</v>
      </c>
      <c r="F3401" t="s">
        <v>5018</v>
      </c>
      <c r="G3401">
        <v>68</v>
      </c>
      <c r="H3401" s="5">
        <v>7.443528807346858E-4</v>
      </c>
      <c r="I3401">
        <v>3</v>
      </c>
      <c r="J3401" t="b">
        <f>AND(CCData[[#This Row],[Date]]&gt;=Calculation!$E$3,CCData[[#This Row],[Date]]&lt;Calculation!$E$3+7)</f>
        <v>0</v>
      </c>
    </row>
    <row r="3402" spans="1:10">
      <c r="A3402" t="s">
        <v>3401</v>
      </c>
      <c r="B3402" s="2">
        <v>42064.468000000001</v>
      </c>
      <c r="C3402" s="3" t="s">
        <v>5006</v>
      </c>
      <c r="D3402" t="s">
        <v>5013</v>
      </c>
      <c r="E3402" t="s">
        <v>5019</v>
      </c>
      <c r="F3402" t="s">
        <v>5019</v>
      </c>
      <c r="G3402" t="s">
        <v>5022</v>
      </c>
      <c r="H3402" s="5" t="s">
        <v>5022</v>
      </c>
      <c r="I3402" t="s">
        <v>5022</v>
      </c>
      <c r="J3402" t="b">
        <f>AND(CCData[[#This Row],[Date]]&gt;=Calculation!$E$3,CCData[[#This Row],[Date]]&lt;Calculation!$E$3+7)</f>
        <v>0</v>
      </c>
    </row>
    <row r="3403" spans="1:10">
      <c r="A3403" t="s">
        <v>3402</v>
      </c>
      <c r="B3403" s="2">
        <v>42064.468000000001</v>
      </c>
      <c r="C3403" s="3" t="s">
        <v>5005</v>
      </c>
      <c r="D3403" t="s">
        <v>5014</v>
      </c>
      <c r="E3403" t="s">
        <v>5018</v>
      </c>
      <c r="F3403" t="s">
        <v>5018</v>
      </c>
      <c r="G3403">
        <v>40</v>
      </c>
      <c r="H3403" s="5">
        <v>9.7416161246475716E-4</v>
      </c>
      <c r="I3403">
        <v>4</v>
      </c>
      <c r="J3403" t="b">
        <f>AND(CCData[[#This Row],[Date]]&gt;=Calculation!$E$3,CCData[[#This Row],[Date]]&lt;Calculation!$E$3+7)</f>
        <v>0</v>
      </c>
    </row>
    <row r="3404" spans="1:10">
      <c r="A3404" t="s">
        <v>3403</v>
      </c>
      <c r="B3404" s="2">
        <v>42064.514999999999</v>
      </c>
      <c r="C3404" s="3" t="s">
        <v>5007</v>
      </c>
      <c r="D3404" t="s">
        <v>5013</v>
      </c>
      <c r="E3404" t="s">
        <v>5018</v>
      </c>
      <c r="F3404" t="s">
        <v>5018</v>
      </c>
      <c r="G3404">
        <v>60</v>
      </c>
      <c r="H3404" s="5">
        <v>3.320990963926958E-3</v>
      </c>
      <c r="I3404">
        <v>4</v>
      </c>
      <c r="J3404" t="b">
        <f>AND(CCData[[#This Row],[Date]]&gt;=Calculation!$E$3,CCData[[#This Row],[Date]]&lt;Calculation!$E$3+7)</f>
        <v>0</v>
      </c>
    </row>
    <row r="3405" spans="1:10">
      <c r="A3405" t="s">
        <v>3404</v>
      </c>
      <c r="B3405" s="2">
        <v>42064.514999999999</v>
      </c>
      <c r="C3405" s="3" t="s">
        <v>5007</v>
      </c>
      <c r="D3405" t="s">
        <v>5016</v>
      </c>
      <c r="E3405" t="s">
        <v>5018</v>
      </c>
      <c r="F3405" t="s">
        <v>5018</v>
      </c>
      <c r="G3405">
        <v>53</v>
      </c>
      <c r="H3405" s="5">
        <v>2.7245686960144216E-3</v>
      </c>
      <c r="I3405">
        <v>3</v>
      </c>
      <c r="J3405" t="b">
        <f>AND(CCData[[#This Row],[Date]]&gt;=Calculation!$E$3,CCData[[#This Row],[Date]]&lt;Calculation!$E$3+7)</f>
        <v>0</v>
      </c>
    </row>
    <row r="3406" spans="1:10">
      <c r="A3406" t="s">
        <v>3405</v>
      </c>
      <c r="B3406" s="2">
        <v>42064.525000000001</v>
      </c>
      <c r="C3406" s="3" t="s">
        <v>5009</v>
      </c>
      <c r="D3406" t="s">
        <v>5012</v>
      </c>
      <c r="E3406" t="s">
        <v>5018</v>
      </c>
      <c r="F3406" t="s">
        <v>5018</v>
      </c>
      <c r="G3406">
        <v>72</v>
      </c>
      <c r="H3406" s="5">
        <v>1.9066106230897632E-3</v>
      </c>
      <c r="I3406">
        <v>3</v>
      </c>
      <c r="J3406" t="b">
        <f>AND(CCData[[#This Row],[Date]]&gt;=Calculation!$E$3,CCData[[#This Row],[Date]]&lt;Calculation!$E$3+7)</f>
        <v>0</v>
      </c>
    </row>
    <row r="3407" spans="1:10">
      <c r="A3407" t="s">
        <v>3406</v>
      </c>
      <c r="B3407" s="2">
        <v>42064.525000000001</v>
      </c>
      <c r="C3407" s="3" t="s">
        <v>5007</v>
      </c>
      <c r="D3407" t="s">
        <v>5013</v>
      </c>
      <c r="E3407" t="s">
        <v>5019</v>
      </c>
      <c r="F3407" t="s">
        <v>5019</v>
      </c>
      <c r="G3407" t="s">
        <v>5022</v>
      </c>
      <c r="H3407" s="5" t="s">
        <v>5022</v>
      </c>
      <c r="I3407" t="s">
        <v>5022</v>
      </c>
      <c r="J3407" t="b">
        <f>AND(CCData[[#This Row],[Date]]&gt;=Calculation!$E$3,CCData[[#This Row],[Date]]&lt;Calculation!$E$3+7)</f>
        <v>0</v>
      </c>
    </row>
    <row r="3408" spans="1:10">
      <c r="A3408" t="s">
        <v>3407</v>
      </c>
      <c r="B3408" s="2">
        <v>42064.531999999999</v>
      </c>
      <c r="C3408" s="3" t="s">
        <v>5006</v>
      </c>
      <c r="D3408" t="s">
        <v>5016</v>
      </c>
      <c r="E3408" t="s">
        <v>5018</v>
      </c>
      <c r="F3408" t="s">
        <v>5018</v>
      </c>
      <c r="G3408">
        <v>100</v>
      </c>
      <c r="H3408" s="5">
        <v>3.0622868832461195E-3</v>
      </c>
      <c r="I3408">
        <v>1</v>
      </c>
      <c r="J3408" t="b">
        <f>AND(CCData[[#This Row],[Date]]&gt;=Calculation!$E$3,CCData[[#This Row],[Date]]&lt;Calculation!$E$3+7)</f>
        <v>0</v>
      </c>
    </row>
    <row r="3409" spans="1:10">
      <c r="A3409" t="s">
        <v>3408</v>
      </c>
      <c r="B3409" s="2">
        <v>42064.531999999999</v>
      </c>
      <c r="C3409" s="3" t="s">
        <v>5005</v>
      </c>
      <c r="D3409" t="s">
        <v>5014</v>
      </c>
      <c r="E3409" t="s">
        <v>5018</v>
      </c>
      <c r="F3409" t="s">
        <v>5018</v>
      </c>
      <c r="G3409">
        <v>99</v>
      </c>
      <c r="H3409" s="5">
        <v>1.6551367308631948E-3</v>
      </c>
      <c r="I3409">
        <v>3</v>
      </c>
      <c r="J3409" t="b">
        <f>AND(CCData[[#This Row],[Date]]&gt;=Calculation!$E$3,CCData[[#This Row],[Date]]&lt;Calculation!$E$3+7)</f>
        <v>0</v>
      </c>
    </row>
    <row r="3410" spans="1:10">
      <c r="A3410" t="s">
        <v>3409</v>
      </c>
      <c r="B3410" s="2">
        <v>42064.546000000002</v>
      </c>
      <c r="C3410" s="3" t="s">
        <v>5004</v>
      </c>
      <c r="D3410" t="s">
        <v>5014</v>
      </c>
      <c r="E3410" t="s">
        <v>5018</v>
      </c>
      <c r="F3410" t="s">
        <v>5018</v>
      </c>
      <c r="G3410">
        <v>96</v>
      </c>
      <c r="H3410" s="5">
        <v>4.8603478325865675E-3</v>
      </c>
      <c r="I3410">
        <v>4</v>
      </c>
      <c r="J3410" t="b">
        <f>AND(CCData[[#This Row],[Date]]&gt;=Calculation!$E$3,CCData[[#This Row],[Date]]&lt;Calculation!$E$3+7)</f>
        <v>0</v>
      </c>
    </row>
    <row r="3411" spans="1:10">
      <c r="A3411" t="s">
        <v>3410</v>
      </c>
      <c r="B3411" s="2">
        <v>42064.546000000002</v>
      </c>
      <c r="C3411" s="3" t="s">
        <v>5004</v>
      </c>
      <c r="D3411" t="s">
        <v>5014</v>
      </c>
      <c r="E3411" t="s">
        <v>5018</v>
      </c>
      <c r="F3411" t="s">
        <v>5018</v>
      </c>
      <c r="G3411">
        <v>33</v>
      </c>
      <c r="H3411" s="5">
        <v>1.6610068435696762E-3</v>
      </c>
      <c r="I3411">
        <v>2</v>
      </c>
      <c r="J3411" t="b">
        <f>AND(CCData[[#This Row],[Date]]&gt;=Calculation!$E$3,CCData[[#This Row],[Date]]&lt;Calculation!$E$3+7)</f>
        <v>0</v>
      </c>
    </row>
    <row r="3412" spans="1:10">
      <c r="A3412" t="s">
        <v>3411</v>
      </c>
      <c r="B3412" s="2">
        <v>42064.548999999999</v>
      </c>
      <c r="C3412" s="3" t="s">
        <v>5007</v>
      </c>
      <c r="D3412" t="s">
        <v>5012</v>
      </c>
      <c r="E3412" t="s">
        <v>5018</v>
      </c>
      <c r="F3412" t="s">
        <v>5018</v>
      </c>
      <c r="G3412">
        <v>92</v>
      </c>
      <c r="H3412" s="5">
        <v>2.533315623731049E-3</v>
      </c>
      <c r="I3412">
        <v>4</v>
      </c>
      <c r="J3412" t="b">
        <f>AND(CCData[[#This Row],[Date]]&gt;=Calculation!$E$3,CCData[[#This Row],[Date]]&lt;Calculation!$E$3+7)</f>
        <v>0</v>
      </c>
    </row>
    <row r="3413" spans="1:10">
      <c r="A3413" t="s">
        <v>3412</v>
      </c>
      <c r="B3413" s="2">
        <v>42064.548999999999</v>
      </c>
      <c r="C3413" s="3" t="s">
        <v>5006</v>
      </c>
      <c r="D3413" t="s">
        <v>5014</v>
      </c>
      <c r="E3413" t="s">
        <v>5018</v>
      </c>
      <c r="F3413" t="s">
        <v>5018</v>
      </c>
      <c r="G3413">
        <v>96</v>
      </c>
      <c r="H3413" s="5">
        <v>3.1810685916100552E-3</v>
      </c>
      <c r="I3413">
        <v>4</v>
      </c>
      <c r="J3413" t="b">
        <f>AND(CCData[[#This Row],[Date]]&gt;=Calculation!$E$3,CCData[[#This Row],[Date]]&lt;Calculation!$E$3+7)</f>
        <v>0</v>
      </c>
    </row>
    <row r="3414" spans="1:10">
      <c r="A3414" t="s">
        <v>3413</v>
      </c>
      <c r="B3414" s="2">
        <v>42064.552000000003</v>
      </c>
      <c r="C3414" s="3" t="s">
        <v>5010</v>
      </c>
      <c r="D3414" t="s">
        <v>5012</v>
      </c>
      <c r="E3414" t="s">
        <v>5018</v>
      </c>
      <c r="F3414" t="s">
        <v>5019</v>
      </c>
      <c r="G3414">
        <v>116</v>
      </c>
      <c r="H3414" s="5">
        <v>4.5386165073292382E-3</v>
      </c>
      <c r="I3414">
        <v>3</v>
      </c>
      <c r="J3414" t="b">
        <f>AND(CCData[[#This Row],[Date]]&gt;=Calculation!$E$3,CCData[[#This Row],[Date]]&lt;Calculation!$E$3+7)</f>
        <v>0</v>
      </c>
    </row>
    <row r="3415" spans="1:10">
      <c r="A3415" t="s">
        <v>3414</v>
      </c>
      <c r="B3415" s="2">
        <v>42064.552000000003</v>
      </c>
      <c r="C3415" s="3" t="s">
        <v>5008</v>
      </c>
      <c r="D3415" t="s">
        <v>5016</v>
      </c>
      <c r="E3415" t="s">
        <v>5018</v>
      </c>
      <c r="F3415" t="s">
        <v>5018</v>
      </c>
      <c r="G3415">
        <v>29</v>
      </c>
      <c r="H3415" s="5">
        <v>4.1378216196854747E-3</v>
      </c>
      <c r="I3415">
        <v>5</v>
      </c>
      <c r="J3415" t="b">
        <f>AND(CCData[[#This Row],[Date]]&gt;=Calculation!$E$3,CCData[[#This Row],[Date]]&lt;Calculation!$E$3+7)</f>
        <v>0</v>
      </c>
    </row>
    <row r="3416" spans="1:10">
      <c r="A3416" t="s">
        <v>3415</v>
      </c>
      <c r="B3416" s="2">
        <v>42064.552000000003</v>
      </c>
      <c r="C3416" s="3" t="s">
        <v>5003</v>
      </c>
      <c r="D3416" t="s">
        <v>5015</v>
      </c>
      <c r="E3416" t="s">
        <v>5018</v>
      </c>
      <c r="F3416" t="s">
        <v>5018</v>
      </c>
      <c r="G3416">
        <v>40</v>
      </c>
      <c r="H3416" s="5">
        <v>1.4099903054107202E-3</v>
      </c>
      <c r="I3416">
        <v>4</v>
      </c>
      <c r="J3416" t="b">
        <f>AND(CCData[[#This Row],[Date]]&gt;=Calculation!$E$3,CCData[[#This Row],[Date]]&lt;Calculation!$E$3+7)</f>
        <v>0</v>
      </c>
    </row>
    <row r="3417" spans="1:10">
      <c r="A3417" t="s">
        <v>3416</v>
      </c>
      <c r="B3417" s="2">
        <v>42064.552000000003</v>
      </c>
      <c r="C3417" s="3" t="s">
        <v>5004</v>
      </c>
      <c r="D3417" t="s">
        <v>5014</v>
      </c>
      <c r="E3417" t="s">
        <v>5018</v>
      </c>
      <c r="F3417" t="s">
        <v>5018</v>
      </c>
      <c r="G3417">
        <v>62</v>
      </c>
      <c r="H3417" s="5">
        <v>9.0260598130989132E-4</v>
      </c>
      <c r="I3417">
        <v>4</v>
      </c>
      <c r="J3417" t="b">
        <f>AND(CCData[[#This Row],[Date]]&gt;=Calculation!$E$3,CCData[[#This Row],[Date]]&lt;Calculation!$E$3+7)</f>
        <v>0</v>
      </c>
    </row>
    <row r="3418" spans="1:10">
      <c r="A3418" t="s">
        <v>3417</v>
      </c>
      <c r="B3418" s="2">
        <v>42064.553</v>
      </c>
      <c r="C3418" s="3" t="s">
        <v>5009</v>
      </c>
      <c r="D3418" t="s">
        <v>5014</v>
      </c>
      <c r="E3418" t="s">
        <v>5018</v>
      </c>
      <c r="F3418" t="s">
        <v>5018</v>
      </c>
      <c r="G3418">
        <v>111</v>
      </c>
      <c r="H3418" s="5">
        <v>1.8924584346798035E-3</v>
      </c>
      <c r="I3418">
        <v>1</v>
      </c>
      <c r="J3418" t="b">
        <f>AND(CCData[[#This Row],[Date]]&gt;=Calculation!$E$3,CCData[[#This Row],[Date]]&lt;Calculation!$E$3+7)</f>
        <v>0</v>
      </c>
    </row>
    <row r="3419" spans="1:10">
      <c r="A3419" t="s">
        <v>3418</v>
      </c>
      <c r="B3419" s="2">
        <v>42064.553</v>
      </c>
      <c r="C3419" s="3" t="s">
        <v>5005</v>
      </c>
      <c r="D3419" t="s">
        <v>5016</v>
      </c>
      <c r="E3419" t="s">
        <v>5018</v>
      </c>
      <c r="F3419" t="s">
        <v>5018</v>
      </c>
      <c r="G3419">
        <v>66</v>
      </c>
      <c r="H3419" s="5">
        <v>5.2588676815862735E-4</v>
      </c>
      <c r="I3419">
        <v>3</v>
      </c>
      <c r="J3419" t="b">
        <f>AND(CCData[[#This Row],[Date]]&gt;=Calculation!$E$3,CCData[[#This Row],[Date]]&lt;Calculation!$E$3+7)</f>
        <v>0</v>
      </c>
    </row>
    <row r="3420" spans="1:10">
      <c r="A3420" t="s">
        <v>3419</v>
      </c>
      <c r="B3420" s="2">
        <v>42064.555999999997</v>
      </c>
      <c r="C3420" s="3" t="s">
        <v>5007</v>
      </c>
      <c r="D3420" t="s">
        <v>5014</v>
      </c>
      <c r="E3420" t="s">
        <v>5018</v>
      </c>
      <c r="F3420" t="s">
        <v>5018</v>
      </c>
      <c r="G3420">
        <v>79</v>
      </c>
      <c r="H3420" s="5">
        <v>2.1330849442303098E-3</v>
      </c>
      <c r="I3420">
        <v>3</v>
      </c>
      <c r="J3420" t="b">
        <f>AND(CCData[[#This Row],[Date]]&gt;=Calculation!$E$3,CCData[[#This Row],[Date]]&lt;Calculation!$E$3+7)</f>
        <v>0</v>
      </c>
    </row>
    <row r="3421" spans="1:10">
      <c r="A3421" t="s">
        <v>3420</v>
      </c>
      <c r="B3421" s="2">
        <v>42064.555999999997</v>
      </c>
      <c r="C3421" s="3" t="s">
        <v>5005</v>
      </c>
      <c r="D3421" t="s">
        <v>5013</v>
      </c>
      <c r="E3421" t="s">
        <v>5019</v>
      </c>
      <c r="F3421" t="s">
        <v>5019</v>
      </c>
      <c r="G3421" t="s">
        <v>5022</v>
      </c>
      <c r="H3421" s="5" t="s">
        <v>5022</v>
      </c>
      <c r="I3421" t="s">
        <v>5022</v>
      </c>
      <c r="J3421" t="b">
        <f>AND(CCData[[#This Row],[Date]]&gt;=Calculation!$E$3,CCData[[#This Row],[Date]]&lt;Calculation!$E$3+7)</f>
        <v>0</v>
      </c>
    </row>
    <row r="3422" spans="1:10">
      <c r="A3422" t="s">
        <v>3421</v>
      </c>
      <c r="B3422" s="2">
        <v>42064.567000000003</v>
      </c>
      <c r="C3422" s="3" t="s">
        <v>5004</v>
      </c>
      <c r="D3422" t="s">
        <v>5014</v>
      </c>
      <c r="E3422" t="s">
        <v>5018</v>
      </c>
      <c r="F3422" t="s">
        <v>5018</v>
      </c>
      <c r="G3422">
        <v>69</v>
      </c>
      <c r="H3422" s="5">
        <v>4.2895126515451662E-4</v>
      </c>
      <c r="I3422">
        <v>5</v>
      </c>
      <c r="J3422" t="b">
        <f>AND(CCData[[#This Row],[Date]]&gt;=Calculation!$E$3,CCData[[#This Row],[Date]]&lt;Calculation!$E$3+7)</f>
        <v>0</v>
      </c>
    </row>
    <row r="3423" spans="1:10">
      <c r="A3423" t="s">
        <v>3422</v>
      </c>
      <c r="B3423" s="2">
        <v>42064.567000000003</v>
      </c>
      <c r="C3423" s="3" t="s">
        <v>5005</v>
      </c>
      <c r="D3423" t="s">
        <v>5016</v>
      </c>
      <c r="E3423" t="s">
        <v>5018</v>
      </c>
      <c r="F3423" t="s">
        <v>5018</v>
      </c>
      <c r="G3423">
        <v>49</v>
      </c>
      <c r="H3423" s="5">
        <v>1.6132891348844319E-3</v>
      </c>
      <c r="I3423">
        <v>2</v>
      </c>
      <c r="J3423" t="b">
        <f>AND(CCData[[#This Row],[Date]]&gt;=Calculation!$E$3,CCData[[#This Row],[Date]]&lt;Calculation!$E$3+7)</f>
        <v>0</v>
      </c>
    </row>
    <row r="3424" spans="1:10">
      <c r="A3424" t="s">
        <v>3423</v>
      </c>
      <c r="B3424" s="2">
        <v>42064.567999999999</v>
      </c>
      <c r="C3424" s="3" t="s">
        <v>5004</v>
      </c>
      <c r="D3424" t="s">
        <v>5016</v>
      </c>
      <c r="E3424" t="s">
        <v>5018</v>
      </c>
      <c r="F3424" t="s">
        <v>5018</v>
      </c>
      <c r="G3424">
        <v>80</v>
      </c>
      <c r="H3424" s="5">
        <v>3.0064308566134018E-3</v>
      </c>
      <c r="I3424">
        <v>4</v>
      </c>
      <c r="J3424" t="b">
        <f>AND(CCData[[#This Row],[Date]]&gt;=Calculation!$E$3,CCData[[#This Row],[Date]]&lt;Calculation!$E$3+7)</f>
        <v>0</v>
      </c>
    </row>
    <row r="3425" spans="1:10">
      <c r="A3425" t="s">
        <v>3424</v>
      </c>
      <c r="B3425" s="2">
        <v>42064.567999999999</v>
      </c>
      <c r="C3425" s="3" t="s">
        <v>5004</v>
      </c>
      <c r="D3425" t="s">
        <v>5012</v>
      </c>
      <c r="E3425" t="s">
        <v>5018</v>
      </c>
      <c r="F3425" t="s">
        <v>5018</v>
      </c>
      <c r="G3425">
        <v>101</v>
      </c>
      <c r="H3425" s="5">
        <v>5.6681580737603845E-4</v>
      </c>
      <c r="I3425">
        <v>5</v>
      </c>
      <c r="J3425" t="b">
        <f>AND(CCData[[#This Row],[Date]]&gt;=Calculation!$E$3,CCData[[#This Row],[Date]]&lt;Calculation!$E$3+7)</f>
        <v>0</v>
      </c>
    </row>
    <row r="3426" spans="1:10">
      <c r="A3426" t="s">
        <v>3425</v>
      </c>
      <c r="B3426" s="2">
        <v>42064.582000000002</v>
      </c>
      <c r="C3426" s="3" t="s">
        <v>5004</v>
      </c>
      <c r="D3426" t="s">
        <v>5015</v>
      </c>
      <c r="E3426" t="s">
        <v>5018</v>
      </c>
      <c r="F3426" t="s">
        <v>5018</v>
      </c>
      <c r="G3426">
        <v>99</v>
      </c>
      <c r="H3426" s="5">
        <v>1.2822685633938904E-3</v>
      </c>
      <c r="I3426">
        <v>5</v>
      </c>
      <c r="J3426" t="b">
        <f>AND(CCData[[#This Row],[Date]]&gt;=Calculation!$E$3,CCData[[#This Row],[Date]]&lt;Calculation!$E$3+7)</f>
        <v>0</v>
      </c>
    </row>
    <row r="3427" spans="1:10">
      <c r="A3427" t="s">
        <v>3426</v>
      </c>
      <c r="B3427" s="2">
        <v>42064.582000000002</v>
      </c>
      <c r="C3427" s="3" t="s">
        <v>5003</v>
      </c>
      <c r="D3427" t="s">
        <v>5016</v>
      </c>
      <c r="E3427" t="s">
        <v>5018</v>
      </c>
      <c r="F3427" t="s">
        <v>5018</v>
      </c>
      <c r="G3427">
        <v>111</v>
      </c>
      <c r="H3427" s="5">
        <v>3.5717288443603947E-3</v>
      </c>
      <c r="I3427">
        <v>5</v>
      </c>
      <c r="J3427" t="b">
        <f>AND(CCData[[#This Row],[Date]]&gt;=Calculation!$E$3,CCData[[#This Row],[Date]]&lt;Calculation!$E$3+7)</f>
        <v>0</v>
      </c>
    </row>
    <row r="3428" spans="1:10">
      <c r="A3428" t="s">
        <v>3427</v>
      </c>
      <c r="B3428" s="2">
        <v>42064.591999999997</v>
      </c>
      <c r="C3428" s="3" t="s">
        <v>5008</v>
      </c>
      <c r="D3428" t="s">
        <v>5012</v>
      </c>
      <c r="E3428" t="s">
        <v>5019</v>
      </c>
      <c r="F3428" t="s">
        <v>5019</v>
      </c>
      <c r="G3428" t="s">
        <v>5022</v>
      </c>
      <c r="H3428" s="5" t="s">
        <v>5022</v>
      </c>
      <c r="I3428" t="s">
        <v>5022</v>
      </c>
      <c r="J3428" t="b">
        <f>AND(CCData[[#This Row],[Date]]&gt;=Calculation!$E$3,CCData[[#This Row],[Date]]&lt;Calculation!$E$3+7)</f>
        <v>0</v>
      </c>
    </row>
    <row r="3429" spans="1:10">
      <c r="A3429" t="s">
        <v>3428</v>
      </c>
      <c r="B3429" s="2">
        <v>42064.591999999997</v>
      </c>
      <c r="C3429" s="3" t="s">
        <v>5009</v>
      </c>
      <c r="D3429" t="s">
        <v>5015</v>
      </c>
      <c r="E3429" t="s">
        <v>5018</v>
      </c>
      <c r="F3429" t="s">
        <v>5018</v>
      </c>
      <c r="G3429">
        <v>83</v>
      </c>
      <c r="H3429" s="5">
        <v>3.518232887146382E-3</v>
      </c>
      <c r="I3429">
        <v>5</v>
      </c>
      <c r="J3429" t="b">
        <f>AND(CCData[[#This Row],[Date]]&gt;=Calculation!$E$3,CCData[[#This Row],[Date]]&lt;Calculation!$E$3+7)</f>
        <v>0</v>
      </c>
    </row>
    <row r="3430" spans="1:10">
      <c r="A3430" t="s">
        <v>3429</v>
      </c>
      <c r="B3430" s="2">
        <v>42064.593999999997</v>
      </c>
      <c r="C3430" s="3" t="s">
        <v>5006</v>
      </c>
      <c r="D3430" t="s">
        <v>5015</v>
      </c>
      <c r="E3430" t="s">
        <v>5018</v>
      </c>
      <c r="F3430" t="s">
        <v>5018</v>
      </c>
      <c r="G3430">
        <v>14</v>
      </c>
      <c r="H3430" s="5">
        <v>3.4533583835029127E-3</v>
      </c>
      <c r="I3430">
        <v>3</v>
      </c>
      <c r="J3430" t="b">
        <f>AND(CCData[[#This Row],[Date]]&gt;=Calculation!$E$3,CCData[[#This Row],[Date]]&lt;Calculation!$E$3+7)</f>
        <v>0</v>
      </c>
    </row>
    <row r="3431" spans="1:10">
      <c r="A3431" t="s">
        <v>3430</v>
      </c>
      <c r="B3431" s="2">
        <v>42064.593999999997</v>
      </c>
      <c r="C3431" s="3" t="s">
        <v>5005</v>
      </c>
      <c r="D3431" t="s">
        <v>5012</v>
      </c>
      <c r="E3431" t="s">
        <v>5018</v>
      </c>
      <c r="F3431" t="s">
        <v>5018</v>
      </c>
      <c r="G3431">
        <v>120</v>
      </c>
      <c r="H3431" s="5">
        <v>4.0338149363452784E-3</v>
      </c>
      <c r="I3431">
        <v>3</v>
      </c>
      <c r="J3431" t="b">
        <f>AND(CCData[[#This Row],[Date]]&gt;=Calculation!$E$3,CCData[[#This Row],[Date]]&lt;Calculation!$E$3+7)</f>
        <v>0</v>
      </c>
    </row>
    <row r="3432" spans="1:10">
      <c r="A3432" t="s">
        <v>3431</v>
      </c>
      <c r="B3432" s="2">
        <v>42064.595000000001</v>
      </c>
      <c r="C3432" s="3" t="s">
        <v>5004</v>
      </c>
      <c r="D3432" t="s">
        <v>5012</v>
      </c>
      <c r="E3432" t="s">
        <v>5018</v>
      </c>
      <c r="F3432" t="s">
        <v>5018</v>
      </c>
      <c r="G3432">
        <v>38</v>
      </c>
      <c r="H3432" s="5">
        <v>1.3936501995161423E-3</v>
      </c>
      <c r="I3432">
        <v>5</v>
      </c>
      <c r="J3432" t="b">
        <f>AND(CCData[[#This Row],[Date]]&gt;=Calculation!$E$3,CCData[[#This Row],[Date]]&lt;Calculation!$E$3+7)</f>
        <v>0</v>
      </c>
    </row>
    <row r="3433" spans="1:10">
      <c r="A3433" t="s">
        <v>3432</v>
      </c>
      <c r="B3433" s="2">
        <v>42064.595000000001</v>
      </c>
      <c r="C3433" s="3" t="s">
        <v>5010</v>
      </c>
      <c r="D3433" t="s">
        <v>5016</v>
      </c>
      <c r="E3433" t="s">
        <v>5018</v>
      </c>
      <c r="F3433" t="s">
        <v>5019</v>
      </c>
      <c r="G3433">
        <v>88</v>
      </c>
      <c r="H3433" s="5">
        <v>3.676763180030556E-3</v>
      </c>
      <c r="I3433">
        <v>1</v>
      </c>
      <c r="J3433" t="b">
        <f>AND(CCData[[#This Row],[Date]]&gt;=Calculation!$E$3,CCData[[#This Row],[Date]]&lt;Calculation!$E$3+7)</f>
        <v>0</v>
      </c>
    </row>
    <row r="3434" spans="1:10">
      <c r="A3434" t="s">
        <v>3433</v>
      </c>
      <c r="B3434" s="2">
        <v>42064.618999999999</v>
      </c>
      <c r="C3434" s="3" t="s">
        <v>5004</v>
      </c>
      <c r="D3434" t="s">
        <v>5016</v>
      </c>
      <c r="E3434" t="s">
        <v>5018</v>
      </c>
      <c r="F3434" t="s">
        <v>5018</v>
      </c>
      <c r="G3434">
        <v>26</v>
      </c>
      <c r="H3434" s="5">
        <v>9.077002159502438E-4</v>
      </c>
      <c r="I3434">
        <v>4</v>
      </c>
      <c r="J3434" t="b">
        <f>AND(CCData[[#This Row],[Date]]&gt;=Calculation!$E$3,CCData[[#This Row],[Date]]&lt;Calculation!$E$3+7)</f>
        <v>0</v>
      </c>
    </row>
    <row r="3435" spans="1:10">
      <c r="A3435" t="s">
        <v>3434</v>
      </c>
      <c r="B3435" s="2">
        <v>42064.618999999999</v>
      </c>
      <c r="C3435" s="3" t="s">
        <v>5010</v>
      </c>
      <c r="D3435" t="s">
        <v>5013</v>
      </c>
      <c r="E3435" t="s">
        <v>5018</v>
      </c>
      <c r="F3435" t="s">
        <v>5018</v>
      </c>
      <c r="G3435">
        <v>94</v>
      </c>
      <c r="H3435" s="5">
        <v>2.322040229320403E-3</v>
      </c>
      <c r="I3435">
        <v>3</v>
      </c>
      <c r="J3435" t="b">
        <f>AND(CCData[[#This Row],[Date]]&gt;=Calculation!$E$3,CCData[[#This Row],[Date]]&lt;Calculation!$E$3+7)</f>
        <v>0</v>
      </c>
    </row>
    <row r="3436" spans="1:10">
      <c r="A3436" t="s">
        <v>3435</v>
      </c>
      <c r="B3436" s="2">
        <v>42064.622000000003</v>
      </c>
      <c r="C3436" s="3" t="s">
        <v>5007</v>
      </c>
      <c r="D3436" t="s">
        <v>5015</v>
      </c>
      <c r="E3436" t="s">
        <v>5019</v>
      </c>
      <c r="F3436" t="s">
        <v>5019</v>
      </c>
      <c r="G3436" t="s">
        <v>5022</v>
      </c>
      <c r="H3436" s="5" t="s">
        <v>5022</v>
      </c>
      <c r="I3436" t="s">
        <v>5022</v>
      </c>
      <c r="J3436" t="b">
        <f>AND(CCData[[#This Row],[Date]]&gt;=Calculation!$E$3,CCData[[#This Row],[Date]]&lt;Calculation!$E$3+7)</f>
        <v>0</v>
      </c>
    </row>
    <row r="3437" spans="1:10">
      <c r="A3437" t="s">
        <v>3436</v>
      </c>
      <c r="B3437" s="2">
        <v>42064.622000000003</v>
      </c>
      <c r="C3437" s="3" t="s">
        <v>5010</v>
      </c>
      <c r="D3437" t="s">
        <v>5014</v>
      </c>
      <c r="E3437" t="s">
        <v>5019</v>
      </c>
      <c r="F3437" t="s">
        <v>5019</v>
      </c>
      <c r="G3437" t="s">
        <v>5022</v>
      </c>
      <c r="H3437" s="5" t="s">
        <v>5022</v>
      </c>
      <c r="I3437" t="s">
        <v>5022</v>
      </c>
      <c r="J3437" t="b">
        <f>AND(CCData[[#This Row],[Date]]&gt;=Calculation!$E$3,CCData[[#This Row],[Date]]&lt;Calculation!$E$3+7)</f>
        <v>0</v>
      </c>
    </row>
    <row r="3438" spans="1:10">
      <c r="A3438" t="s">
        <v>3437</v>
      </c>
      <c r="B3438" s="2">
        <v>42064.648000000001</v>
      </c>
      <c r="C3438" s="3" t="s">
        <v>5005</v>
      </c>
      <c r="D3438" t="s">
        <v>5015</v>
      </c>
      <c r="E3438" t="s">
        <v>5018</v>
      </c>
      <c r="F3438" t="s">
        <v>5018</v>
      </c>
      <c r="G3438">
        <v>29</v>
      </c>
      <c r="H3438" s="5">
        <v>4.3463570646626237E-3</v>
      </c>
      <c r="I3438">
        <v>3</v>
      </c>
      <c r="J3438" t="b">
        <f>AND(CCData[[#This Row],[Date]]&gt;=Calculation!$E$3,CCData[[#This Row],[Date]]&lt;Calculation!$E$3+7)</f>
        <v>0</v>
      </c>
    </row>
    <row r="3439" spans="1:10">
      <c r="A3439" t="s">
        <v>3438</v>
      </c>
      <c r="B3439" s="2">
        <v>42064.648000000001</v>
      </c>
      <c r="C3439" s="3" t="s">
        <v>5008</v>
      </c>
      <c r="D3439" t="s">
        <v>5015</v>
      </c>
      <c r="E3439" t="s">
        <v>5018</v>
      </c>
      <c r="F3439" t="s">
        <v>5018</v>
      </c>
      <c r="G3439">
        <v>49</v>
      </c>
      <c r="H3439" s="5">
        <v>1.9893547634511014E-3</v>
      </c>
      <c r="I3439">
        <v>3</v>
      </c>
      <c r="J3439" t="b">
        <f>AND(CCData[[#This Row],[Date]]&gt;=Calculation!$E$3,CCData[[#This Row],[Date]]&lt;Calculation!$E$3+7)</f>
        <v>0</v>
      </c>
    </row>
    <row r="3440" spans="1:10">
      <c r="A3440" t="s">
        <v>3439</v>
      </c>
      <c r="B3440" s="2">
        <v>42064.654999999999</v>
      </c>
      <c r="C3440" s="3" t="s">
        <v>5003</v>
      </c>
      <c r="D3440" t="s">
        <v>5013</v>
      </c>
      <c r="E3440" t="s">
        <v>5018</v>
      </c>
      <c r="F3440" t="s">
        <v>5018</v>
      </c>
      <c r="G3440">
        <v>104</v>
      </c>
      <c r="H3440" s="5">
        <v>1.583632854312615E-3</v>
      </c>
      <c r="I3440">
        <v>4</v>
      </c>
      <c r="J3440" t="b">
        <f>AND(CCData[[#This Row],[Date]]&gt;=Calculation!$E$3,CCData[[#This Row],[Date]]&lt;Calculation!$E$3+7)</f>
        <v>0</v>
      </c>
    </row>
    <row r="3441" spans="1:10">
      <c r="A3441" t="s">
        <v>3440</v>
      </c>
      <c r="B3441" s="2">
        <v>42064.654999999999</v>
      </c>
      <c r="C3441" s="3" t="s">
        <v>5004</v>
      </c>
      <c r="D3441" t="s">
        <v>5015</v>
      </c>
      <c r="E3441" t="s">
        <v>5018</v>
      </c>
      <c r="F3441" t="s">
        <v>5018</v>
      </c>
      <c r="G3441">
        <v>62</v>
      </c>
      <c r="H3441" s="5">
        <v>7.3439833402662942E-4</v>
      </c>
      <c r="I3441">
        <v>4</v>
      </c>
      <c r="J3441" t="b">
        <f>AND(CCData[[#This Row],[Date]]&gt;=Calculation!$E$3,CCData[[#This Row],[Date]]&lt;Calculation!$E$3+7)</f>
        <v>0</v>
      </c>
    </row>
    <row r="3442" spans="1:10">
      <c r="A3442" t="s">
        <v>3441</v>
      </c>
      <c r="B3442" s="2">
        <v>42064.69</v>
      </c>
      <c r="C3442" s="3" t="s">
        <v>5004</v>
      </c>
      <c r="D3442" t="s">
        <v>5015</v>
      </c>
      <c r="E3442" t="s">
        <v>5018</v>
      </c>
      <c r="F3442" t="s">
        <v>5018</v>
      </c>
      <c r="G3442">
        <v>123</v>
      </c>
      <c r="H3442" s="5">
        <v>3.9587908243011267E-3</v>
      </c>
      <c r="I3442">
        <v>5</v>
      </c>
      <c r="J3442" t="b">
        <f>AND(CCData[[#This Row],[Date]]&gt;=Calculation!$E$3,CCData[[#This Row],[Date]]&lt;Calculation!$E$3+7)</f>
        <v>0</v>
      </c>
    </row>
    <row r="3443" spans="1:10">
      <c r="A3443" t="s">
        <v>3442</v>
      </c>
      <c r="B3443" s="2">
        <v>42064.69</v>
      </c>
      <c r="C3443" s="3" t="s">
        <v>5004</v>
      </c>
      <c r="D3443" t="s">
        <v>5012</v>
      </c>
      <c r="E3443" t="s">
        <v>5018</v>
      </c>
      <c r="F3443" t="s">
        <v>5018</v>
      </c>
      <c r="G3443">
        <v>114</v>
      </c>
      <c r="H3443" s="5">
        <v>1.2908367505764992E-3</v>
      </c>
      <c r="I3443">
        <v>5</v>
      </c>
      <c r="J3443" t="b">
        <f>AND(CCData[[#This Row],[Date]]&gt;=Calculation!$E$3,CCData[[#This Row],[Date]]&lt;Calculation!$E$3+7)</f>
        <v>0</v>
      </c>
    </row>
    <row r="3444" spans="1:10">
      <c r="A3444" t="s">
        <v>3443</v>
      </c>
      <c r="B3444" s="2">
        <v>42064.7</v>
      </c>
      <c r="C3444" s="3" t="s">
        <v>5004</v>
      </c>
      <c r="D3444" t="s">
        <v>5012</v>
      </c>
      <c r="E3444" t="s">
        <v>5019</v>
      </c>
      <c r="F3444" t="s">
        <v>5019</v>
      </c>
      <c r="G3444" t="s">
        <v>5022</v>
      </c>
      <c r="H3444" s="5" t="s">
        <v>5022</v>
      </c>
      <c r="I3444" t="s">
        <v>5022</v>
      </c>
      <c r="J3444" t="b">
        <f>AND(CCData[[#This Row],[Date]]&gt;=Calculation!$E$3,CCData[[#This Row],[Date]]&lt;Calculation!$E$3+7)</f>
        <v>0</v>
      </c>
    </row>
    <row r="3445" spans="1:10">
      <c r="A3445" t="s">
        <v>3444</v>
      </c>
      <c r="B3445" s="2">
        <v>42064.7</v>
      </c>
      <c r="C3445" s="3" t="s">
        <v>5007</v>
      </c>
      <c r="D3445" t="s">
        <v>5015</v>
      </c>
      <c r="E3445" t="s">
        <v>5018</v>
      </c>
      <c r="F3445" t="s">
        <v>5018</v>
      </c>
      <c r="G3445">
        <v>12</v>
      </c>
      <c r="H3445" s="5">
        <v>3.6779838692496776E-3</v>
      </c>
      <c r="I3445">
        <v>4</v>
      </c>
      <c r="J3445" t="b">
        <f>AND(CCData[[#This Row],[Date]]&gt;=Calculation!$E$3,CCData[[#This Row],[Date]]&lt;Calculation!$E$3+7)</f>
        <v>0</v>
      </c>
    </row>
    <row r="3446" spans="1:10">
      <c r="A3446" t="s">
        <v>3445</v>
      </c>
      <c r="B3446" s="2">
        <v>42064.711000000003</v>
      </c>
      <c r="C3446" s="3" t="s">
        <v>5007</v>
      </c>
      <c r="D3446" t="s">
        <v>5014</v>
      </c>
      <c r="E3446" t="s">
        <v>5018</v>
      </c>
      <c r="F3446" t="s">
        <v>5018</v>
      </c>
      <c r="G3446">
        <v>116</v>
      </c>
      <c r="H3446" s="5">
        <v>3.7575729359433775E-4</v>
      </c>
      <c r="I3446">
        <v>4</v>
      </c>
      <c r="J3446" t="b">
        <f>AND(CCData[[#This Row],[Date]]&gt;=Calculation!$E$3,CCData[[#This Row],[Date]]&lt;Calculation!$E$3+7)</f>
        <v>0</v>
      </c>
    </row>
    <row r="3447" spans="1:10">
      <c r="A3447" t="s">
        <v>3446</v>
      </c>
      <c r="B3447" s="2">
        <v>42064.711000000003</v>
      </c>
      <c r="C3447" s="3" t="s">
        <v>5004</v>
      </c>
      <c r="D3447" t="s">
        <v>5014</v>
      </c>
      <c r="E3447" t="s">
        <v>5018</v>
      </c>
      <c r="F3447" t="s">
        <v>5018</v>
      </c>
      <c r="G3447">
        <v>31</v>
      </c>
      <c r="H3447" s="5">
        <v>1.1544785101732233E-3</v>
      </c>
      <c r="I3447">
        <v>2</v>
      </c>
      <c r="J3447" t="b">
        <f>AND(CCData[[#This Row],[Date]]&gt;=Calculation!$E$3,CCData[[#This Row],[Date]]&lt;Calculation!$E$3+7)</f>
        <v>0</v>
      </c>
    </row>
    <row r="3448" spans="1:10">
      <c r="A3448" t="s">
        <v>3447</v>
      </c>
      <c r="B3448" s="2">
        <v>42064.72</v>
      </c>
      <c r="C3448" s="3" t="s">
        <v>5004</v>
      </c>
      <c r="D3448" t="s">
        <v>5012</v>
      </c>
      <c r="E3448" t="s">
        <v>5019</v>
      </c>
      <c r="F3448" t="s">
        <v>5019</v>
      </c>
      <c r="G3448" t="s">
        <v>5022</v>
      </c>
      <c r="H3448" s="5" t="s">
        <v>5022</v>
      </c>
      <c r="I3448" t="s">
        <v>5022</v>
      </c>
      <c r="J3448" t="b">
        <f>AND(CCData[[#This Row],[Date]]&gt;=Calculation!$E$3,CCData[[#This Row],[Date]]&lt;Calculation!$E$3+7)</f>
        <v>0</v>
      </c>
    </row>
    <row r="3449" spans="1:10">
      <c r="A3449" t="s">
        <v>3448</v>
      </c>
      <c r="B3449" s="2">
        <v>42064.72</v>
      </c>
      <c r="C3449" s="3" t="s">
        <v>5009</v>
      </c>
      <c r="D3449" t="s">
        <v>5014</v>
      </c>
      <c r="E3449" t="s">
        <v>5018</v>
      </c>
      <c r="F3449" t="s">
        <v>5018</v>
      </c>
      <c r="G3449">
        <v>39</v>
      </c>
      <c r="H3449" s="5">
        <v>1.2961179398293661E-3</v>
      </c>
      <c r="I3449">
        <v>3</v>
      </c>
      <c r="J3449" t="b">
        <f>AND(CCData[[#This Row],[Date]]&gt;=Calculation!$E$3,CCData[[#This Row],[Date]]&lt;Calculation!$E$3+7)</f>
        <v>0</v>
      </c>
    </row>
    <row r="3450" spans="1:10">
      <c r="A3450" t="s">
        <v>3449</v>
      </c>
      <c r="B3450" s="2">
        <v>42064.735000000001</v>
      </c>
      <c r="C3450" s="3" t="s">
        <v>5010</v>
      </c>
      <c r="D3450" t="s">
        <v>5014</v>
      </c>
      <c r="E3450" t="s">
        <v>5018</v>
      </c>
      <c r="F3450" t="s">
        <v>5018</v>
      </c>
      <c r="G3450">
        <v>81</v>
      </c>
      <c r="H3450" s="5">
        <v>3.7281986193264584E-3</v>
      </c>
      <c r="I3450">
        <v>4</v>
      </c>
      <c r="J3450" t="b">
        <f>AND(CCData[[#This Row],[Date]]&gt;=Calculation!$E$3,CCData[[#This Row],[Date]]&lt;Calculation!$E$3+7)</f>
        <v>0</v>
      </c>
    </row>
    <row r="3451" spans="1:10">
      <c r="A3451" t="s">
        <v>3450</v>
      </c>
      <c r="B3451" s="2">
        <v>42064.735000000001</v>
      </c>
      <c r="C3451" s="3" t="s">
        <v>5009</v>
      </c>
      <c r="D3451" t="s">
        <v>5014</v>
      </c>
      <c r="E3451" t="s">
        <v>5018</v>
      </c>
      <c r="F3451" t="s">
        <v>5018</v>
      </c>
      <c r="G3451">
        <v>34</v>
      </c>
      <c r="H3451" s="5">
        <v>1.962002744635572E-3</v>
      </c>
      <c r="I3451">
        <v>3</v>
      </c>
      <c r="J3451" t="b">
        <f>AND(CCData[[#This Row],[Date]]&gt;=Calculation!$E$3,CCData[[#This Row],[Date]]&lt;Calculation!$E$3+7)</f>
        <v>0</v>
      </c>
    </row>
    <row r="3452" spans="1:10">
      <c r="A3452" t="s">
        <v>3451</v>
      </c>
      <c r="B3452" s="2">
        <v>42064.735999999997</v>
      </c>
      <c r="C3452" s="3" t="s">
        <v>5007</v>
      </c>
      <c r="D3452" t="s">
        <v>5013</v>
      </c>
      <c r="E3452" t="s">
        <v>5018</v>
      </c>
      <c r="F3452" t="s">
        <v>5018</v>
      </c>
      <c r="G3452">
        <v>33</v>
      </c>
      <c r="H3452" s="5">
        <v>2.3973332657678779E-3</v>
      </c>
      <c r="I3452">
        <v>3</v>
      </c>
      <c r="J3452" t="b">
        <f>AND(CCData[[#This Row],[Date]]&gt;=Calculation!$E$3,CCData[[#This Row],[Date]]&lt;Calculation!$E$3+7)</f>
        <v>0</v>
      </c>
    </row>
    <row r="3453" spans="1:10">
      <c r="A3453" t="s">
        <v>3452</v>
      </c>
      <c r="B3453" s="2">
        <v>42064.735999999997</v>
      </c>
      <c r="C3453" s="3" t="s">
        <v>5004</v>
      </c>
      <c r="D3453" t="s">
        <v>5013</v>
      </c>
      <c r="E3453" t="s">
        <v>5018</v>
      </c>
      <c r="F3453" t="s">
        <v>5018</v>
      </c>
      <c r="G3453">
        <v>37</v>
      </c>
      <c r="H3453" s="5">
        <v>8.5154700956474485E-4</v>
      </c>
      <c r="I3453">
        <v>1</v>
      </c>
      <c r="J3453" t="b">
        <f>AND(CCData[[#This Row],[Date]]&gt;=Calculation!$E$3,CCData[[#This Row],[Date]]&lt;Calculation!$E$3+7)</f>
        <v>0</v>
      </c>
    </row>
    <row r="3454" spans="1:10">
      <c r="A3454" t="s">
        <v>3453</v>
      </c>
      <c r="B3454" s="2">
        <v>42065.392</v>
      </c>
      <c r="C3454" s="3" t="s">
        <v>5008</v>
      </c>
      <c r="D3454" t="s">
        <v>5016</v>
      </c>
      <c r="E3454" t="s">
        <v>5018</v>
      </c>
      <c r="F3454" t="s">
        <v>5018</v>
      </c>
      <c r="G3454">
        <v>92</v>
      </c>
      <c r="H3454" s="5">
        <v>1.3779175983344868E-3</v>
      </c>
      <c r="I3454">
        <v>2</v>
      </c>
      <c r="J3454" t="b">
        <f>AND(CCData[[#This Row],[Date]]&gt;=Calculation!$E$3,CCData[[#This Row],[Date]]&lt;Calculation!$E$3+7)</f>
        <v>0</v>
      </c>
    </row>
    <row r="3455" spans="1:10">
      <c r="A3455" t="s">
        <v>3454</v>
      </c>
      <c r="B3455" s="2">
        <v>42065.392</v>
      </c>
      <c r="C3455" s="3" t="s">
        <v>5007</v>
      </c>
      <c r="D3455" t="s">
        <v>5014</v>
      </c>
      <c r="E3455" t="s">
        <v>5018</v>
      </c>
      <c r="F3455" t="s">
        <v>5018</v>
      </c>
      <c r="G3455">
        <v>117</v>
      </c>
      <c r="H3455" s="5">
        <v>4.1546794316986678E-3</v>
      </c>
      <c r="I3455">
        <v>3</v>
      </c>
      <c r="J3455" t="b">
        <f>AND(CCData[[#This Row],[Date]]&gt;=Calculation!$E$3,CCData[[#This Row],[Date]]&lt;Calculation!$E$3+7)</f>
        <v>0</v>
      </c>
    </row>
    <row r="3456" spans="1:10">
      <c r="A3456" t="s">
        <v>3455</v>
      </c>
      <c r="B3456" s="2">
        <v>42065.406000000003</v>
      </c>
      <c r="C3456" s="3" t="s">
        <v>5004</v>
      </c>
      <c r="D3456" t="s">
        <v>5016</v>
      </c>
      <c r="E3456" t="s">
        <v>5018</v>
      </c>
      <c r="F3456" t="s">
        <v>5018</v>
      </c>
      <c r="G3456">
        <v>53</v>
      </c>
      <c r="H3456" s="5">
        <v>3.1531746475888952E-3</v>
      </c>
      <c r="I3456">
        <v>3</v>
      </c>
      <c r="J3456" t="b">
        <f>AND(CCData[[#This Row],[Date]]&gt;=Calculation!$E$3,CCData[[#This Row],[Date]]&lt;Calculation!$E$3+7)</f>
        <v>0</v>
      </c>
    </row>
    <row r="3457" spans="1:10">
      <c r="A3457" t="s">
        <v>3456</v>
      </c>
      <c r="B3457" s="2">
        <v>42065.406000000003</v>
      </c>
      <c r="C3457" s="3" t="s">
        <v>5005</v>
      </c>
      <c r="D3457" t="s">
        <v>5012</v>
      </c>
      <c r="E3457" t="s">
        <v>5018</v>
      </c>
      <c r="F3457" t="s">
        <v>5018</v>
      </c>
      <c r="G3457">
        <v>61</v>
      </c>
      <c r="H3457" s="5">
        <v>3.0345511139941543E-3</v>
      </c>
      <c r="I3457">
        <v>5</v>
      </c>
      <c r="J3457" t="b">
        <f>AND(CCData[[#This Row],[Date]]&gt;=Calculation!$E$3,CCData[[#This Row],[Date]]&lt;Calculation!$E$3+7)</f>
        <v>0</v>
      </c>
    </row>
    <row r="3458" spans="1:10">
      <c r="A3458" t="s">
        <v>3457</v>
      </c>
      <c r="B3458" s="2">
        <v>42065.423000000003</v>
      </c>
      <c r="C3458" s="3" t="s">
        <v>5009</v>
      </c>
      <c r="D3458" t="s">
        <v>5013</v>
      </c>
      <c r="E3458" t="s">
        <v>5019</v>
      </c>
      <c r="F3458" t="s">
        <v>5019</v>
      </c>
      <c r="G3458" t="s">
        <v>5022</v>
      </c>
      <c r="H3458" s="5" t="s">
        <v>5022</v>
      </c>
      <c r="I3458" t="s">
        <v>5022</v>
      </c>
      <c r="J3458" t="b">
        <f>AND(CCData[[#This Row],[Date]]&gt;=Calculation!$E$3,CCData[[#This Row],[Date]]&lt;Calculation!$E$3+7)</f>
        <v>0</v>
      </c>
    </row>
    <row r="3459" spans="1:10">
      <c r="A3459" t="s">
        <v>3458</v>
      </c>
      <c r="B3459" s="2">
        <v>42065.423000000003</v>
      </c>
      <c r="C3459" s="3" t="s">
        <v>5003</v>
      </c>
      <c r="D3459" t="s">
        <v>5013</v>
      </c>
      <c r="E3459" t="s">
        <v>5018</v>
      </c>
      <c r="F3459" t="s">
        <v>5018</v>
      </c>
      <c r="G3459">
        <v>72</v>
      </c>
      <c r="H3459" s="5">
        <v>1.590368776492123E-3</v>
      </c>
      <c r="I3459">
        <v>4</v>
      </c>
      <c r="J3459" t="b">
        <f>AND(CCData[[#This Row],[Date]]&gt;=Calculation!$E$3,CCData[[#This Row],[Date]]&lt;Calculation!$E$3+7)</f>
        <v>0</v>
      </c>
    </row>
    <row r="3460" spans="1:10">
      <c r="A3460" t="s">
        <v>3459</v>
      </c>
      <c r="B3460" s="2">
        <v>42065.432999999997</v>
      </c>
      <c r="C3460" s="3" t="s">
        <v>5010</v>
      </c>
      <c r="D3460" t="s">
        <v>5014</v>
      </c>
      <c r="E3460" t="s">
        <v>5019</v>
      </c>
      <c r="F3460" t="s">
        <v>5019</v>
      </c>
      <c r="G3460" t="s">
        <v>5022</v>
      </c>
      <c r="H3460" s="5" t="s">
        <v>5022</v>
      </c>
      <c r="I3460" t="s">
        <v>5022</v>
      </c>
      <c r="J3460" t="b">
        <f>AND(CCData[[#This Row],[Date]]&gt;=Calculation!$E$3,CCData[[#This Row],[Date]]&lt;Calculation!$E$3+7)</f>
        <v>0</v>
      </c>
    </row>
    <row r="3461" spans="1:10">
      <c r="A3461" t="s">
        <v>3460</v>
      </c>
      <c r="B3461" s="2">
        <v>42065.432999999997</v>
      </c>
      <c r="C3461" s="3" t="s">
        <v>5006</v>
      </c>
      <c r="D3461" t="s">
        <v>5015</v>
      </c>
      <c r="E3461" t="s">
        <v>5018</v>
      </c>
      <c r="F3461" t="s">
        <v>5018</v>
      </c>
      <c r="G3461">
        <v>82</v>
      </c>
      <c r="H3461" s="5">
        <v>3.7012858549289223E-3</v>
      </c>
      <c r="I3461">
        <v>3</v>
      </c>
      <c r="J3461" t="b">
        <f>AND(CCData[[#This Row],[Date]]&gt;=Calculation!$E$3,CCData[[#This Row],[Date]]&lt;Calculation!$E$3+7)</f>
        <v>0</v>
      </c>
    </row>
    <row r="3462" spans="1:10">
      <c r="A3462" t="s">
        <v>3461</v>
      </c>
      <c r="B3462" s="2">
        <v>42065.436999999998</v>
      </c>
      <c r="C3462" s="3" t="s">
        <v>5009</v>
      </c>
      <c r="D3462" t="s">
        <v>5014</v>
      </c>
      <c r="E3462" t="s">
        <v>5018</v>
      </c>
      <c r="F3462" t="s">
        <v>5018</v>
      </c>
      <c r="G3462">
        <v>86</v>
      </c>
      <c r="H3462" s="5">
        <v>3.6429145505682088E-3</v>
      </c>
      <c r="I3462">
        <v>5</v>
      </c>
      <c r="J3462" t="b">
        <f>AND(CCData[[#This Row],[Date]]&gt;=Calculation!$E$3,CCData[[#This Row],[Date]]&lt;Calculation!$E$3+7)</f>
        <v>0</v>
      </c>
    </row>
    <row r="3463" spans="1:10">
      <c r="A3463" t="s">
        <v>3462</v>
      </c>
      <c r="B3463" s="2">
        <v>42065.436999999998</v>
      </c>
      <c r="C3463" s="3" t="s">
        <v>5004</v>
      </c>
      <c r="D3463" t="s">
        <v>5013</v>
      </c>
      <c r="E3463" t="s">
        <v>5018</v>
      </c>
      <c r="F3463" t="s">
        <v>5018</v>
      </c>
      <c r="G3463">
        <v>35</v>
      </c>
      <c r="H3463" s="5">
        <v>1.5466636972738899E-3</v>
      </c>
      <c r="I3463">
        <v>3</v>
      </c>
      <c r="J3463" t="b">
        <f>AND(CCData[[#This Row],[Date]]&gt;=Calculation!$E$3,CCData[[#This Row],[Date]]&lt;Calculation!$E$3+7)</f>
        <v>0</v>
      </c>
    </row>
    <row r="3464" spans="1:10">
      <c r="A3464" t="s">
        <v>3463</v>
      </c>
      <c r="B3464" s="2">
        <v>42065.451000000001</v>
      </c>
      <c r="C3464" s="3" t="s">
        <v>5006</v>
      </c>
      <c r="D3464" t="s">
        <v>5016</v>
      </c>
      <c r="E3464" t="s">
        <v>5018</v>
      </c>
      <c r="F3464" t="s">
        <v>5018</v>
      </c>
      <c r="G3464">
        <v>83</v>
      </c>
      <c r="H3464" s="5">
        <v>1.3268684383954095E-3</v>
      </c>
      <c r="I3464">
        <v>5</v>
      </c>
      <c r="J3464" t="b">
        <f>AND(CCData[[#This Row],[Date]]&gt;=Calculation!$E$3,CCData[[#This Row],[Date]]&lt;Calculation!$E$3+7)</f>
        <v>0</v>
      </c>
    </row>
    <row r="3465" spans="1:10">
      <c r="A3465" t="s">
        <v>3464</v>
      </c>
      <c r="B3465" s="2">
        <v>42065.451000000001</v>
      </c>
      <c r="C3465" s="3" t="s">
        <v>5005</v>
      </c>
      <c r="D3465" t="s">
        <v>5015</v>
      </c>
      <c r="E3465" t="s">
        <v>5018</v>
      </c>
      <c r="F3465" t="s">
        <v>5018</v>
      </c>
      <c r="G3465">
        <v>42</v>
      </c>
      <c r="H3465" s="5">
        <v>2.5918082110692703E-3</v>
      </c>
      <c r="I3465">
        <v>4</v>
      </c>
      <c r="J3465" t="b">
        <f>AND(CCData[[#This Row],[Date]]&gt;=Calculation!$E$3,CCData[[#This Row],[Date]]&lt;Calculation!$E$3+7)</f>
        <v>0</v>
      </c>
    </row>
    <row r="3466" spans="1:10">
      <c r="A3466" t="s">
        <v>3465</v>
      </c>
      <c r="B3466" s="2">
        <v>42065.453999999998</v>
      </c>
      <c r="C3466" s="3" t="s">
        <v>5005</v>
      </c>
      <c r="D3466" t="s">
        <v>5013</v>
      </c>
      <c r="E3466" t="s">
        <v>5018</v>
      </c>
      <c r="F3466" t="s">
        <v>5018</v>
      </c>
      <c r="G3466">
        <v>82</v>
      </c>
      <c r="H3466" s="5">
        <v>3.9596063780667125E-3</v>
      </c>
      <c r="I3466">
        <v>5</v>
      </c>
      <c r="J3466" t="b">
        <f>AND(CCData[[#This Row],[Date]]&gt;=Calculation!$E$3,CCData[[#This Row],[Date]]&lt;Calculation!$E$3+7)</f>
        <v>0</v>
      </c>
    </row>
    <row r="3467" spans="1:10">
      <c r="A3467" t="s">
        <v>3466</v>
      </c>
      <c r="B3467" s="2">
        <v>42065.453999999998</v>
      </c>
      <c r="C3467" s="3" t="s">
        <v>5003</v>
      </c>
      <c r="D3467" t="s">
        <v>5013</v>
      </c>
      <c r="E3467" t="s">
        <v>5018</v>
      </c>
      <c r="F3467" t="s">
        <v>5018</v>
      </c>
      <c r="G3467">
        <v>42</v>
      </c>
      <c r="H3467" s="5">
        <v>5.6413046967076564E-4</v>
      </c>
      <c r="I3467">
        <v>4</v>
      </c>
      <c r="J3467" t="b">
        <f>AND(CCData[[#This Row],[Date]]&gt;=Calculation!$E$3,CCData[[#This Row],[Date]]&lt;Calculation!$E$3+7)</f>
        <v>0</v>
      </c>
    </row>
    <row r="3468" spans="1:10">
      <c r="A3468" t="s">
        <v>3467</v>
      </c>
      <c r="B3468" s="2">
        <v>42065.464</v>
      </c>
      <c r="C3468" s="3" t="s">
        <v>5007</v>
      </c>
      <c r="D3468" t="s">
        <v>5016</v>
      </c>
      <c r="E3468" t="s">
        <v>5019</v>
      </c>
      <c r="F3468" t="s">
        <v>5019</v>
      </c>
      <c r="G3468" t="s">
        <v>5022</v>
      </c>
      <c r="H3468" s="5" t="s">
        <v>5022</v>
      </c>
      <c r="I3468" t="s">
        <v>5022</v>
      </c>
      <c r="J3468" t="b">
        <f>AND(CCData[[#This Row],[Date]]&gt;=Calculation!$E$3,CCData[[#This Row],[Date]]&lt;Calculation!$E$3+7)</f>
        <v>0</v>
      </c>
    </row>
    <row r="3469" spans="1:10">
      <c r="A3469" t="s">
        <v>3468</v>
      </c>
      <c r="B3469" s="2">
        <v>42065.464</v>
      </c>
      <c r="C3469" s="3" t="s">
        <v>5004</v>
      </c>
      <c r="D3469" t="s">
        <v>5014</v>
      </c>
      <c r="E3469" t="s">
        <v>5018</v>
      </c>
      <c r="F3469" t="s">
        <v>5019</v>
      </c>
      <c r="G3469">
        <v>106</v>
      </c>
      <c r="H3469" s="5">
        <v>4.7272744691459834E-3</v>
      </c>
      <c r="I3469">
        <v>3</v>
      </c>
      <c r="J3469" t="b">
        <f>AND(CCData[[#This Row],[Date]]&gt;=Calculation!$E$3,CCData[[#This Row],[Date]]&lt;Calculation!$E$3+7)</f>
        <v>0</v>
      </c>
    </row>
    <row r="3470" spans="1:10">
      <c r="A3470" t="s">
        <v>3469</v>
      </c>
      <c r="B3470" s="2">
        <v>42065.481</v>
      </c>
      <c r="C3470" s="3" t="s">
        <v>5008</v>
      </c>
      <c r="D3470" t="s">
        <v>5016</v>
      </c>
      <c r="E3470" t="s">
        <v>5019</v>
      </c>
      <c r="F3470" t="s">
        <v>5019</v>
      </c>
      <c r="G3470" t="s">
        <v>5022</v>
      </c>
      <c r="H3470" s="5" t="s">
        <v>5022</v>
      </c>
      <c r="I3470" t="s">
        <v>5022</v>
      </c>
      <c r="J3470" t="b">
        <f>AND(CCData[[#This Row],[Date]]&gt;=Calculation!$E$3,CCData[[#This Row],[Date]]&lt;Calculation!$E$3+7)</f>
        <v>0</v>
      </c>
    </row>
    <row r="3471" spans="1:10">
      <c r="A3471" t="s">
        <v>3470</v>
      </c>
      <c r="B3471" s="2">
        <v>42065.481</v>
      </c>
      <c r="C3471" s="3" t="s">
        <v>5003</v>
      </c>
      <c r="D3471" t="s">
        <v>5015</v>
      </c>
      <c r="E3471" t="s">
        <v>5018</v>
      </c>
      <c r="F3471" t="s">
        <v>5018</v>
      </c>
      <c r="G3471">
        <v>89</v>
      </c>
      <c r="H3471" s="5">
        <v>5.9730304695425969E-4</v>
      </c>
      <c r="I3471">
        <v>4</v>
      </c>
      <c r="J3471" t="b">
        <f>AND(CCData[[#This Row],[Date]]&gt;=Calculation!$E$3,CCData[[#This Row],[Date]]&lt;Calculation!$E$3+7)</f>
        <v>0</v>
      </c>
    </row>
    <row r="3472" spans="1:10">
      <c r="A3472" t="s">
        <v>3471</v>
      </c>
      <c r="B3472" s="2">
        <v>42065.498</v>
      </c>
      <c r="C3472" s="3" t="s">
        <v>5006</v>
      </c>
      <c r="D3472" t="s">
        <v>5013</v>
      </c>
      <c r="E3472" t="s">
        <v>5019</v>
      </c>
      <c r="F3472" t="s">
        <v>5019</v>
      </c>
      <c r="G3472" t="s">
        <v>5022</v>
      </c>
      <c r="H3472" s="5" t="s">
        <v>5022</v>
      </c>
      <c r="I3472" t="s">
        <v>5022</v>
      </c>
      <c r="J3472" t="b">
        <f>AND(CCData[[#This Row],[Date]]&gt;=Calculation!$E$3,CCData[[#This Row],[Date]]&lt;Calculation!$E$3+7)</f>
        <v>0</v>
      </c>
    </row>
    <row r="3473" spans="1:10">
      <c r="A3473" t="s">
        <v>3472</v>
      </c>
      <c r="B3473" s="2">
        <v>42065.498</v>
      </c>
      <c r="C3473" s="3" t="s">
        <v>5004</v>
      </c>
      <c r="D3473" t="s">
        <v>5014</v>
      </c>
      <c r="E3473" t="s">
        <v>5018</v>
      </c>
      <c r="F3473" t="s">
        <v>5018</v>
      </c>
      <c r="G3473">
        <v>112</v>
      </c>
      <c r="H3473" s="5">
        <v>3.6282026680634471E-3</v>
      </c>
      <c r="I3473">
        <v>4</v>
      </c>
      <c r="J3473" t="b">
        <f>AND(CCData[[#This Row],[Date]]&gt;=Calculation!$E$3,CCData[[#This Row],[Date]]&lt;Calculation!$E$3+7)</f>
        <v>0</v>
      </c>
    </row>
    <row r="3474" spans="1:10">
      <c r="A3474" t="s">
        <v>3473</v>
      </c>
      <c r="B3474" s="2">
        <v>42065.533000000003</v>
      </c>
      <c r="C3474" s="3" t="s">
        <v>5009</v>
      </c>
      <c r="D3474" t="s">
        <v>5014</v>
      </c>
      <c r="E3474" t="s">
        <v>5018</v>
      </c>
      <c r="F3474" t="s">
        <v>5018</v>
      </c>
      <c r="G3474">
        <v>67</v>
      </c>
      <c r="H3474" s="5">
        <v>3.1992862203224725E-3</v>
      </c>
      <c r="I3474">
        <v>4</v>
      </c>
      <c r="J3474" t="b">
        <f>AND(CCData[[#This Row],[Date]]&gt;=Calculation!$E$3,CCData[[#This Row],[Date]]&lt;Calculation!$E$3+7)</f>
        <v>0</v>
      </c>
    </row>
    <row r="3475" spans="1:10">
      <c r="A3475" t="s">
        <v>3474</v>
      </c>
      <c r="B3475" s="2">
        <v>42065.533000000003</v>
      </c>
      <c r="C3475" s="3" t="s">
        <v>5008</v>
      </c>
      <c r="D3475" t="s">
        <v>5016</v>
      </c>
      <c r="E3475" t="s">
        <v>5018</v>
      </c>
      <c r="F3475" t="s">
        <v>5018</v>
      </c>
      <c r="G3475">
        <v>77</v>
      </c>
      <c r="H3475" s="5">
        <v>2.7394180831387571E-3</v>
      </c>
      <c r="I3475">
        <v>5</v>
      </c>
      <c r="J3475" t="b">
        <f>AND(CCData[[#This Row],[Date]]&gt;=Calculation!$E$3,CCData[[#This Row],[Date]]&lt;Calculation!$E$3+7)</f>
        <v>0</v>
      </c>
    </row>
    <row r="3476" spans="1:10">
      <c r="A3476" t="s">
        <v>3475</v>
      </c>
      <c r="B3476" s="2">
        <v>42065.542000000001</v>
      </c>
      <c r="C3476" s="3" t="s">
        <v>5009</v>
      </c>
      <c r="D3476" t="s">
        <v>5014</v>
      </c>
      <c r="E3476" t="s">
        <v>5018</v>
      </c>
      <c r="F3476" t="s">
        <v>5018</v>
      </c>
      <c r="G3476">
        <v>54</v>
      </c>
      <c r="H3476" s="5">
        <v>7.4451082625761602E-4</v>
      </c>
      <c r="I3476">
        <v>5</v>
      </c>
      <c r="J3476" t="b">
        <f>AND(CCData[[#This Row],[Date]]&gt;=Calculation!$E$3,CCData[[#This Row],[Date]]&lt;Calculation!$E$3+7)</f>
        <v>0</v>
      </c>
    </row>
    <row r="3477" spans="1:10">
      <c r="A3477" t="s">
        <v>3476</v>
      </c>
      <c r="B3477" s="2">
        <v>42065.542000000001</v>
      </c>
      <c r="C3477" s="3" t="s">
        <v>5010</v>
      </c>
      <c r="D3477" t="s">
        <v>5015</v>
      </c>
      <c r="E3477" t="s">
        <v>5018</v>
      </c>
      <c r="F3477" t="s">
        <v>5018</v>
      </c>
      <c r="G3477">
        <v>83</v>
      </c>
      <c r="H3477" s="5">
        <v>2.2814928283680902E-3</v>
      </c>
      <c r="I3477">
        <v>3</v>
      </c>
      <c r="J3477" t="b">
        <f>AND(CCData[[#This Row],[Date]]&gt;=Calculation!$E$3,CCData[[#This Row],[Date]]&lt;Calculation!$E$3+7)</f>
        <v>0</v>
      </c>
    </row>
    <row r="3478" spans="1:10">
      <c r="A3478" t="s">
        <v>3477</v>
      </c>
      <c r="B3478" s="2">
        <v>42065.546999999999</v>
      </c>
      <c r="C3478" s="3" t="s">
        <v>5007</v>
      </c>
      <c r="D3478" t="s">
        <v>5014</v>
      </c>
      <c r="E3478" t="s">
        <v>5018</v>
      </c>
      <c r="F3478" t="s">
        <v>5018</v>
      </c>
      <c r="G3478">
        <v>56</v>
      </c>
      <c r="H3478" s="5">
        <v>3.4725762020308732E-3</v>
      </c>
      <c r="I3478">
        <v>5</v>
      </c>
      <c r="J3478" t="b">
        <f>AND(CCData[[#This Row],[Date]]&gt;=Calculation!$E$3,CCData[[#This Row],[Date]]&lt;Calculation!$E$3+7)</f>
        <v>0</v>
      </c>
    </row>
    <row r="3479" spans="1:10">
      <c r="A3479" t="s">
        <v>3478</v>
      </c>
      <c r="B3479" s="2">
        <v>42065.546999999999</v>
      </c>
      <c r="C3479" s="3" t="s">
        <v>5006</v>
      </c>
      <c r="D3479" t="s">
        <v>5014</v>
      </c>
      <c r="E3479" t="s">
        <v>5019</v>
      </c>
      <c r="F3479" t="s">
        <v>5019</v>
      </c>
      <c r="G3479" t="s">
        <v>5022</v>
      </c>
      <c r="H3479" s="5" t="s">
        <v>5022</v>
      </c>
      <c r="I3479" t="s">
        <v>5022</v>
      </c>
      <c r="J3479" t="b">
        <f>AND(CCData[[#This Row],[Date]]&gt;=Calculation!$E$3,CCData[[#This Row],[Date]]&lt;Calculation!$E$3+7)</f>
        <v>0</v>
      </c>
    </row>
    <row r="3480" spans="1:10">
      <c r="A3480" t="s">
        <v>3479</v>
      </c>
      <c r="B3480" s="2">
        <v>42065.557999999997</v>
      </c>
      <c r="C3480" s="3" t="s">
        <v>5008</v>
      </c>
      <c r="D3480" t="s">
        <v>5014</v>
      </c>
      <c r="E3480" t="s">
        <v>5018</v>
      </c>
      <c r="F3480" t="s">
        <v>5019</v>
      </c>
      <c r="G3480">
        <v>19</v>
      </c>
      <c r="H3480" s="5">
        <v>4.4509586258321904E-3</v>
      </c>
      <c r="I3480">
        <v>2</v>
      </c>
      <c r="J3480" t="b">
        <f>AND(CCData[[#This Row],[Date]]&gt;=Calculation!$E$3,CCData[[#This Row],[Date]]&lt;Calculation!$E$3+7)</f>
        <v>0</v>
      </c>
    </row>
    <row r="3481" spans="1:10">
      <c r="A3481" t="s">
        <v>3480</v>
      </c>
      <c r="B3481" s="2">
        <v>42065.557999999997</v>
      </c>
      <c r="C3481" s="3" t="s">
        <v>5005</v>
      </c>
      <c r="D3481" t="s">
        <v>5015</v>
      </c>
      <c r="E3481" t="s">
        <v>5019</v>
      </c>
      <c r="F3481" t="s">
        <v>5019</v>
      </c>
      <c r="G3481" t="s">
        <v>5022</v>
      </c>
      <c r="H3481" s="5" t="s">
        <v>5022</v>
      </c>
      <c r="I3481" t="s">
        <v>5022</v>
      </c>
      <c r="J3481" t="b">
        <f>AND(CCData[[#This Row],[Date]]&gt;=Calculation!$E$3,CCData[[#This Row],[Date]]&lt;Calculation!$E$3+7)</f>
        <v>0</v>
      </c>
    </row>
    <row r="3482" spans="1:10">
      <c r="A3482" t="s">
        <v>3481</v>
      </c>
      <c r="B3482" s="2">
        <v>42065.557999999997</v>
      </c>
      <c r="C3482" s="3" t="s">
        <v>5009</v>
      </c>
      <c r="D3482" t="s">
        <v>5016</v>
      </c>
      <c r="E3482" t="s">
        <v>5018</v>
      </c>
      <c r="F3482" t="s">
        <v>5018</v>
      </c>
      <c r="G3482">
        <v>47</v>
      </c>
      <c r="H3482" s="5">
        <v>2.8848761240038577E-3</v>
      </c>
      <c r="I3482">
        <v>4</v>
      </c>
      <c r="J3482" t="b">
        <f>AND(CCData[[#This Row],[Date]]&gt;=Calculation!$E$3,CCData[[#This Row],[Date]]&lt;Calculation!$E$3+7)</f>
        <v>0</v>
      </c>
    </row>
    <row r="3483" spans="1:10">
      <c r="A3483" t="s">
        <v>3482</v>
      </c>
      <c r="B3483" s="2">
        <v>42065.557999999997</v>
      </c>
      <c r="C3483" s="3" t="s">
        <v>5003</v>
      </c>
      <c r="D3483" t="s">
        <v>5014</v>
      </c>
      <c r="E3483" t="s">
        <v>5018</v>
      </c>
      <c r="F3483" t="s">
        <v>5018</v>
      </c>
      <c r="G3483">
        <v>89</v>
      </c>
      <c r="H3483" s="5">
        <v>2.348445757240553E-3</v>
      </c>
      <c r="I3483">
        <v>1</v>
      </c>
      <c r="J3483" t="b">
        <f>AND(CCData[[#This Row],[Date]]&gt;=Calculation!$E$3,CCData[[#This Row],[Date]]&lt;Calculation!$E$3+7)</f>
        <v>0</v>
      </c>
    </row>
    <row r="3484" spans="1:10">
      <c r="A3484" t="s">
        <v>3483</v>
      </c>
      <c r="B3484" s="2">
        <v>42065.588000000003</v>
      </c>
      <c r="C3484" s="3" t="s">
        <v>5008</v>
      </c>
      <c r="D3484" t="s">
        <v>5016</v>
      </c>
      <c r="E3484" t="s">
        <v>5019</v>
      </c>
      <c r="F3484" t="s">
        <v>5019</v>
      </c>
      <c r="G3484" t="s">
        <v>5022</v>
      </c>
      <c r="H3484" s="5" t="s">
        <v>5022</v>
      </c>
      <c r="I3484" t="s">
        <v>5022</v>
      </c>
      <c r="J3484" t="b">
        <f>AND(CCData[[#This Row],[Date]]&gt;=Calculation!$E$3,CCData[[#This Row],[Date]]&lt;Calculation!$E$3+7)</f>
        <v>0</v>
      </c>
    </row>
    <row r="3485" spans="1:10">
      <c r="A3485" t="s">
        <v>3484</v>
      </c>
      <c r="B3485" s="2">
        <v>42065.588000000003</v>
      </c>
      <c r="C3485" s="3" t="s">
        <v>5009</v>
      </c>
      <c r="D3485" t="s">
        <v>5014</v>
      </c>
      <c r="E3485" t="s">
        <v>5018</v>
      </c>
      <c r="F3485" t="s">
        <v>5018</v>
      </c>
      <c r="G3485">
        <v>44</v>
      </c>
      <c r="H3485" s="5">
        <v>3.1274724814618878E-3</v>
      </c>
      <c r="I3485">
        <v>3</v>
      </c>
      <c r="J3485" t="b">
        <f>AND(CCData[[#This Row],[Date]]&gt;=Calculation!$E$3,CCData[[#This Row],[Date]]&lt;Calculation!$E$3+7)</f>
        <v>0</v>
      </c>
    </row>
    <row r="3486" spans="1:10">
      <c r="A3486" t="s">
        <v>3485</v>
      </c>
      <c r="B3486" s="2">
        <v>42065.607000000004</v>
      </c>
      <c r="C3486" s="3" t="s">
        <v>5004</v>
      </c>
      <c r="D3486" t="s">
        <v>5014</v>
      </c>
      <c r="E3486" t="s">
        <v>5018</v>
      </c>
      <c r="F3486" t="s">
        <v>5018</v>
      </c>
      <c r="G3486">
        <v>91</v>
      </c>
      <c r="H3486" s="5">
        <v>2.5822720825980148E-3</v>
      </c>
      <c r="I3486">
        <v>5</v>
      </c>
      <c r="J3486" t="b">
        <f>AND(CCData[[#This Row],[Date]]&gt;=Calculation!$E$3,CCData[[#This Row],[Date]]&lt;Calculation!$E$3+7)</f>
        <v>0</v>
      </c>
    </row>
    <row r="3487" spans="1:10">
      <c r="A3487" t="s">
        <v>3486</v>
      </c>
      <c r="B3487" s="2">
        <v>42065.607000000004</v>
      </c>
      <c r="C3487" s="3" t="s">
        <v>5006</v>
      </c>
      <c r="D3487" t="s">
        <v>5015</v>
      </c>
      <c r="E3487" t="s">
        <v>5019</v>
      </c>
      <c r="F3487" t="s">
        <v>5019</v>
      </c>
      <c r="G3487" t="s">
        <v>5022</v>
      </c>
      <c r="H3487" s="5" t="s">
        <v>5022</v>
      </c>
      <c r="I3487" t="s">
        <v>5022</v>
      </c>
      <c r="J3487" t="b">
        <f>AND(CCData[[#This Row],[Date]]&gt;=Calculation!$E$3,CCData[[#This Row],[Date]]&lt;Calculation!$E$3+7)</f>
        <v>0</v>
      </c>
    </row>
    <row r="3488" spans="1:10">
      <c r="A3488" t="s">
        <v>3487</v>
      </c>
      <c r="B3488" s="2">
        <v>42065.623</v>
      </c>
      <c r="C3488" s="3" t="s">
        <v>5009</v>
      </c>
      <c r="D3488" t="s">
        <v>5014</v>
      </c>
      <c r="E3488" t="s">
        <v>5018</v>
      </c>
      <c r="F3488" t="s">
        <v>5018</v>
      </c>
      <c r="G3488">
        <v>75</v>
      </c>
      <c r="H3488" s="5">
        <v>4.8530377727213619E-3</v>
      </c>
      <c r="I3488">
        <v>4</v>
      </c>
      <c r="J3488" t="b">
        <f>AND(CCData[[#This Row],[Date]]&gt;=Calculation!$E$3,CCData[[#This Row],[Date]]&lt;Calculation!$E$3+7)</f>
        <v>0</v>
      </c>
    </row>
    <row r="3489" spans="1:10">
      <c r="A3489" t="s">
        <v>3488</v>
      </c>
      <c r="B3489" s="2">
        <v>42065.623</v>
      </c>
      <c r="C3489" s="3" t="s">
        <v>5006</v>
      </c>
      <c r="D3489" t="s">
        <v>5012</v>
      </c>
      <c r="E3489" t="s">
        <v>5018</v>
      </c>
      <c r="F3489" t="s">
        <v>5018</v>
      </c>
      <c r="G3489">
        <v>62</v>
      </c>
      <c r="H3489" s="5">
        <v>2.5370937954877809E-3</v>
      </c>
      <c r="I3489">
        <v>4</v>
      </c>
      <c r="J3489" t="b">
        <f>AND(CCData[[#This Row],[Date]]&gt;=Calculation!$E$3,CCData[[#This Row],[Date]]&lt;Calculation!$E$3+7)</f>
        <v>0</v>
      </c>
    </row>
    <row r="3490" spans="1:10">
      <c r="A3490" t="s">
        <v>3489</v>
      </c>
      <c r="B3490" s="2">
        <v>42065.641000000003</v>
      </c>
      <c r="C3490" s="3" t="s">
        <v>5009</v>
      </c>
      <c r="D3490" t="s">
        <v>5013</v>
      </c>
      <c r="E3490" t="s">
        <v>5018</v>
      </c>
      <c r="F3490" t="s">
        <v>5018</v>
      </c>
      <c r="G3490">
        <v>31</v>
      </c>
      <c r="H3490" s="5">
        <v>3.5270613757955625E-4</v>
      </c>
      <c r="I3490">
        <v>4</v>
      </c>
      <c r="J3490" t="b">
        <f>AND(CCData[[#This Row],[Date]]&gt;=Calculation!$E$3,CCData[[#This Row],[Date]]&lt;Calculation!$E$3+7)</f>
        <v>0</v>
      </c>
    </row>
    <row r="3491" spans="1:10">
      <c r="A3491" t="s">
        <v>3490</v>
      </c>
      <c r="B3491" s="2">
        <v>42065.641000000003</v>
      </c>
      <c r="C3491" s="3" t="s">
        <v>5010</v>
      </c>
      <c r="D3491" t="s">
        <v>5012</v>
      </c>
      <c r="E3491" t="s">
        <v>5018</v>
      </c>
      <c r="F3491" t="s">
        <v>5018</v>
      </c>
      <c r="G3491">
        <v>122</v>
      </c>
      <c r="H3491" s="5">
        <v>3.0599047061886401E-3</v>
      </c>
      <c r="I3491">
        <v>1</v>
      </c>
      <c r="J3491" t="b">
        <f>AND(CCData[[#This Row],[Date]]&gt;=Calculation!$E$3,CCData[[#This Row],[Date]]&lt;Calculation!$E$3+7)</f>
        <v>0</v>
      </c>
    </row>
    <row r="3492" spans="1:10">
      <c r="A3492" t="s">
        <v>3491</v>
      </c>
      <c r="B3492" s="2">
        <v>42065.65</v>
      </c>
      <c r="C3492" s="3" t="s">
        <v>5009</v>
      </c>
      <c r="D3492" t="s">
        <v>5013</v>
      </c>
      <c r="E3492" t="s">
        <v>5018</v>
      </c>
      <c r="F3492" t="s">
        <v>5018</v>
      </c>
      <c r="G3492">
        <v>80</v>
      </c>
      <c r="H3492" s="5">
        <v>1.5603940796460206E-3</v>
      </c>
      <c r="I3492">
        <v>3</v>
      </c>
      <c r="J3492" t="b">
        <f>AND(CCData[[#This Row],[Date]]&gt;=Calculation!$E$3,CCData[[#This Row],[Date]]&lt;Calculation!$E$3+7)</f>
        <v>0</v>
      </c>
    </row>
    <row r="3493" spans="1:10">
      <c r="A3493" t="s">
        <v>3492</v>
      </c>
      <c r="B3493" s="2">
        <v>42065.65</v>
      </c>
      <c r="C3493" s="3" t="s">
        <v>5008</v>
      </c>
      <c r="D3493" t="s">
        <v>5013</v>
      </c>
      <c r="E3493" t="s">
        <v>5018</v>
      </c>
      <c r="F3493" t="s">
        <v>5018</v>
      </c>
      <c r="G3493">
        <v>105</v>
      </c>
      <c r="H3493" s="5">
        <v>3.8310786307230939E-3</v>
      </c>
      <c r="I3493">
        <v>5</v>
      </c>
      <c r="J3493" t="b">
        <f>AND(CCData[[#This Row],[Date]]&gt;=Calculation!$E$3,CCData[[#This Row],[Date]]&lt;Calculation!$E$3+7)</f>
        <v>0</v>
      </c>
    </row>
    <row r="3494" spans="1:10">
      <c r="A3494" t="s">
        <v>3493</v>
      </c>
      <c r="B3494" s="2">
        <v>42065.658000000003</v>
      </c>
      <c r="C3494" s="3" t="s">
        <v>5006</v>
      </c>
      <c r="D3494" t="s">
        <v>5016</v>
      </c>
      <c r="E3494" t="s">
        <v>5018</v>
      </c>
      <c r="F3494" t="s">
        <v>5018</v>
      </c>
      <c r="G3494">
        <v>91</v>
      </c>
      <c r="H3494" s="5">
        <v>4.6232740360950186E-3</v>
      </c>
      <c r="I3494">
        <v>3</v>
      </c>
      <c r="J3494" t="b">
        <f>AND(CCData[[#This Row],[Date]]&gt;=Calculation!$E$3,CCData[[#This Row],[Date]]&lt;Calculation!$E$3+7)</f>
        <v>0</v>
      </c>
    </row>
    <row r="3495" spans="1:10">
      <c r="A3495" t="s">
        <v>3494</v>
      </c>
      <c r="B3495" s="2">
        <v>42065.658000000003</v>
      </c>
      <c r="C3495" s="3" t="s">
        <v>5006</v>
      </c>
      <c r="D3495" t="s">
        <v>5014</v>
      </c>
      <c r="E3495" t="s">
        <v>5018</v>
      </c>
      <c r="F3495" t="s">
        <v>5018</v>
      </c>
      <c r="G3495">
        <v>66</v>
      </c>
      <c r="H3495" s="5">
        <v>9.448855960400035E-4</v>
      </c>
      <c r="I3495">
        <v>4</v>
      </c>
      <c r="J3495" t="b">
        <f>AND(CCData[[#This Row],[Date]]&gt;=Calculation!$E$3,CCData[[#This Row],[Date]]&lt;Calculation!$E$3+7)</f>
        <v>0</v>
      </c>
    </row>
    <row r="3496" spans="1:10">
      <c r="A3496" t="s">
        <v>3495</v>
      </c>
      <c r="B3496" s="2">
        <v>42065.671999999999</v>
      </c>
      <c r="C3496" s="3" t="s">
        <v>5009</v>
      </c>
      <c r="D3496" t="s">
        <v>5014</v>
      </c>
      <c r="E3496" t="s">
        <v>5018</v>
      </c>
      <c r="F3496" t="s">
        <v>5018</v>
      </c>
      <c r="G3496">
        <v>26</v>
      </c>
      <c r="H3496" s="5">
        <v>1.7350781779541177E-3</v>
      </c>
      <c r="I3496">
        <v>3</v>
      </c>
      <c r="J3496" t="b">
        <f>AND(CCData[[#This Row],[Date]]&gt;=Calculation!$E$3,CCData[[#This Row],[Date]]&lt;Calculation!$E$3+7)</f>
        <v>0</v>
      </c>
    </row>
    <row r="3497" spans="1:10">
      <c r="A3497" t="s">
        <v>3496</v>
      </c>
      <c r="B3497" s="2">
        <v>42065.671999999999</v>
      </c>
      <c r="C3497" s="3" t="s">
        <v>5005</v>
      </c>
      <c r="D3497" t="s">
        <v>5014</v>
      </c>
      <c r="E3497" t="s">
        <v>5018</v>
      </c>
      <c r="F3497" t="s">
        <v>5018</v>
      </c>
      <c r="G3497">
        <v>72</v>
      </c>
      <c r="H3497" s="5">
        <v>2.1659187368539838E-3</v>
      </c>
      <c r="I3497">
        <v>3</v>
      </c>
      <c r="J3497" t="b">
        <f>AND(CCData[[#This Row],[Date]]&gt;=Calculation!$E$3,CCData[[#This Row],[Date]]&lt;Calculation!$E$3+7)</f>
        <v>0</v>
      </c>
    </row>
    <row r="3498" spans="1:10">
      <c r="A3498" t="s">
        <v>3497</v>
      </c>
      <c r="B3498" s="2">
        <v>42065.684999999998</v>
      </c>
      <c r="C3498" s="3" t="s">
        <v>5003</v>
      </c>
      <c r="D3498" t="s">
        <v>5013</v>
      </c>
      <c r="E3498" t="s">
        <v>5018</v>
      </c>
      <c r="F3498" t="s">
        <v>5018</v>
      </c>
      <c r="G3498">
        <v>71</v>
      </c>
      <c r="H3498" s="5">
        <v>3.7846950072127528E-3</v>
      </c>
      <c r="I3498">
        <v>3</v>
      </c>
      <c r="J3498" t="b">
        <f>AND(CCData[[#This Row],[Date]]&gt;=Calculation!$E$3,CCData[[#This Row],[Date]]&lt;Calculation!$E$3+7)</f>
        <v>0</v>
      </c>
    </row>
    <row r="3499" spans="1:10">
      <c r="A3499" t="s">
        <v>3498</v>
      </c>
      <c r="B3499" s="2">
        <v>42065.684999999998</v>
      </c>
      <c r="C3499" s="3" t="s">
        <v>5007</v>
      </c>
      <c r="D3499" t="s">
        <v>5012</v>
      </c>
      <c r="E3499" t="s">
        <v>5019</v>
      </c>
      <c r="F3499" t="s">
        <v>5019</v>
      </c>
      <c r="G3499" t="s">
        <v>5022</v>
      </c>
      <c r="H3499" s="5" t="s">
        <v>5022</v>
      </c>
      <c r="I3499" t="s">
        <v>5022</v>
      </c>
      <c r="J3499" t="b">
        <f>AND(CCData[[#This Row],[Date]]&gt;=Calculation!$E$3,CCData[[#This Row],[Date]]&lt;Calculation!$E$3+7)</f>
        <v>0</v>
      </c>
    </row>
    <row r="3500" spans="1:10">
      <c r="A3500" t="s">
        <v>3499</v>
      </c>
      <c r="B3500" s="2">
        <v>42065.688000000002</v>
      </c>
      <c r="C3500" s="3" t="s">
        <v>5008</v>
      </c>
      <c r="D3500" t="s">
        <v>5015</v>
      </c>
      <c r="E3500" t="s">
        <v>5018</v>
      </c>
      <c r="F3500" t="s">
        <v>5018</v>
      </c>
      <c r="G3500">
        <v>115</v>
      </c>
      <c r="H3500" s="5">
        <v>3.2724735327173612E-3</v>
      </c>
      <c r="I3500">
        <v>5</v>
      </c>
      <c r="J3500" t="b">
        <f>AND(CCData[[#This Row],[Date]]&gt;=Calculation!$E$3,CCData[[#This Row],[Date]]&lt;Calculation!$E$3+7)</f>
        <v>0</v>
      </c>
    </row>
    <row r="3501" spans="1:10">
      <c r="A3501" t="s">
        <v>3500</v>
      </c>
      <c r="B3501" s="2">
        <v>42065.688000000002</v>
      </c>
      <c r="C3501" s="3" t="s">
        <v>5010</v>
      </c>
      <c r="D3501" t="s">
        <v>5015</v>
      </c>
      <c r="E3501" t="s">
        <v>5018</v>
      </c>
      <c r="F3501" t="s">
        <v>5018</v>
      </c>
      <c r="G3501">
        <v>69</v>
      </c>
      <c r="H3501" s="5">
        <v>2.5359105413089765E-3</v>
      </c>
      <c r="I3501">
        <v>2</v>
      </c>
      <c r="J3501" t="b">
        <f>AND(CCData[[#This Row],[Date]]&gt;=Calculation!$E$3,CCData[[#This Row],[Date]]&lt;Calculation!$E$3+7)</f>
        <v>0</v>
      </c>
    </row>
    <row r="3502" spans="1:10">
      <c r="A3502" t="s">
        <v>3501</v>
      </c>
      <c r="B3502" s="2">
        <v>42065.688000000002</v>
      </c>
      <c r="C3502" s="3" t="s">
        <v>5008</v>
      </c>
      <c r="D3502" t="s">
        <v>5016</v>
      </c>
      <c r="E3502" t="s">
        <v>5018</v>
      </c>
      <c r="F3502" t="s">
        <v>5018</v>
      </c>
      <c r="G3502">
        <v>30</v>
      </c>
      <c r="H3502" s="5">
        <v>1.0346336559087519E-3</v>
      </c>
      <c r="I3502">
        <v>4</v>
      </c>
      <c r="J3502" t="b">
        <f>AND(CCData[[#This Row],[Date]]&gt;=Calculation!$E$3,CCData[[#This Row],[Date]]&lt;Calculation!$E$3+7)</f>
        <v>0</v>
      </c>
    </row>
    <row r="3503" spans="1:10">
      <c r="A3503" t="s">
        <v>3502</v>
      </c>
      <c r="B3503" s="2">
        <v>42065.688000000002</v>
      </c>
      <c r="C3503" s="3" t="s">
        <v>5005</v>
      </c>
      <c r="D3503" t="s">
        <v>5012</v>
      </c>
      <c r="E3503" t="s">
        <v>5018</v>
      </c>
      <c r="F3503" t="s">
        <v>5018</v>
      </c>
      <c r="G3503">
        <v>85</v>
      </c>
      <c r="H3503" s="5">
        <v>2.6696430366477055E-3</v>
      </c>
      <c r="I3503">
        <v>3</v>
      </c>
      <c r="J3503" t="b">
        <f>AND(CCData[[#This Row],[Date]]&gt;=Calculation!$E$3,CCData[[#This Row],[Date]]&lt;Calculation!$E$3+7)</f>
        <v>0</v>
      </c>
    </row>
    <row r="3504" spans="1:10">
      <c r="A3504" t="s">
        <v>3503</v>
      </c>
      <c r="B3504" s="2">
        <v>42065.696000000004</v>
      </c>
      <c r="C3504" s="3" t="s">
        <v>5006</v>
      </c>
      <c r="D3504" t="s">
        <v>5015</v>
      </c>
      <c r="E3504" t="s">
        <v>5018</v>
      </c>
      <c r="F3504" t="s">
        <v>5018</v>
      </c>
      <c r="G3504">
        <v>54</v>
      </c>
      <c r="H3504" s="5">
        <v>4.3197052638992177E-3</v>
      </c>
      <c r="I3504">
        <v>4</v>
      </c>
      <c r="J3504" t="b">
        <f>AND(CCData[[#This Row],[Date]]&gt;=Calculation!$E$3,CCData[[#This Row],[Date]]&lt;Calculation!$E$3+7)</f>
        <v>0</v>
      </c>
    </row>
    <row r="3505" spans="1:10">
      <c r="A3505" t="s">
        <v>3504</v>
      </c>
      <c r="B3505" s="2">
        <v>42065.696000000004</v>
      </c>
      <c r="C3505" s="3" t="s">
        <v>5010</v>
      </c>
      <c r="D3505" t="s">
        <v>5012</v>
      </c>
      <c r="E3505" t="s">
        <v>5019</v>
      </c>
      <c r="F3505" t="s">
        <v>5019</v>
      </c>
      <c r="G3505" t="s">
        <v>5022</v>
      </c>
      <c r="H3505" s="5" t="s">
        <v>5022</v>
      </c>
      <c r="I3505" t="s">
        <v>5022</v>
      </c>
      <c r="J3505" t="b">
        <f>AND(CCData[[#This Row],[Date]]&gt;=Calculation!$E$3,CCData[[#This Row],[Date]]&lt;Calculation!$E$3+7)</f>
        <v>0</v>
      </c>
    </row>
    <row r="3506" spans="1:10">
      <c r="A3506" t="s">
        <v>3505</v>
      </c>
      <c r="B3506" s="2">
        <v>42065.697999999997</v>
      </c>
      <c r="C3506" s="3" t="s">
        <v>5003</v>
      </c>
      <c r="D3506" t="s">
        <v>5012</v>
      </c>
      <c r="E3506" t="s">
        <v>5019</v>
      </c>
      <c r="F3506" t="s">
        <v>5019</v>
      </c>
      <c r="G3506" t="s">
        <v>5022</v>
      </c>
      <c r="H3506" s="5" t="s">
        <v>5022</v>
      </c>
      <c r="I3506" t="s">
        <v>5022</v>
      </c>
      <c r="J3506" t="b">
        <f>AND(CCData[[#This Row],[Date]]&gt;=Calculation!$E$3,CCData[[#This Row],[Date]]&lt;Calculation!$E$3+7)</f>
        <v>0</v>
      </c>
    </row>
    <row r="3507" spans="1:10">
      <c r="A3507" t="s">
        <v>3506</v>
      </c>
      <c r="B3507" s="2">
        <v>42065.697999999997</v>
      </c>
      <c r="C3507" s="3" t="s">
        <v>5007</v>
      </c>
      <c r="D3507" t="s">
        <v>5013</v>
      </c>
      <c r="E3507" t="s">
        <v>5018</v>
      </c>
      <c r="F3507" t="s">
        <v>5018</v>
      </c>
      <c r="G3507">
        <v>122</v>
      </c>
      <c r="H3507" s="5">
        <v>1.7514798126642508E-3</v>
      </c>
      <c r="I3507">
        <v>3</v>
      </c>
      <c r="J3507" t="b">
        <f>AND(CCData[[#This Row],[Date]]&gt;=Calculation!$E$3,CCData[[#This Row],[Date]]&lt;Calculation!$E$3+7)</f>
        <v>0</v>
      </c>
    </row>
    <row r="3508" spans="1:10">
      <c r="A3508" t="s">
        <v>3507</v>
      </c>
      <c r="B3508" s="2">
        <v>42065.712</v>
      </c>
      <c r="C3508" s="3" t="s">
        <v>5009</v>
      </c>
      <c r="D3508" t="s">
        <v>5015</v>
      </c>
      <c r="E3508" t="s">
        <v>5018</v>
      </c>
      <c r="F3508" t="s">
        <v>5018</v>
      </c>
      <c r="G3508">
        <v>48</v>
      </c>
      <c r="H3508" s="5">
        <v>4.0259630089428972E-3</v>
      </c>
      <c r="I3508">
        <v>3</v>
      </c>
      <c r="J3508" t="b">
        <f>AND(CCData[[#This Row],[Date]]&gt;=Calculation!$E$3,CCData[[#This Row],[Date]]&lt;Calculation!$E$3+7)</f>
        <v>0</v>
      </c>
    </row>
    <row r="3509" spans="1:10">
      <c r="A3509" t="s">
        <v>3508</v>
      </c>
      <c r="B3509" s="2">
        <v>42065.712</v>
      </c>
      <c r="C3509" s="3" t="s">
        <v>5007</v>
      </c>
      <c r="D3509" t="s">
        <v>5016</v>
      </c>
      <c r="E3509" t="s">
        <v>5018</v>
      </c>
      <c r="F3509" t="s">
        <v>5018</v>
      </c>
      <c r="G3509">
        <v>13</v>
      </c>
      <c r="H3509" s="5">
        <v>2.0448351000014382E-3</v>
      </c>
      <c r="I3509">
        <v>1</v>
      </c>
      <c r="J3509" t="b">
        <f>AND(CCData[[#This Row],[Date]]&gt;=Calculation!$E$3,CCData[[#This Row],[Date]]&lt;Calculation!$E$3+7)</f>
        <v>0</v>
      </c>
    </row>
    <row r="3510" spans="1:10">
      <c r="A3510" t="s">
        <v>3509</v>
      </c>
      <c r="B3510" s="2">
        <v>42065.716999999997</v>
      </c>
      <c r="C3510" s="3" t="s">
        <v>5003</v>
      </c>
      <c r="D3510" t="s">
        <v>5015</v>
      </c>
      <c r="E3510" t="s">
        <v>5018</v>
      </c>
      <c r="F3510" t="s">
        <v>5018</v>
      </c>
      <c r="G3510">
        <v>23</v>
      </c>
      <c r="H3510" s="5">
        <v>2.5363021718383047E-3</v>
      </c>
      <c r="I3510">
        <v>3</v>
      </c>
      <c r="J3510" t="b">
        <f>AND(CCData[[#This Row],[Date]]&gt;=Calculation!$E$3,CCData[[#This Row],[Date]]&lt;Calculation!$E$3+7)</f>
        <v>0</v>
      </c>
    </row>
    <row r="3511" spans="1:10">
      <c r="A3511" t="s">
        <v>3510</v>
      </c>
      <c r="B3511" s="2">
        <v>42065.716999999997</v>
      </c>
      <c r="C3511" s="3" t="s">
        <v>5010</v>
      </c>
      <c r="D3511" t="s">
        <v>5016</v>
      </c>
      <c r="E3511" t="s">
        <v>5018</v>
      </c>
      <c r="F3511" t="s">
        <v>5018</v>
      </c>
      <c r="G3511">
        <v>13</v>
      </c>
      <c r="H3511" s="5">
        <v>8.0163915740661122E-4</v>
      </c>
      <c r="I3511">
        <v>4</v>
      </c>
      <c r="J3511" t="b">
        <f>AND(CCData[[#This Row],[Date]]&gt;=Calculation!$E$3,CCData[[#This Row],[Date]]&lt;Calculation!$E$3+7)</f>
        <v>0</v>
      </c>
    </row>
    <row r="3512" spans="1:10">
      <c r="A3512" t="s">
        <v>3511</v>
      </c>
      <c r="B3512" s="2">
        <v>42065.720999999998</v>
      </c>
      <c r="C3512" s="3" t="s">
        <v>5007</v>
      </c>
      <c r="D3512" t="s">
        <v>5013</v>
      </c>
      <c r="E3512" t="s">
        <v>5018</v>
      </c>
      <c r="F3512" t="s">
        <v>5018</v>
      </c>
      <c r="G3512">
        <v>16</v>
      </c>
      <c r="H3512" s="5">
        <v>4.1411896430556599E-3</v>
      </c>
      <c r="I3512">
        <v>3</v>
      </c>
      <c r="J3512" t="b">
        <f>AND(CCData[[#This Row],[Date]]&gt;=Calculation!$E$3,CCData[[#This Row],[Date]]&lt;Calculation!$E$3+7)</f>
        <v>0</v>
      </c>
    </row>
    <row r="3513" spans="1:10">
      <c r="A3513" t="s">
        <v>3512</v>
      </c>
      <c r="B3513" s="2">
        <v>42065.720999999998</v>
      </c>
      <c r="C3513" s="3" t="s">
        <v>5007</v>
      </c>
      <c r="D3513" t="s">
        <v>5012</v>
      </c>
      <c r="E3513" t="s">
        <v>5019</v>
      </c>
      <c r="F3513" t="s">
        <v>5019</v>
      </c>
      <c r="G3513" t="s">
        <v>5022</v>
      </c>
      <c r="H3513" s="5" t="s">
        <v>5022</v>
      </c>
      <c r="I3513" t="s">
        <v>5022</v>
      </c>
      <c r="J3513" t="b">
        <f>AND(CCData[[#This Row],[Date]]&gt;=Calculation!$E$3,CCData[[#This Row],[Date]]&lt;Calculation!$E$3+7)</f>
        <v>0</v>
      </c>
    </row>
    <row r="3514" spans="1:10">
      <c r="A3514" t="s">
        <v>3513</v>
      </c>
      <c r="B3514" s="2">
        <v>42065.728999999999</v>
      </c>
      <c r="C3514" s="3" t="s">
        <v>5004</v>
      </c>
      <c r="D3514" t="s">
        <v>5016</v>
      </c>
      <c r="E3514" t="s">
        <v>5018</v>
      </c>
      <c r="F3514" t="s">
        <v>5018</v>
      </c>
      <c r="G3514">
        <v>49</v>
      </c>
      <c r="H3514" s="5">
        <v>2.947993118031342E-3</v>
      </c>
      <c r="I3514">
        <v>3</v>
      </c>
      <c r="J3514" t="b">
        <f>AND(CCData[[#This Row],[Date]]&gt;=Calculation!$E$3,CCData[[#This Row],[Date]]&lt;Calculation!$E$3+7)</f>
        <v>0</v>
      </c>
    </row>
    <row r="3515" spans="1:10">
      <c r="A3515" t="s">
        <v>3514</v>
      </c>
      <c r="B3515" s="2">
        <v>42065.728999999999</v>
      </c>
      <c r="C3515" s="3" t="s">
        <v>5004</v>
      </c>
      <c r="D3515" t="s">
        <v>5012</v>
      </c>
      <c r="E3515" t="s">
        <v>5018</v>
      </c>
      <c r="F3515" t="s">
        <v>5018</v>
      </c>
      <c r="G3515">
        <v>76</v>
      </c>
      <c r="H3515" s="5">
        <v>9.8552117868341317E-4</v>
      </c>
      <c r="I3515">
        <v>3</v>
      </c>
      <c r="J3515" t="b">
        <f>AND(CCData[[#This Row],[Date]]&gt;=Calculation!$E$3,CCData[[#This Row],[Date]]&lt;Calculation!$E$3+7)</f>
        <v>0</v>
      </c>
    </row>
    <row r="3516" spans="1:10">
      <c r="A3516" t="s">
        <v>3515</v>
      </c>
      <c r="B3516" s="2">
        <v>42066.389000000003</v>
      </c>
      <c r="C3516" s="3" t="s">
        <v>5006</v>
      </c>
      <c r="D3516" t="s">
        <v>5013</v>
      </c>
      <c r="E3516" t="s">
        <v>5019</v>
      </c>
      <c r="F3516" t="s">
        <v>5019</v>
      </c>
      <c r="G3516" t="s">
        <v>5022</v>
      </c>
      <c r="H3516" s="5" t="s">
        <v>5022</v>
      </c>
      <c r="I3516" t="s">
        <v>5022</v>
      </c>
      <c r="J3516" t="b">
        <f>AND(CCData[[#This Row],[Date]]&gt;=Calculation!$E$3,CCData[[#This Row],[Date]]&lt;Calculation!$E$3+7)</f>
        <v>0</v>
      </c>
    </row>
    <row r="3517" spans="1:10">
      <c r="A3517" t="s">
        <v>3516</v>
      </c>
      <c r="B3517" s="2">
        <v>42066.389000000003</v>
      </c>
      <c r="C3517" s="3" t="s">
        <v>5003</v>
      </c>
      <c r="D3517" t="s">
        <v>5016</v>
      </c>
      <c r="E3517" t="s">
        <v>5019</v>
      </c>
      <c r="F3517" t="s">
        <v>5019</v>
      </c>
      <c r="G3517" t="s">
        <v>5022</v>
      </c>
      <c r="H3517" s="5" t="s">
        <v>5022</v>
      </c>
      <c r="I3517" t="s">
        <v>5022</v>
      </c>
      <c r="J3517" t="b">
        <f>AND(CCData[[#This Row],[Date]]&gt;=Calculation!$E$3,CCData[[#This Row],[Date]]&lt;Calculation!$E$3+7)</f>
        <v>0</v>
      </c>
    </row>
    <row r="3518" spans="1:10">
      <c r="A3518" t="s">
        <v>3517</v>
      </c>
      <c r="B3518" s="2">
        <v>42066.402999999998</v>
      </c>
      <c r="C3518" s="3" t="s">
        <v>5008</v>
      </c>
      <c r="D3518" t="s">
        <v>5012</v>
      </c>
      <c r="E3518" t="s">
        <v>5019</v>
      </c>
      <c r="F3518" t="s">
        <v>5019</v>
      </c>
      <c r="G3518" t="s">
        <v>5022</v>
      </c>
      <c r="H3518" s="5" t="s">
        <v>5022</v>
      </c>
      <c r="I3518" t="s">
        <v>5022</v>
      </c>
      <c r="J3518" t="b">
        <f>AND(CCData[[#This Row],[Date]]&gt;=Calculation!$E$3,CCData[[#This Row],[Date]]&lt;Calculation!$E$3+7)</f>
        <v>0</v>
      </c>
    </row>
    <row r="3519" spans="1:10">
      <c r="A3519" t="s">
        <v>3518</v>
      </c>
      <c r="B3519" s="2">
        <v>42066.402999999998</v>
      </c>
      <c r="C3519" s="3" t="s">
        <v>5007</v>
      </c>
      <c r="D3519" t="s">
        <v>5016</v>
      </c>
      <c r="E3519" t="s">
        <v>5018</v>
      </c>
      <c r="F3519" t="s">
        <v>5018</v>
      </c>
      <c r="G3519">
        <v>43</v>
      </c>
      <c r="H3519" s="5">
        <v>2.2532353051391871E-3</v>
      </c>
      <c r="I3519">
        <v>4</v>
      </c>
      <c r="J3519" t="b">
        <f>AND(CCData[[#This Row],[Date]]&gt;=Calculation!$E$3,CCData[[#This Row],[Date]]&lt;Calculation!$E$3+7)</f>
        <v>0</v>
      </c>
    </row>
    <row r="3520" spans="1:10">
      <c r="A3520" t="s">
        <v>3519</v>
      </c>
      <c r="B3520" s="2">
        <v>42066.41</v>
      </c>
      <c r="C3520" s="3" t="s">
        <v>5009</v>
      </c>
      <c r="D3520" t="s">
        <v>5016</v>
      </c>
      <c r="E3520" t="s">
        <v>5018</v>
      </c>
      <c r="F3520" t="s">
        <v>5019</v>
      </c>
      <c r="G3520">
        <v>118</v>
      </c>
      <c r="H3520" s="5">
        <v>1.0080090238425018E-3</v>
      </c>
      <c r="I3520">
        <v>5</v>
      </c>
      <c r="J3520" t="b">
        <f>AND(CCData[[#This Row],[Date]]&gt;=Calculation!$E$3,CCData[[#This Row],[Date]]&lt;Calculation!$E$3+7)</f>
        <v>0</v>
      </c>
    </row>
    <row r="3521" spans="1:10">
      <c r="A3521" t="s">
        <v>3520</v>
      </c>
      <c r="B3521" s="2">
        <v>42066.41</v>
      </c>
      <c r="C3521" s="3" t="s">
        <v>5006</v>
      </c>
      <c r="D3521" t="s">
        <v>5016</v>
      </c>
      <c r="E3521" t="s">
        <v>5018</v>
      </c>
      <c r="F3521" t="s">
        <v>5018</v>
      </c>
      <c r="G3521">
        <v>57</v>
      </c>
      <c r="H3521" s="5">
        <v>9.7934383648104408E-4</v>
      </c>
      <c r="I3521">
        <v>4</v>
      </c>
      <c r="J3521" t="b">
        <f>AND(CCData[[#This Row],[Date]]&gt;=Calculation!$E$3,CCData[[#This Row],[Date]]&lt;Calculation!$E$3+7)</f>
        <v>0</v>
      </c>
    </row>
    <row r="3522" spans="1:10">
      <c r="A3522" t="s">
        <v>3521</v>
      </c>
      <c r="B3522" s="2">
        <v>42066.421999999999</v>
      </c>
      <c r="C3522" s="3" t="s">
        <v>5003</v>
      </c>
      <c r="D3522" t="s">
        <v>5015</v>
      </c>
      <c r="E3522" t="s">
        <v>5018</v>
      </c>
      <c r="F3522" t="s">
        <v>5018</v>
      </c>
      <c r="G3522">
        <v>79</v>
      </c>
      <c r="H3522" s="5">
        <v>2.5093782509247676E-3</v>
      </c>
      <c r="I3522">
        <v>2</v>
      </c>
      <c r="J3522" t="b">
        <f>AND(CCData[[#This Row],[Date]]&gt;=Calculation!$E$3,CCData[[#This Row],[Date]]&lt;Calculation!$E$3+7)</f>
        <v>0</v>
      </c>
    </row>
    <row r="3523" spans="1:10">
      <c r="A3523" t="s">
        <v>3522</v>
      </c>
      <c r="B3523" s="2">
        <v>42066.421999999999</v>
      </c>
      <c r="C3523" s="3" t="s">
        <v>5010</v>
      </c>
      <c r="D3523" t="s">
        <v>5012</v>
      </c>
      <c r="E3523" t="s">
        <v>5018</v>
      </c>
      <c r="F3523" t="s">
        <v>5018</v>
      </c>
      <c r="G3523">
        <v>39</v>
      </c>
      <c r="H3523" s="5">
        <v>4.7475340432598717E-3</v>
      </c>
      <c r="I3523">
        <v>1</v>
      </c>
      <c r="J3523" t="b">
        <f>AND(CCData[[#This Row],[Date]]&gt;=Calculation!$E$3,CCData[[#This Row],[Date]]&lt;Calculation!$E$3+7)</f>
        <v>0</v>
      </c>
    </row>
    <row r="3524" spans="1:10">
      <c r="A3524" t="s">
        <v>3523</v>
      </c>
      <c r="B3524" s="2">
        <v>42066.447</v>
      </c>
      <c r="C3524" s="3" t="s">
        <v>5006</v>
      </c>
      <c r="D3524" t="s">
        <v>5015</v>
      </c>
      <c r="E3524" t="s">
        <v>5018</v>
      </c>
      <c r="F3524" t="s">
        <v>5018</v>
      </c>
      <c r="G3524">
        <v>62</v>
      </c>
      <c r="H3524" s="5">
        <v>1.9645341524656993E-3</v>
      </c>
      <c r="I3524">
        <v>4</v>
      </c>
      <c r="J3524" t="b">
        <f>AND(CCData[[#This Row],[Date]]&gt;=Calculation!$E$3,CCData[[#This Row],[Date]]&lt;Calculation!$E$3+7)</f>
        <v>0</v>
      </c>
    </row>
    <row r="3525" spans="1:10">
      <c r="A3525" t="s">
        <v>3524</v>
      </c>
      <c r="B3525" s="2">
        <v>42066.447</v>
      </c>
      <c r="C3525" s="3" t="s">
        <v>5005</v>
      </c>
      <c r="D3525" t="s">
        <v>5012</v>
      </c>
      <c r="E3525" t="s">
        <v>5018</v>
      </c>
      <c r="F3525" t="s">
        <v>5018</v>
      </c>
      <c r="G3525">
        <v>38</v>
      </c>
      <c r="H3525" s="5">
        <v>2.7287156140259846E-3</v>
      </c>
      <c r="I3525">
        <v>5</v>
      </c>
      <c r="J3525" t="b">
        <f>AND(CCData[[#This Row],[Date]]&gt;=Calculation!$E$3,CCData[[#This Row],[Date]]&lt;Calculation!$E$3+7)</f>
        <v>0</v>
      </c>
    </row>
    <row r="3526" spans="1:10">
      <c r="A3526" t="s">
        <v>3525</v>
      </c>
      <c r="B3526" s="2">
        <v>42066.457999999999</v>
      </c>
      <c r="C3526" s="3" t="s">
        <v>5005</v>
      </c>
      <c r="D3526" t="s">
        <v>5013</v>
      </c>
      <c r="E3526" t="s">
        <v>5018</v>
      </c>
      <c r="F3526" t="s">
        <v>5018</v>
      </c>
      <c r="G3526">
        <v>85</v>
      </c>
      <c r="H3526" s="5">
        <v>3.9062416888458124E-3</v>
      </c>
      <c r="I3526">
        <v>5</v>
      </c>
      <c r="J3526" t="b">
        <f>AND(CCData[[#This Row],[Date]]&gt;=Calculation!$E$3,CCData[[#This Row],[Date]]&lt;Calculation!$E$3+7)</f>
        <v>0</v>
      </c>
    </row>
    <row r="3527" spans="1:10">
      <c r="A3527" t="s">
        <v>3526</v>
      </c>
      <c r="B3527" s="2">
        <v>42066.457999999999</v>
      </c>
      <c r="C3527" s="3" t="s">
        <v>5008</v>
      </c>
      <c r="D3527" t="s">
        <v>5016</v>
      </c>
      <c r="E3527" t="s">
        <v>5018</v>
      </c>
      <c r="F3527" t="s">
        <v>5018</v>
      </c>
      <c r="G3527">
        <v>56</v>
      </c>
      <c r="H3527" s="5">
        <v>1.9449813863454855E-3</v>
      </c>
      <c r="I3527">
        <v>1</v>
      </c>
      <c r="J3527" t="b">
        <f>AND(CCData[[#This Row],[Date]]&gt;=Calculation!$E$3,CCData[[#This Row],[Date]]&lt;Calculation!$E$3+7)</f>
        <v>0</v>
      </c>
    </row>
    <row r="3528" spans="1:10">
      <c r="A3528" t="s">
        <v>3527</v>
      </c>
      <c r="B3528" s="2">
        <v>42066.529000000002</v>
      </c>
      <c r="C3528" s="3" t="s">
        <v>5003</v>
      </c>
      <c r="D3528" t="s">
        <v>5012</v>
      </c>
      <c r="E3528" t="s">
        <v>5018</v>
      </c>
      <c r="F3528" t="s">
        <v>5018</v>
      </c>
      <c r="G3528">
        <v>38</v>
      </c>
      <c r="H3528" s="5">
        <v>3.7440003724860563E-3</v>
      </c>
      <c r="I3528">
        <v>1</v>
      </c>
      <c r="J3528" t="b">
        <f>AND(CCData[[#This Row],[Date]]&gt;=Calculation!$E$3,CCData[[#This Row],[Date]]&lt;Calculation!$E$3+7)</f>
        <v>0</v>
      </c>
    </row>
    <row r="3529" spans="1:10">
      <c r="A3529" t="s">
        <v>3528</v>
      </c>
      <c r="B3529" s="2">
        <v>42066.529000000002</v>
      </c>
      <c r="C3529" s="3" t="s">
        <v>5009</v>
      </c>
      <c r="D3529" t="s">
        <v>5012</v>
      </c>
      <c r="E3529" t="s">
        <v>5018</v>
      </c>
      <c r="F3529" t="s">
        <v>5018</v>
      </c>
      <c r="G3529">
        <v>21</v>
      </c>
      <c r="H3529" s="5">
        <v>2.1635517165295307E-3</v>
      </c>
      <c r="I3529">
        <v>3</v>
      </c>
      <c r="J3529" t="b">
        <f>AND(CCData[[#This Row],[Date]]&gt;=Calculation!$E$3,CCData[[#This Row],[Date]]&lt;Calculation!$E$3+7)</f>
        <v>0</v>
      </c>
    </row>
    <row r="3530" spans="1:10">
      <c r="A3530" t="s">
        <v>3529</v>
      </c>
      <c r="B3530" s="2">
        <v>42066.54</v>
      </c>
      <c r="C3530" s="3" t="s">
        <v>5005</v>
      </c>
      <c r="D3530" t="s">
        <v>5016</v>
      </c>
      <c r="E3530" t="s">
        <v>5018</v>
      </c>
      <c r="F3530" t="s">
        <v>5018</v>
      </c>
      <c r="G3530">
        <v>36</v>
      </c>
      <c r="H3530" s="5">
        <v>2.8201159005389448E-3</v>
      </c>
      <c r="I3530">
        <v>1</v>
      </c>
      <c r="J3530" t="b">
        <f>AND(CCData[[#This Row],[Date]]&gt;=Calculation!$E$3,CCData[[#This Row],[Date]]&lt;Calculation!$E$3+7)</f>
        <v>0</v>
      </c>
    </row>
    <row r="3531" spans="1:10">
      <c r="A3531" t="s">
        <v>3530</v>
      </c>
      <c r="B3531" s="2">
        <v>42066.54</v>
      </c>
      <c r="C3531" s="3" t="s">
        <v>5006</v>
      </c>
      <c r="D3531" t="s">
        <v>5014</v>
      </c>
      <c r="E3531" t="s">
        <v>5018</v>
      </c>
      <c r="F3531" t="s">
        <v>5018</v>
      </c>
      <c r="G3531">
        <v>77</v>
      </c>
      <c r="H3531" s="5">
        <v>4.3342318893296299E-3</v>
      </c>
      <c r="I3531">
        <v>4</v>
      </c>
      <c r="J3531" t="b">
        <f>AND(CCData[[#This Row],[Date]]&gt;=Calculation!$E$3,CCData[[#This Row],[Date]]&lt;Calculation!$E$3+7)</f>
        <v>0</v>
      </c>
    </row>
    <row r="3532" spans="1:10">
      <c r="A3532" t="s">
        <v>3531</v>
      </c>
      <c r="B3532" s="2">
        <v>42066.55</v>
      </c>
      <c r="C3532" s="3" t="s">
        <v>5006</v>
      </c>
      <c r="D3532" t="s">
        <v>5012</v>
      </c>
      <c r="E3532" t="s">
        <v>5018</v>
      </c>
      <c r="F3532" t="s">
        <v>5018</v>
      </c>
      <c r="G3532">
        <v>64</v>
      </c>
      <c r="H3532" s="5">
        <v>9.3229380612307872E-4</v>
      </c>
      <c r="I3532">
        <v>3</v>
      </c>
      <c r="J3532" t="b">
        <f>AND(CCData[[#This Row],[Date]]&gt;=Calculation!$E$3,CCData[[#This Row],[Date]]&lt;Calculation!$E$3+7)</f>
        <v>0</v>
      </c>
    </row>
    <row r="3533" spans="1:10">
      <c r="A3533" t="s">
        <v>3532</v>
      </c>
      <c r="B3533" s="2">
        <v>42066.55</v>
      </c>
      <c r="C3533" s="3" t="s">
        <v>5005</v>
      </c>
      <c r="D3533" t="s">
        <v>5014</v>
      </c>
      <c r="E3533" t="s">
        <v>5019</v>
      </c>
      <c r="F3533" t="s">
        <v>5019</v>
      </c>
      <c r="G3533" t="s">
        <v>5022</v>
      </c>
      <c r="H3533" s="5" t="s">
        <v>5022</v>
      </c>
      <c r="I3533" t="s">
        <v>5022</v>
      </c>
      <c r="J3533" t="b">
        <f>AND(CCData[[#This Row],[Date]]&gt;=Calculation!$E$3,CCData[[#This Row],[Date]]&lt;Calculation!$E$3+7)</f>
        <v>0</v>
      </c>
    </row>
    <row r="3534" spans="1:10">
      <c r="A3534" t="s">
        <v>3533</v>
      </c>
      <c r="B3534" s="2">
        <v>42066.553</v>
      </c>
      <c r="C3534" s="3" t="s">
        <v>5003</v>
      </c>
      <c r="D3534" t="s">
        <v>5013</v>
      </c>
      <c r="E3534" t="s">
        <v>5018</v>
      </c>
      <c r="F3534" t="s">
        <v>5018</v>
      </c>
      <c r="G3534">
        <v>72</v>
      </c>
      <c r="H3534" s="5">
        <v>1.5394304886922822E-3</v>
      </c>
      <c r="I3534">
        <v>1</v>
      </c>
      <c r="J3534" t="b">
        <f>AND(CCData[[#This Row],[Date]]&gt;=Calculation!$E$3,CCData[[#This Row],[Date]]&lt;Calculation!$E$3+7)</f>
        <v>0</v>
      </c>
    </row>
    <row r="3535" spans="1:10">
      <c r="A3535" t="s">
        <v>3534</v>
      </c>
      <c r="B3535" s="2">
        <v>42066.553</v>
      </c>
      <c r="C3535" s="3" t="s">
        <v>5005</v>
      </c>
      <c r="D3535" t="s">
        <v>5013</v>
      </c>
      <c r="E3535" t="s">
        <v>5018</v>
      </c>
      <c r="F3535" t="s">
        <v>5018</v>
      </c>
      <c r="G3535">
        <v>84</v>
      </c>
      <c r="H3535" s="5">
        <v>1.1655898887356676E-3</v>
      </c>
      <c r="I3535">
        <v>4</v>
      </c>
      <c r="J3535" t="b">
        <f>AND(CCData[[#This Row],[Date]]&gt;=Calculation!$E$3,CCData[[#This Row],[Date]]&lt;Calculation!$E$3+7)</f>
        <v>0</v>
      </c>
    </row>
    <row r="3536" spans="1:10">
      <c r="A3536" t="s">
        <v>3535</v>
      </c>
      <c r="B3536" s="2">
        <v>42066.589</v>
      </c>
      <c r="C3536" s="3" t="s">
        <v>5004</v>
      </c>
      <c r="D3536" t="s">
        <v>5012</v>
      </c>
      <c r="E3536" t="s">
        <v>5018</v>
      </c>
      <c r="F3536" t="s">
        <v>5018</v>
      </c>
      <c r="G3536">
        <v>59</v>
      </c>
      <c r="H3536" s="5">
        <v>2.0120791948957995E-3</v>
      </c>
      <c r="I3536">
        <v>5</v>
      </c>
      <c r="J3536" t="b">
        <f>AND(CCData[[#This Row],[Date]]&gt;=Calculation!$E$3,CCData[[#This Row],[Date]]&lt;Calculation!$E$3+7)</f>
        <v>0</v>
      </c>
    </row>
    <row r="3537" spans="1:10">
      <c r="A3537" t="s">
        <v>3536</v>
      </c>
      <c r="B3537" s="2">
        <v>42066.589</v>
      </c>
      <c r="C3537" s="3" t="s">
        <v>5003</v>
      </c>
      <c r="D3537" t="s">
        <v>5015</v>
      </c>
      <c r="E3537" t="s">
        <v>5018</v>
      </c>
      <c r="F3537" t="s">
        <v>5018</v>
      </c>
      <c r="G3537">
        <v>10</v>
      </c>
      <c r="H3537" s="5">
        <v>4.2108614235020145E-3</v>
      </c>
      <c r="I3537">
        <v>3</v>
      </c>
      <c r="J3537" t="b">
        <f>AND(CCData[[#This Row],[Date]]&gt;=Calculation!$E$3,CCData[[#This Row],[Date]]&lt;Calculation!$E$3+7)</f>
        <v>0</v>
      </c>
    </row>
    <row r="3538" spans="1:10">
      <c r="A3538" t="s">
        <v>3537</v>
      </c>
      <c r="B3538" s="2">
        <v>42066.614000000001</v>
      </c>
      <c r="C3538" s="3" t="s">
        <v>5009</v>
      </c>
      <c r="D3538" t="s">
        <v>5015</v>
      </c>
      <c r="E3538" t="s">
        <v>5018</v>
      </c>
      <c r="F3538" t="s">
        <v>5018</v>
      </c>
      <c r="G3538">
        <v>64</v>
      </c>
      <c r="H3538" s="5">
        <v>4.2371241947053743E-3</v>
      </c>
      <c r="I3538">
        <v>1</v>
      </c>
      <c r="J3538" t="b">
        <f>AND(CCData[[#This Row],[Date]]&gt;=Calculation!$E$3,CCData[[#This Row],[Date]]&lt;Calculation!$E$3+7)</f>
        <v>0</v>
      </c>
    </row>
    <row r="3539" spans="1:10">
      <c r="A3539" t="s">
        <v>3538</v>
      </c>
      <c r="B3539" s="2">
        <v>42066.614000000001</v>
      </c>
      <c r="C3539" s="3" t="s">
        <v>5010</v>
      </c>
      <c r="D3539" t="s">
        <v>5015</v>
      </c>
      <c r="E3539" t="s">
        <v>5018</v>
      </c>
      <c r="F3539" t="s">
        <v>5018</v>
      </c>
      <c r="G3539">
        <v>60</v>
      </c>
      <c r="H3539" s="5">
        <v>6.0622434635663916E-4</v>
      </c>
      <c r="I3539">
        <v>3</v>
      </c>
      <c r="J3539" t="b">
        <f>AND(CCData[[#This Row],[Date]]&gt;=Calculation!$E$3,CCData[[#This Row],[Date]]&lt;Calculation!$E$3+7)</f>
        <v>0</v>
      </c>
    </row>
    <row r="3540" spans="1:10">
      <c r="A3540" t="s">
        <v>3539</v>
      </c>
      <c r="B3540" s="2">
        <v>42066.618999999999</v>
      </c>
      <c r="C3540" s="3" t="s">
        <v>5007</v>
      </c>
      <c r="D3540" t="s">
        <v>5015</v>
      </c>
      <c r="E3540" t="s">
        <v>5018</v>
      </c>
      <c r="F3540" t="s">
        <v>5018</v>
      </c>
      <c r="G3540">
        <v>44</v>
      </c>
      <c r="H3540" s="5">
        <v>4.2941960808187546E-3</v>
      </c>
      <c r="I3540">
        <v>4</v>
      </c>
      <c r="J3540" t="b">
        <f>AND(CCData[[#This Row],[Date]]&gt;=Calculation!$E$3,CCData[[#This Row],[Date]]&lt;Calculation!$E$3+7)</f>
        <v>0</v>
      </c>
    </row>
    <row r="3541" spans="1:10">
      <c r="A3541" t="s">
        <v>3540</v>
      </c>
      <c r="B3541" s="2">
        <v>42066.618999999999</v>
      </c>
      <c r="C3541" s="3" t="s">
        <v>5010</v>
      </c>
      <c r="D3541" t="s">
        <v>5015</v>
      </c>
      <c r="E3541" t="s">
        <v>5019</v>
      </c>
      <c r="F3541" t="s">
        <v>5019</v>
      </c>
      <c r="G3541" t="s">
        <v>5022</v>
      </c>
      <c r="H3541" s="5" t="s">
        <v>5022</v>
      </c>
      <c r="I3541" t="s">
        <v>5022</v>
      </c>
      <c r="J3541" t="b">
        <f>AND(CCData[[#This Row],[Date]]&gt;=Calculation!$E$3,CCData[[#This Row],[Date]]&lt;Calculation!$E$3+7)</f>
        <v>0</v>
      </c>
    </row>
    <row r="3542" spans="1:10">
      <c r="A3542" t="s">
        <v>3541</v>
      </c>
      <c r="B3542" s="2">
        <v>42066.642999999996</v>
      </c>
      <c r="C3542" s="3" t="s">
        <v>5004</v>
      </c>
      <c r="D3542" t="s">
        <v>5014</v>
      </c>
      <c r="E3542" t="s">
        <v>5019</v>
      </c>
      <c r="F3542" t="s">
        <v>5019</v>
      </c>
      <c r="G3542" t="s">
        <v>5022</v>
      </c>
      <c r="H3542" s="5" t="s">
        <v>5022</v>
      </c>
      <c r="I3542" t="s">
        <v>5022</v>
      </c>
      <c r="J3542" t="b">
        <f>AND(CCData[[#This Row],[Date]]&gt;=Calculation!$E$3,CCData[[#This Row],[Date]]&lt;Calculation!$E$3+7)</f>
        <v>0</v>
      </c>
    </row>
    <row r="3543" spans="1:10">
      <c r="A3543" t="s">
        <v>3542</v>
      </c>
      <c r="B3543" s="2">
        <v>42066.642999999996</v>
      </c>
      <c r="C3543" s="3" t="s">
        <v>5008</v>
      </c>
      <c r="D3543" t="s">
        <v>5012</v>
      </c>
      <c r="E3543" t="s">
        <v>5018</v>
      </c>
      <c r="F3543" t="s">
        <v>5018</v>
      </c>
      <c r="G3543">
        <v>70</v>
      </c>
      <c r="H3543" s="5">
        <v>5.3669741509213085E-4</v>
      </c>
      <c r="I3543">
        <v>2</v>
      </c>
      <c r="J3543" t="b">
        <f>AND(CCData[[#This Row],[Date]]&gt;=Calculation!$E$3,CCData[[#This Row],[Date]]&lt;Calculation!$E$3+7)</f>
        <v>0</v>
      </c>
    </row>
    <row r="3544" spans="1:10">
      <c r="A3544" t="s">
        <v>3543</v>
      </c>
      <c r="B3544" s="2">
        <v>42066.644</v>
      </c>
      <c r="C3544" s="3" t="s">
        <v>5008</v>
      </c>
      <c r="D3544" t="s">
        <v>5014</v>
      </c>
      <c r="E3544" t="s">
        <v>5019</v>
      </c>
      <c r="F3544" t="s">
        <v>5019</v>
      </c>
      <c r="G3544" t="s">
        <v>5022</v>
      </c>
      <c r="H3544" s="5" t="s">
        <v>5022</v>
      </c>
      <c r="I3544" t="s">
        <v>5022</v>
      </c>
      <c r="J3544" t="b">
        <f>AND(CCData[[#This Row],[Date]]&gt;=Calculation!$E$3,CCData[[#This Row],[Date]]&lt;Calculation!$E$3+7)</f>
        <v>0</v>
      </c>
    </row>
    <row r="3545" spans="1:10">
      <c r="A3545" t="s">
        <v>3544</v>
      </c>
      <c r="B3545" s="2">
        <v>42066.644</v>
      </c>
      <c r="C3545" s="3" t="s">
        <v>5008</v>
      </c>
      <c r="D3545" t="s">
        <v>5012</v>
      </c>
      <c r="E3545" t="s">
        <v>5018</v>
      </c>
      <c r="F3545" t="s">
        <v>5018</v>
      </c>
      <c r="G3545">
        <v>51</v>
      </c>
      <c r="H3545" s="5">
        <v>2.8244506388430822E-3</v>
      </c>
      <c r="I3545">
        <v>1</v>
      </c>
      <c r="J3545" t="b">
        <f>AND(CCData[[#This Row],[Date]]&gt;=Calculation!$E$3,CCData[[#This Row],[Date]]&lt;Calculation!$E$3+7)</f>
        <v>0</v>
      </c>
    </row>
    <row r="3546" spans="1:10">
      <c r="A3546" t="s">
        <v>3545</v>
      </c>
      <c r="B3546" s="2">
        <v>42066.646999999997</v>
      </c>
      <c r="C3546" s="3" t="s">
        <v>5007</v>
      </c>
      <c r="D3546" t="s">
        <v>5013</v>
      </c>
      <c r="E3546" t="s">
        <v>5018</v>
      </c>
      <c r="F3546" t="s">
        <v>5018</v>
      </c>
      <c r="G3546">
        <v>31</v>
      </c>
      <c r="H3546" s="5">
        <v>3.1216367056359387E-3</v>
      </c>
      <c r="I3546">
        <v>5</v>
      </c>
      <c r="J3546" t="b">
        <f>AND(CCData[[#This Row],[Date]]&gt;=Calculation!$E$3,CCData[[#This Row],[Date]]&lt;Calculation!$E$3+7)</f>
        <v>0</v>
      </c>
    </row>
    <row r="3547" spans="1:10">
      <c r="A3547" t="s">
        <v>3546</v>
      </c>
      <c r="B3547" s="2">
        <v>42066.646999999997</v>
      </c>
      <c r="C3547" s="3" t="s">
        <v>5009</v>
      </c>
      <c r="D3547" t="s">
        <v>5013</v>
      </c>
      <c r="E3547" t="s">
        <v>5018</v>
      </c>
      <c r="F3547" t="s">
        <v>5018</v>
      </c>
      <c r="G3547">
        <v>51</v>
      </c>
      <c r="H3547" s="5">
        <v>4.4701565203265599E-3</v>
      </c>
      <c r="I3547">
        <v>4</v>
      </c>
      <c r="J3547" t="b">
        <f>AND(CCData[[#This Row],[Date]]&gt;=Calculation!$E$3,CCData[[#This Row],[Date]]&lt;Calculation!$E$3+7)</f>
        <v>0</v>
      </c>
    </row>
    <row r="3548" spans="1:10">
      <c r="A3548" t="s">
        <v>3547</v>
      </c>
      <c r="B3548" s="2">
        <v>42066.648000000001</v>
      </c>
      <c r="C3548" s="3" t="s">
        <v>5004</v>
      </c>
      <c r="D3548" t="s">
        <v>5014</v>
      </c>
      <c r="E3548" t="s">
        <v>5018</v>
      </c>
      <c r="F3548" t="s">
        <v>5018</v>
      </c>
      <c r="G3548">
        <v>36</v>
      </c>
      <c r="H3548" s="5">
        <v>1.1962101216624497E-3</v>
      </c>
      <c r="I3548">
        <v>1</v>
      </c>
      <c r="J3548" t="b">
        <f>AND(CCData[[#This Row],[Date]]&gt;=Calculation!$E$3,CCData[[#This Row],[Date]]&lt;Calculation!$E$3+7)</f>
        <v>0</v>
      </c>
    </row>
    <row r="3549" spans="1:10">
      <c r="A3549" t="s">
        <v>3548</v>
      </c>
      <c r="B3549" s="2">
        <v>42066.648000000001</v>
      </c>
      <c r="C3549" s="3" t="s">
        <v>5010</v>
      </c>
      <c r="D3549" t="s">
        <v>5015</v>
      </c>
      <c r="E3549" t="s">
        <v>5018</v>
      </c>
      <c r="F3549" t="s">
        <v>5019</v>
      </c>
      <c r="G3549">
        <v>18</v>
      </c>
      <c r="H3549" s="5">
        <v>4.314801842815603E-3</v>
      </c>
      <c r="I3549">
        <v>5</v>
      </c>
      <c r="J3549" t="b">
        <f>AND(CCData[[#This Row],[Date]]&gt;=Calculation!$E$3,CCData[[#This Row],[Date]]&lt;Calculation!$E$3+7)</f>
        <v>0</v>
      </c>
    </row>
    <row r="3550" spans="1:10">
      <c r="A3550" t="s">
        <v>3549</v>
      </c>
      <c r="B3550" s="2">
        <v>42066.66</v>
      </c>
      <c r="C3550" s="3" t="s">
        <v>5009</v>
      </c>
      <c r="D3550" t="s">
        <v>5014</v>
      </c>
      <c r="E3550" t="s">
        <v>5018</v>
      </c>
      <c r="F3550" t="s">
        <v>5018</v>
      </c>
      <c r="G3550">
        <v>89</v>
      </c>
      <c r="H3550" s="5">
        <v>3.5604193160973922E-3</v>
      </c>
      <c r="I3550">
        <v>4</v>
      </c>
      <c r="J3550" t="b">
        <f>AND(CCData[[#This Row],[Date]]&gt;=Calculation!$E$3,CCData[[#This Row],[Date]]&lt;Calculation!$E$3+7)</f>
        <v>0</v>
      </c>
    </row>
    <row r="3551" spans="1:10">
      <c r="A3551" t="s">
        <v>3550</v>
      </c>
      <c r="B3551" s="2">
        <v>42066.66</v>
      </c>
      <c r="C3551" s="3" t="s">
        <v>5003</v>
      </c>
      <c r="D3551" t="s">
        <v>5013</v>
      </c>
      <c r="E3551" t="s">
        <v>5018</v>
      </c>
      <c r="F3551" t="s">
        <v>5018</v>
      </c>
      <c r="G3551">
        <v>90</v>
      </c>
      <c r="H3551" s="5">
        <v>2.4931761385243623E-3</v>
      </c>
      <c r="I3551">
        <v>5</v>
      </c>
      <c r="J3551" t="b">
        <f>AND(CCData[[#This Row],[Date]]&gt;=Calculation!$E$3,CCData[[#This Row],[Date]]&lt;Calculation!$E$3+7)</f>
        <v>0</v>
      </c>
    </row>
    <row r="3552" spans="1:10">
      <c r="A3552" t="s">
        <v>3551</v>
      </c>
      <c r="B3552" s="2">
        <v>42066.663</v>
      </c>
      <c r="C3552" s="3" t="s">
        <v>5004</v>
      </c>
      <c r="D3552" t="s">
        <v>5014</v>
      </c>
      <c r="E3552" t="s">
        <v>5018</v>
      </c>
      <c r="F3552" t="s">
        <v>5018</v>
      </c>
      <c r="G3552">
        <v>94</v>
      </c>
      <c r="H3552" s="5">
        <v>2.2278497661567336E-3</v>
      </c>
      <c r="I3552">
        <v>4</v>
      </c>
      <c r="J3552" t="b">
        <f>AND(CCData[[#This Row],[Date]]&gt;=Calculation!$E$3,CCData[[#This Row],[Date]]&lt;Calculation!$E$3+7)</f>
        <v>0</v>
      </c>
    </row>
    <row r="3553" spans="1:10">
      <c r="A3553" t="s">
        <v>3552</v>
      </c>
      <c r="B3553" s="2">
        <v>42066.663</v>
      </c>
      <c r="C3553" s="3" t="s">
        <v>5005</v>
      </c>
      <c r="D3553" t="s">
        <v>5014</v>
      </c>
      <c r="E3553" t="s">
        <v>5018</v>
      </c>
      <c r="F3553" t="s">
        <v>5018</v>
      </c>
      <c r="G3553">
        <v>121</v>
      </c>
      <c r="H3553" s="5">
        <v>1.1473122561536187E-3</v>
      </c>
      <c r="I3553">
        <v>5</v>
      </c>
      <c r="J3553" t="b">
        <f>AND(CCData[[#This Row],[Date]]&gt;=Calculation!$E$3,CCData[[#This Row],[Date]]&lt;Calculation!$E$3+7)</f>
        <v>0</v>
      </c>
    </row>
    <row r="3554" spans="1:10">
      <c r="A3554" t="s">
        <v>3553</v>
      </c>
      <c r="B3554" s="2">
        <v>42066.663999999997</v>
      </c>
      <c r="C3554" s="3" t="s">
        <v>5005</v>
      </c>
      <c r="D3554" t="s">
        <v>5015</v>
      </c>
      <c r="E3554" t="s">
        <v>5018</v>
      </c>
      <c r="F3554" t="s">
        <v>5018</v>
      </c>
      <c r="G3554">
        <v>46</v>
      </c>
      <c r="H3554" s="5">
        <v>3.1265570430432229E-3</v>
      </c>
      <c r="I3554">
        <v>2</v>
      </c>
      <c r="J3554" t="b">
        <f>AND(CCData[[#This Row],[Date]]&gt;=Calculation!$E$3,CCData[[#This Row],[Date]]&lt;Calculation!$E$3+7)</f>
        <v>0</v>
      </c>
    </row>
    <row r="3555" spans="1:10">
      <c r="A3555" t="s">
        <v>3554</v>
      </c>
      <c r="B3555" s="2">
        <v>42066.663999999997</v>
      </c>
      <c r="C3555" s="3" t="s">
        <v>5009</v>
      </c>
      <c r="D3555" t="s">
        <v>5012</v>
      </c>
      <c r="E3555" t="s">
        <v>5018</v>
      </c>
      <c r="F3555" t="s">
        <v>5018</v>
      </c>
      <c r="G3555">
        <v>117</v>
      </c>
      <c r="H3555" s="5">
        <v>2.689425236093182E-3</v>
      </c>
      <c r="I3555">
        <v>1</v>
      </c>
      <c r="J3555" t="b">
        <f>AND(CCData[[#This Row],[Date]]&gt;=Calculation!$E$3,CCData[[#This Row],[Date]]&lt;Calculation!$E$3+7)</f>
        <v>0</v>
      </c>
    </row>
    <row r="3556" spans="1:10">
      <c r="A3556" t="s">
        <v>3555</v>
      </c>
      <c r="B3556" s="2">
        <v>42066.665000000001</v>
      </c>
      <c r="C3556" s="3" t="s">
        <v>5003</v>
      </c>
      <c r="D3556" t="s">
        <v>5016</v>
      </c>
      <c r="E3556" t="s">
        <v>5018</v>
      </c>
      <c r="F3556" t="s">
        <v>5019</v>
      </c>
      <c r="G3556">
        <v>114</v>
      </c>
      <c r="H3556" s="5">
        <v>2.1502575966979355E-3</v>
      </c>
      <c r="I3556">
        <v>5</v>
      </c>
      <c r="J3556" t="b">
        <f>AND(CCData[[#This Row],[Date]]&gt;=Calculation!$E$3,CCData[[#This Row],[Date]]&lt;Calculation!$E$3+7)</f>
        <v>0</v>
      </c>
    </row>
    <row r="3557" spans="1:10">
      <c r="A3557" t="s">
        <v>3556</v>
      </c>
      <c r="B3557" s="2">
        <v>42066.665000000001</v>
      </c>
      <c r="C3557" s="3" t="s">
        <v>5003</v>
      </c>
      <c r="D3557" t="s">
        <v>5012</v>
      </c>
      <c r="E3557" t="s">
        <v>5019</v>
      </c>
      <c r="F3557" t="s">
        <v>5019</v>
      </c>
      <c r="G3557" t="s">
        <v>5022</v>
      </c>
      <c r="H3557" s="5" t="s">
        <v>5022</v>
      </c>
      <c r="I3557" t="s">
        <v>5022</v>
      </c>
      <c r="J3557" t="b">
        <f>AND(CCData[[#This Row],[Date]]&gt;=Calculation!$E$3,CCData[[#This Row],[Date]]&lt;Calculation!$E$3+7)</f>
        <v>0</v>
      </c>
    </row>
    <row r="3558" spans="1:10">
      <c r="A3558" t="s">
        <v>3557</v>
      </c>
      <c r="B3558" s="2">
        <v>42066.671000000002</v>
      </c>
      <c r="C3558" s="3" t="s">
        <v>5009</v>
      </c>
      <c r="D3558" t="s">
        <v>5014</v>
      </c>
      <c r="E3558" t="s">
        <v>5018</v>
      </c>
      <c r="F3558" t="s">
        <v>5018</v>
      </c>
      <c r="G3558">
        <v>65</v>
      </c>
      <c r="H3558" s="5">
        <v>3.2764223472943757E-3</v>
      </c>
      <c r="I3558">
        <v>4</v>
      </c>
      <c r="J3558" t="b">
        <f>AND(CCData[[#This Row],[Date]]&gt;=Calculation!$E$3,CCData[[#This Row],[Date]]&lt;Calculation!$E$3+7)</f>
        <v>0</v>
      </c>
    </row>
    <row r="3559" spans="1:10">
      <c r="A3559" t="s">
        <v>3558</v>
      </c>
      <c r="B3559" s="2">
        <v>42066.671000000002</v>
      </c>
      <c r="C3559" s="3" t="s">
        <v>5003</v>
      </c>
      <c r="D3559" t="s">
        <v>5015</v>
      </c>
      <c r="E3559" t="s">
        <v>5019</v>
      </c>
      <c r="F3559" t="s">
        <v>5019</v>
      </c>
      <c r="G3559" t="s">
        <v>5022</v>
      </c>
      <c r="H3559" s="5" t="s">
        <v>5022</v>
      </c>
      <c r="I3559" t="s">
        <v>5022</v>
      </c>
      <c r="J3559" t="b">
        <f>AND(CCData[[#This Row],[Date]]&gt;=Calculation!$E$3,CCData[[#This Row],[Date]]&lt;Calculation!$E$3+7)</f>
        <v>0</v>
      </c>
    </row>
    <row r="3560" spans="1:10">
      <c r="A3560" t="s">
        <v>3559</v>
      </c>
      <c r="B3560" s="2">
        <v>42066.678999999996</v>
      </c>
      <c r="C3560" s="3" t="s">
        <v>5004</v>
      </c>
      <c r="D3560" t="s">
        <v>5013</v>
      </c>
      <c r="E3560" t="s">
        <v>5018</v>
      </c>
      <c r="F3560" t="s">
        <v>5018</v>
      </c>
      <c r="G3560">
        <v>100</v>
      </c>
      <c r="H3560" s="5">
        <v>3.7877529381708051E-4</v>
      </c>
      <c r="I3560">
        <v>1</v>
      </c>
      <c r="J3560" t="b">
        <f>AND(CCData[[#This Row],[Date]]&gt;=Calculation!$E$3,CCData[[#This Row],[Date]]&lt;Calculation!$E$3+7)</f>
        <v>0</v>
      </c>
    </row>
    <row r="3561" spans="1:10">
      <c r="A3561" t="s">
        <v>3560</v>
      </c>
      <c r="B3561" s="2">
        <v>42066.678999999996</v>
      </c>
      <c r="C3561" s="3" t="s">
        <v>5010</v>
      </c>
      <c r="D3561" t="s">
        <v>5015</v>
      </c>
      <c r="E3561" t="s">
        <v>5018</v>
      </c>
      <c r="F3561" t="s">
        <v>5018</v>
      </c>
      <c r="G3561">
        <v>67</v>
      </c>
      <c r="H3561" s="5">
        <v>4.56822677637543E-3</v>
      </c>
      <c r="I3561">
        <v>4</v>
      </c>
      <c r="J3561" t="b">
        <f>AND(CCData[[#This Row],[Date]]&gt;=Calculation!$E$3,CCData[[#This Row],[Date]]&lt;Calculation!$E$3+7)</f>
        <v>0</v>
      </c>
    </row>
    <row r="3562" spans="1:10">
      <c r="A3562" t="s">
        <v>3561</v>
      </c>
      <c r="B3562" s="2">
        <v>42066.678999999996</v>
      </c>
      <c r="C3562" s="3" t="s">
        <v>5010</v>
      </c>
      <c r="D3562" t="s">
        <v>5012</v>
      </c>
      <c r="E3562" t="s">
        <v>5018</v>
      </c>
      <c r="F3562" t="s">
        <v>5018</v>
      </c>
      <c r="G3562">
        <v>46</v>
      </c>
      <c r="H3562" s="5">
        <v>1.4323740386004398E-3</v>
      </c>
      <c r="I3562">
        <v>4</v>
      </c>
      <c r="J3562" t="b">
        <f>AND(CCData[[#This Row],[Date]]&gt;=Calculation!$E$3,CCData[[#This Row],[Date]]&lt;Calculation!$E$3+7)</f>
        <v>0</v>
      </c>
    </row>
    <row r="3563" spans="1:10">
      <c r="A3563" t="s">
        <v>3562</v>
      </c>
      <c r="B3563" s="2">
        <v>42066.678999999996</v>
      </c>
      <c r="C3563" s="3" t="s">
        <v>5003</v>
      </c>
      <c r="D3563" t="s">
        <v>5013</v>
      </c>
      <c r="E3563" t="s">
        <v>5018</v>
      </c>
      <c r="F3563" t="s">
        <v>5018</v>
      </c>
      <c r="G3563">
        <v>117</v>
      </c>
      <c r="H3563" s="5">
        <v>1.6704577070792714E-3</v>
      </c>
      <c r="I3563">
        <v>3</v>
      </c>
      <c r="J3563" t="b">
        <f>AND(CCData[[#This Row],[Date]]&gt;=Calculation!$E$3,CCData[[#This Row],[Date]]&lt;Calculation!$E$3+7)</f>
        <v>0</v>
      </c>
    </row>
    <row r="3564" spans="1:10">
      <c r="A3564" t="s">
        <v>3563</v>
      </c>
      <c r="B3564" s="2">
        <v>42066.718000000001</v>
      </c>
      <c r="C3564" s="3" t="s">
        <v>5006</v>
      </c>
      <c r="D3564" t="s">
        <v>5013</v>
      </c>
      <c r="E3564" t="s">
        <v>5018</v>
      </c>
      <c r="F3564" t="s">
        <v>5018</v>
      </c>
      <c r="G3564">
        <v>34</v>
      </c>
      <c r="H3564" s="5">
        <v>4.5799508790199056E-3</v>
      </c>
      <c r="I3564">
        <v>4</v>
      </c>
      <c r="J3564" t="b">
        <f>AND(CCData[[#This Row],[Date]]&gt;=Calculation!$E$3,CCData[[#This Row],[Date]]&lt;Calculation!$E$3+7)</f>
        <v>0</v>
      </c>
    </row>
    <row r="3565" spans="1:10">
      <c r="A3565" t="s">
        <v>3564</v>
      </c>
      <c r="B3565" s="2">
        <v>42066.718000000001</v>
      </c>
      <c r="C3565" s="3" t="s">
        <v>5006</v>
      </c>
      <c r="D3565" t="s">
        <v>5014</v>
      </c>
      <c r="E3565" t="s">
        <v>5018</v>
      </c>
      <c r="F3565" t="s">
        <v>5018</v>
      </c>
      <c r="G3565">
        <v>120</v>
      </c>
      <c r="H3565" s="5">
        <v>1.6575361346085236E-3</v>
      </c>
      <c r="I3565">
        <v>4</v>
      </c>
      <c r="J3565" t="b">
        <f>AND(CCData[[#This Row],[Date]]&gt;=Calculation!$E$3,CCData[[#This Row],[Date]]&lt;Calculation!$E$3+7)</f>
        <v>0</v>
      </c>
    </row>
    <row r="3566" spans="1:10">
      <c r="A3566" t="s">
        <v>3565</v>
      </c>
      <c r="B3566" s="2">
        <v>42066.724000000002</v>
      </c>
      <c r="C3566" s="3" t="s">
        <v>5007</v>
      </c>
      <c r="D3566" t="s">
        <v>5012</v>
      </c>
      <c r="E3566" t="s">
        <v>5018</v>
      </c>
      <c r="F3566" t="s">
        <v>5018</v>
      </c>
      <c r="G3566">
        <v>67</v>
      </c>
      <c r="H3566" s="5">
        <v>1.5371862619976561E-3</v>
      </c>
      <c r="I3566">
        <v>4</v>
      </c>
      <c r="J3566" t="b">
        <f>AND(CCData[[#This Row],[Date]]&gt;=Calculation!$E$3,CCData[[#This Row],[Date]]&lt;Calculation!$E$3+7)</f>
        <v>0</v>
      </c>
    </row>
    <row r="3567" spans="1:10">
      <c r="A3567" t="s">
        <v>3566</v>
      </c>
      <c r="B3567" s="2">
        <v>42066.724000000002</v>
      </c>
      <c r="C3567" s="3" t="s">
        <v>5007</v>
      </c>
      <c r="D3567" t="s">
        <v>5016</v>
      </c>
      <c r="E3567" t="s">
        <v>5018</v>
      </c>
      <c r="F3567" t="s">
        <v>5019</v>
      </c>
      <c r="G3567">
        <v>44</v>
      </c>
      <c r="H3567" s="5">
        <v>2.418581253192836E-3</v>
      </c>
      <c r="I3567">
        <v>2</v>
      </c>
      <c r="J3567" t="b">
        <f>AND(CCData[[#This Row],[Date]]&gt;=Calculation!$E$3,CCData[[#This Row],[Date]]&lt;Calculation!$E$3+7)</f>
        <v>0</v>
      </c>
    </row>
    <row r="3568" spans="1:10">
      <c r="A3568" t="s">
        <v>3567</v>
      </c>
      <c r="B3568" s="2">
        <v>42067.402999999998</v>
      </c>
      <c r="C3568" s="3" t="s">
        <v>5009</v>
      </c>
      <c r="D3568" t="s">
        <v>5015</v>
      </c>
      <c r="E3568" t="s">
        <v>5018</v>
      </c>
      <c r="F3568" t="s">
        <v>5018</v>
      </c>
      <c r="G3568">
        <v>91</v>
      </c>
      <c r="H3568" s="5">
        <v>3.5476797023309397E-3</v>
      </c>
      <c r="I3568">
        <v>2</v>
      </c>
      <c r="J3568" t="b">
        <f>AND(CCData[[#This Row],[Date]]&gt;=Calculation!$E$3,CCData[[#This Row],[Date]]&lt;Calculation!$E$3+7)</f>
        <v>0</v>
      </c>
    </row>
    <row r="3569" spans="1:10">
      <c r="A3569" t="s">
        <v>3568</v>
      </c>
      <c r="B3569" s="2">
        <v>42067.402999999998</v>
      </c>
      <c r="C3569" s="3" t="s">
        <v>5005</v>
      </c>
      <c r="D3569" t="s">
        <v>5014</v>
      </c>
      <c r="E3569" t="s">
        <v>5018</v>
      </c>
      <c r="F3569" t="s">
        <v>5018</v>
      </c>
      <c r="G3569">
        <v>44</v>
      </c>
      <c r="H3569" s="5">
        <v>3.2656168897102801E-3</v>
      </c>
      <c r="I3569">
        <v>4</v>
      </c>
      <c r="J3569" t="b">
        <f>AND(CCData[[#This Row],[Date]]&gt;=Calculation!$E$3,CCData[[#This Row],[Date]]&lt;Calculation!$E$3+7)</f>
        <v>0</v>
      </c>
    </row>
    <row r="3570" spans="1:10">
      <c r="A3570" t="s">
        <v>3569</v>
      </c>
      <c r="B3570" s="2">
        <v>42067.404999999999</v>
      </c>
      <c r="C3570" s="3" t="s">
        <v>5003</v>
      </c>
      <c r="D3570" t="s">
        <v>5013</v>
      </c>
      <c r="E3570" t="s">
        <v>5019</v>
      </c>
      <c r="F3570" t="s">
        <v>5019</v>
      </c>
      <c r="G3570" t="s">
        <v>5022</v>
      </c>
      <c r="H3570" s="5" t="s">
        <v>5022</v>
      </c>
      <c r="I3570" t="s">
        <v>5022</v>
      </c>
      <c r="J3570" t="b">
        <f>AND(CCData[[#This Row],[Date]]&gt;=Calculation!$E$3,CCData[[#This Row],[Date]]&lt;Calculation!$E$3+7)</f>
        <v>0</v>
      </c>
    </row>
    <row r="3571" spans="1:10">
      <c r="A3571" t="s">
        <v>3570</v>
      </c>
      <c r="B3571" s="2">
        <v>42067.404999999999</v>
      </c>
      <c r="C3571" s="3" t="s">
        <v>5007</v>
      </c>
      <c r="D3571" t="s">
        <v>5012</v>
      </c>
      <c r="E3571" t="s">
        <v>5018</v>
      </c>
      <c r="F3571" t="s">
        <v>5019</v>
      </c>
      <c r="G3571">
        <v>24</v>
      </c>
      <c r="H3571" s="5">
        <v>1.4140485955892864E-3</v>
      </c>
      <c r="I3571">
        <v>5</v>
      </c>
      <c r="J3571" t="b">
        <f>AND(CCData[[#This Row],[Date]]&gt;=Calculation!$E$3,CCData[[#This Row],[Date]]&lt;Calculation!$E$3+7)</f>
        <v>0</v>
      </c>
    </row>
    <row r="3572" spans="1:10">
      <c r="A3572" t="s">
        <v>3571</v>
      </c>
      <c r="B3572" s="2">
        <v>42067.406000000003</v>
      </c>
      <c r="C3572" s="3" t="s">
        <v>5010</v>
      </c>
      <c r="D3572" t="s">
        <v>5012</v>
      </c>
      <c r="E3572" t="s">
        <v>5018</v>
      </c>
      <c r="F3572" t="s">
        <v>5018</v>
      </c>
      <c r="G3572">
        <v>11</v>
      </c>
      <c r="H3572" s="5">
        <v>2.7651619909609838E-3</v>
      </c>
      <c r="I3572">
        <v>3</v>
      </c>
      <c r="J3572" t="b">
        <f>AND(CCData[[#This Row],[Date]]&gt;=Calculation!$E$3,CCData[[#This Row],[Date]]&lt;Calculation!$E$3+7)</f>
        <v>0</v>
      </c>
    </row>
    <row r="3573" spans="1:10">
      <c r="A3573" t="s">
        <v>3572</v>
      </c>
      <c r="B3573" s="2">
        <v>42067.406000000003</v>
      </c>
      <c r="C3573" s="3" t="s">
        <v>5009</v>
      </c>
      <c r="D3573" t="s">
        <v>5015</v>
      </c>
      <c r="E3573" t="s">
        <v>5018</v>
      </c>
      <c r="F3573" t="s">
        <v>5018</v>
      </c>
      <c r="G3573">
        <v>75</v>
      </c>
      <c r="H3573" s="5">
        <v>2.3519413977252583E-3</v>
      </c>
      <c r="I3573">
        <v>4</v>
      </c>
      <c r="J3573" t="b">
        <f>AND(CCData[[#This Row],[Date]]&gt;=Calculation!$E$3,CCData[[#This Row],[Date]]&lt;Calculation!$E$3+7)</f>
        <v>0</v>
      </c>
    </row>
    <row r="3574" spans="1:10">
      <c r="A3574" t="s">
        <v>3573</v>
      </c>
      <c r="B3574" s="2">
        <v>42067.408000000003</v>
      </c>
      <c r="C3574" s="3" t="s">
        <v>5008</v>
      </c>
      <c r="D3574" t="s">
        <v>5016</v>
      </c>
      <c r="E3574" t="s">
        <v>5018</v>
      </c>
      <c r="F3574" t="s">
        <v>5018</v>
      </c>
      <c r="G3574">
        <v>58</v>
      </c>
      <c r="H3574" s="5">
        <v>2.152793388408754E-3</v>
      </c>
      <c r="I3574">
        <v>2</v>
      </c>
      <c r="J3574" t="b">
        <f>AND(CCData[[#This Row],[Date]]&gt;=Calculation!$E$3,CCData[[#This Row],[Date]]&lt;Calculation!$E$3+7)</f>
        <v>0</v>
      </c>
    </row>
    <row r="3575" spans="1:10">
      <c r="A3575" t="s">
        <v>3574</v>
      </c>
      <c r="B3575" s="2">
        <v>42067.408000000003</v>
      </c>
      <c r="C3575" s="3" t="s">
        <v>5009</v>
      </c>
      <c r="D3575" t="s">
        <v>5015</v>
      </c>
      <c r="E3575" t="s">
        <v>5018</v>
      </c>
      <c r="F3575" t="s">
        <v>5018</v>
      </c>
      <c r="G3575">
        <v>123</v>
      </c>
      <c r="H3575" s="5">
        <v>3.4763559585266027E-3</v>
      </c>
      <c r="I3575">
        <v>5</v>
      </c>
      <c r="J3575" t="b">
        <f>AND(CCData[[#This Row],[Date]]&gt;=Calculation!$E$3,CCData[[#This Row],[Date]]&lt;Calculation!$E$3+7)</f>
        <v>0</v>
      </c>
    </row>
    <row r="3576" spans="1:10">
      <c r="A3576" t="s">
        <v>3575</v>
      </c>
      <c r="B3576" s="2">
        <v>42067.413</v>
      </c>
      <c r="C3576" s="3" t="s">
        <v>5010</v>
      </c>
      <c r="D3576" t="s">
        <v>5015</v>
      </c>
      <c r="E3576" t="s">
        <v>5019</v>
      </c>
      <c r="F3576" t="s">
        <v>5019</v>
      </c>
      <c r="G3576" t="s">
        <v>5022</v>
      </c>
      <c r="H3576" s="5" t="s">
        <v>5022</v>
      </c>
      <c r="I3576" t="s">
        <v>5022</v>
      </c>
      <c r="J3576" t="b">
        <f>AND(CCData[[#This Row],[Date]]&gt;=Calculation!$E$3,CCData[[#This Row],[Date]]&lt;Calculation!$E$3+7)</f>
        <v>0</v>
      </c>
    </row>
    <row r="3577" spans="1:10">
      <c r="A3577" t="s">
        <v>3576</v>
      </c>
      <c r="B3577" s="2">
        <v>42067.413</v>
      </c>
      <c r="C3577" s="3" t="s">
        <v>5008</v>
      </c>
      <c r="D3577" t="s">
        <v>5014</v>
      </c>
      <c r="E3577" t="s">
        <v>5019</v>
      </c>
      <c r="F3577" t="s">
        <v>5019</v>
      </c>
      <c r="G3577" t="s">
        <v>5022</v>
      </c>
      <c r="H3577" s="5" t="s">
        <v>5022</v>
      </c>
      <c r="I3577" t="s">
        <v>5022</v>
      </c>
      <c r="J3577" t="b">
        <f>AND(CCData[[#This Row],[Date]]&gt;=Calculation!$E$3,CCData[[#This Row],[Date]]&lt;Calculation!$E$3+7)</f>
        <v>0</v>
      </c>
    </row>
    <row r="3578" spans="1:10">
      <c r="A3578" t="s">
        <v>3577</v>
      </c>
      <c r="B3578" s="2">
        <v>42067.423999999999</v>
      </c>
      <c r="C3578" s="3" t="s">
        <v>5006</v>
      </c>
      <c r="D3578" t="s">
        <v>5015</v>
      </c>
      <c r="E3578" t="s">
        <v>5018</v>
      </c>
      <c r="F3578" t="s">
        <v>5018</v>
      </c>
      <c r="G3578">
        <v>45</v>
      </c>
      <c r="H3578" s="5">
        <v>3.5707527719105567E-3</v>
      </c>
      <c r="I3578">
        <v>1</v>
      </c>
      <c r="J3578" t="b">
        <f>AND(CCData[[#This Row],[Date]]&gt;=Calculation!$E$3,CCData[[#This Row],[Date]]&lt;Calculation!$E$3+7)</f>
        <v>0</v>
      </c>
    </row>
    <row r="3579" spans="1:10">
      <c r="A3579" t="s">
        <v>3578</v>
      </c>
      <c r="B3579" s="2">
        <v>42067.423999999999</v>
      </c>
      <c r="C3579" s="3" t="s">
        <v>5009</v>
      </c>
      <c r="D3579" t="s">
        <v>5014</v>
      </c>
      <c r="E3579" t="s">
        <v>5018</v>
      </c>
      <c r="F3579" t="s">
        <v>5018</v>
      </c>
      <c r="G3579">
        <v>38</v>
      </c>
      <c r="H3579" s="5">
        <v>6.6516945262788273E-4</v>
      </c>
      <c r="I3579">
        <v>3</v>
      </c>
      <c r="J3579" t="b">
        <f>AND(CCData[[#This Row],[Date]]&gt;=Calculation!$E$3,CCData[[#This Row],[Date]]&lt;Calculation!$E$3+7)</f>
        <v>0</v>
      </c>
    </row>
    <row r="3580" spans="1:10">
      <c r="A3580" t="s">
        <v>3579</v>
      </c>
      <c r="B3580" s="2">
        <v>42067.43</v>
      </c>
      <c r="C3580" s="3" t="s">
        <v>5005</v>
      </c>
      <c r="D3580" t="s">
        <v>5012</v>
      </c>
      <c r="E3580" t="s">
        <v>5018</v>
      </c>
      <c r="F3580" t="s">
        <v>5018</v>
      </c>
      <c r="G3580">
        <v>37</v>
      </c>
      <c r="H3580" s="5">
        <v>2.8761995967125421E-3</v>
      </c>
      <c r="I3580">
        <v>4</v>
      </c>
      <c r="J3580" t="b">
        <f>AND(CCData[[#This Row],[Date]]&gt;=Calculation!$E$3,CCData[[#This Row],[Date]]&lt;Calculation!$E$3+7)</f>
        <v>0</v>
      </c>
    </row>
    <row r="3581" spans="1:10">
      <c r="A3581" t="s">
        <v>3580</v>
      </c>
      <c r="B3581" s="2">
        <v>42067.43</v>
      </c>
      <c r="C3581" s="3" t="s">
        <v>5003</v>
      </c>
      <c r="D3581" t="s">
        <v>5016</v>
      </c>
      <c r="E3581" t="s">
        <v>5018</v>
      </c>
      <c r="F3581" t="s">
        <v>5018</v>
      </c>
      <c r="G3581">
        <v>90</v>
      </c>
      <c r="H3581" s="5">
        <v>1.3839315347438292E-3</v>
      </c>
      <c r="I3581">
        <v>4</v>
      </c>
      <c r="J3581" t="b">
        <f>AND(CCData[[#This Row],[Date]]&gt;=Calculation!$E$3,CCData[[#This Row],[Date]]&lt;Calculation!$E$3+7)</f>
        <v>0</v>
      </c>
    </row>
    <row r="3582" spans="1:10">
      <c r="A3582" t="s">
        <v>3581</v>
      </c>
      <c r="B3582" s="2">
        <v>42067.438000000002</v>
      </c>
      <c r="C3582" s="3" t="s">
        <v>5010</v>
      </c>
      <c r="D3582" t="s">
        <v>5016</v>
      </c>
      <c r="E3582" t="s">
        <v>5018</v>
      </c>
      <c r="F3582" t="s">
        <v>5018</v>
      </c>
      <c r="G3582">
        <v>90</v>
      </c>
      <c r="H3582" s="5">
        <v>2.7005590426106584E-3</v>
      </c>
      <c r="I3582">
        <v>3</v>
      </c>
      <c r="J3582" t="b">
        <f>AND(CCData[[#This Row],[Date]]&gt;=Calculation!$E$3,CCData[[#This Row],[Date]]&lt;Calculation!$E$3+7)</f>
        <v>0</v>
      </c>
    </row>
    <row r="3583" spans="1:10">
      <c r="A3583" t="s">
        <v>3582</v>
      </c>
      <c r="B3583" s="2">
        <v>42067.438000000002</v>
      </c>
      <c r="C3583" s="3" t="s">
        <v>5006</v>
      </c>
      <c r="D3583" t="s">
        <v>5015</v>
      </c>
      <c r="E3583" t="s">
        <v>5019</v>
      </c>
      <c r="F3583" t="s">
        <v>5019</v>
      </c>
      <c r="G3583" t="s">
        <v>5022</v>
      </c>
      <c r="H3583" s="5" t="s">
        <v>5022</v>
      </c>
      <c r="I3583" t="s">
        <v>5022</v>
      </c>
      <c r="J3583" t="b">
        <f>AND(CCData[[#This Row],[Date]]&gt;=Calculation!$E$3,CCData[[#This Row],[Date]]&lt;Calculation!$E$3+7)</f>
        <v>0</v>
      </c>
    </row>
    <row r="3584" spans="1:10">
      <c r="A3584" t="s">
        <v>3583</v>
      </c>
      <c r="B3584" s="2">
        <v>42067.447</v>
      </c>
      <c r="C3584" s="3" t="s">
        <v>5007</v>
      </c>
      <c r="D3584" t="s">
        <v>5016</v>
      </c>
      <c r="E3584" t="s">
        <v>5018</v>
      </c>
      <c r="F3584" t="s">
        <v>5018</v>
      </c>
      <c r="G3584">
        <v>74</v>
      </c>
      <c r="H3584" s="5">
        <v>2.4353373906978231E-3</v>
      </c>
      <c r="I3584">
        <v>3</v>
      </c>
      <c r="J3584" t="b">
        <f>AND(CCData[[#This Row],[Date]]&gt;=Calculation!$E$3,CCData[[#This Row],[Date]]&lt;Calculation!$E$3+7)</f>
        <v>0</v>
      </c>
    </row>
    <row r="3585" spans="1:10">
      <c r="A3585" t="s">
        <v>3584</v>
      </c>
      <c r="B3585" s="2">
        <v>42067.447</v>
      </c>
      <c r="C3585" s="3" t="s">
        <v>5009</v>
      </c>
      <c r="D3585" t="s">
        <v>5016</v>
      </c>
      <c r="E3585" t="s">
        <v>5019</v>
      </c>
      <c r="F3585" t="s">
        <v>5019</v>
      </c>
      <c r="G3585" t="s">
        <v>5022</v>
      </c>
      <c r="H3585" s="5" t="s">
        <v>5022</v>
      </c>
      <c r="I3585" t="s">
        <v>5022</v>
      </c>
      <c r="J3585" t="b">
        <f>AND(CCData[[#This Row],[Date]]&gt;=Calculation!$E$3,CCData[[#This Row],[Date]]&lt;Calculation!$E$3+7)</f>
        <v>0</v>
      </c>
    </row>
    <row r="3586" spans="1:10">
      <c r="A3586" t="s">
        <v>3585</v>
      </c>
      <c r="B3586" s="2">
        <v>42067.457999999999</v>
      </c>
      <c r="C3586" s="3" t="s">
        <v>5003</v>
      </c>
      <c r="D3586" t="s">
        <v>5013</v>
      </c>
      <c r="E3586" t="s">
        <v>5018</v>
      </c>
      <c r="F3586" t="s">
        <v>5019</v>
      </c>
      <c r="G3586">
        <v>101</v>
      </c>
      <c r="H3586" s="5">
        <v>1.6827909009345793E-3</v>
      </c>
      <c r="I3586">
        <v>4</v>
      </c>
      <c r="J3586" t="b">
        <f>AND(CCData[[#This Row],[Date]]&gt;=Calculation!$E$3,CCData[[#This Row],[Date]]&lt;Calculation!$E$3+7)</f>
        <v>0</v>
      </c>
    </row>
    <row r="3587" spans="1:10">
      <c r="A3587" t="s">
        <v>3586</v>
      </c>
      <c r="B3587" s="2">
        <v>42067.457999999999</v>
      </c>
      <c r="C3587" s="3" t="s">
        <v>5008</v>
      </c>
      <c r="D3587" t="s">
        <v>5015</v>
      </c>
      <c r="E3587" t="s">
        <v>5019</v>
      </c>
      <c r="F3587" t="s">
        <v>5019</v>
      </c>
      <c r="G3587" t="s">
        <v>5022</v>
      </c>
      <c r="H3587" s="5" t="s">
        <v>5022</v>
      </c>
      <c r="I3587" t="s">
        <v>5022</v>
      </c>
      <c r="J3587" t="b">
        <f>AND(CCData[[#This Row],[Date]]&gt;=Calculation!$E$3,CCData[[#This Row],[Date]]&lt;Calculation!$E$3+7)</f>
        <v>0</v>
      </c>
    </row>
    <row r="3588" spans="1:10">
      <c r="A3588" t="s">
        <v>3587</v>
      </c>
      <c r="B3588" s="2">
        <v>42067.464999999997</v>
      </c>
      <c r="C3588" s="3" t="s">
        <v>5006</v>
      </c>
      <c r="D3588" t="s">
        <v>5012</v>
      </c>
      <c r="E3588" t="s">
        <v>5018</v>
      </c>
      <c r="F3588" t="s">
        <v>5018</v>
      </c>
      <c r="G3588">
        <v>105</v>
      </c>
      <c r="H3588" s="5">
        <v>3.8709095231051508E-3</v>
      </c>
      <c r="I3588">
        <v>4</v>
      </c>
      <c r="J3588" t="b">
        <f>AND(CCData[[#This Row],[Date]]&gt;=Calculation!$E$3,CCData[[#This Row],[Date]]&lt;Calculation!$E$3+7)</f>
        <v>0</v>
      </c>
    </row>
    <row r="3589" spans="1:10">
      <c r="A3589" t="s">
        <v>3588</v>
      </c>
      <c r="B3589" s="2">
        <v>42067.464999999997</v>
      </c>
      <c r="C3589" s="3" t="s">
        <v>5005</v>
      </c>
      <c r="D3589" t="s">
        <v>5016</v>
      </c>
      <c r="E3589" t="s">
        <v>5018</v>
      </c>
      <c r="F3589" t="s">
        <v>5018</v>
      </c>
      <c r="G3589">
        <v>11</v>
      </c>
      <c r="H3589" s="5">
        <v>1.4922368166642335E-3</v>
      </c>
      <c r="I3589">
        <v>1</v>
      </c>
      <c r="J3589" t="b">
        <f>AND(CCData[[#This Row],[Date]]&gt;=Calculation!$E$3,CCData[[#This Row],[Date]]&lt;Calculation!$E$3+7)</f>
        <v>0</v>
      </c>
    </row>
    <row r="3590" spans="1:10">
      <c r="A3590" t="s">
        <v>3589</v>
      </c>
      <c r="B3590" s="2">
        <v>42067.466</v>
      </c>
      <c r="C3590" s="3" t="s">
        <v>5004</v>
      </c>
      <c r="D3590" t="s">
        <v>5015</v>
      </c>
      <c r="E3590" t="s">
        <v>5019</v>
      </c>
      <c r="F3590" t="s">
        <v>5019</v>
      </c>
      <c r="G3590" t="s">
        <v>5022</v>
      </c>
      <c r="H3590" s="5" t="s">
        <v>5022</v>
      </c>
      <c r="I3590" t="s">
        <v>5022</v>
      </c>
      <c r="J3590" t="b">
        <f>AND(CCData[[#This Row],[Date]]&gt;=Calculation!$E$3,CCData[[#This Row],[Date]]&lt;Calculation!$E$3+7)</f>
        <v>0</v>
      </c>
    </row>
    <row r="3591" spans="1:10">
      <c r="A3591" t="s">
        <v>3590</v>
      </c>
      <c r="B3591" s="2">
        <v>42067.466</v>
      </c>
      <c r="C3591" s="3" t="s">
        <v>5003</v>
      </c>
      <c r="D3591" t="s">
        <v>5013</v>
      </c>
      <c r="E3591" t="s">
        <v>5018</v>
      </c>
      <c r="F3591" t="s">
        <v>5018</v>
      </c>
      <c r="G3591">
        <v>89</v>
      </c>
      <c r="H3591" s="5">
        <v>3.5071274916298489E-3</v>
      </c>
      <c r="I3591">
        <v>3</v>
      </c>
      <c r="J3591" t="b">
        <f>AND(CCData[[#This Row],[Date]]&gt;=Calculation!$E$3,CCData[[#This Row],[Date]]&lt;Calculation!$E$3+7)</f>
        <v>0</v>
      </c>
    </row>
    <row r="3592" spans="1:10">
      <c r="A3592" t="s">
        <v>3591</v>
      </c>
      <c r="B3592" s="2">
        <v>42067.481</v>
      </c>
      <c r="C3592" s="3" t="s">
        <v>5004</v>
      </c>
      <c r="D3592" t="s">
        <v>5012</v>
      </c>
      <c r="E3592" t="s">
        <v>5018</v>
      </c>
      <c r="F3592" t="s">
        <v>5018</v>
      </c>
      <c r="G3592">
        <v>90</v>
      </c>
      <c r="H3592" s="5">
        <v>1.6573357594184275E-3</v>
      </c>
      <c r="I3592">
        <v>3</v>
      </c>
      <c r="J3592" t="b">
        <f>AND(CCData[[#This Row],[Date]]&gt;=Calculation!$E$3,CCData[[#This Row],[Date]]&lt;Calculation!$E$3+7)</f>
        <v>0</v>
      </c>
    </row>
    <row r="3593" spans="1:10">
      <c r="A3593" t="s">
        <v>3592</v>
      </c>
      <c r="B3593" s="2">
        <v>42067.481</v>
      </c>
      <c r="C3593" s="3" t="s">
        <v>5004</v>
      </c>
      <c r="D3593" t="s">
        <v>5013</v>
      </c>
      <c r="E3593" t="s">
        <v>5018</v>
      </c>
      <c r="F3593" t="s">
        <v>5018</v>
      </c>
      <c r="G3593">
        <v>106</v>
      </c>
      <c r="H3593" s="5">
        <v>3.2435537769406795E-3</v>
      </c>
      <c r="I3593">
        <v>5</v>
      </c>
      <c r="J3593" t="b">
        <f>AND(CCData[[#This Row],[Date]]&gt;=Calculation!$E$3,CCData[[#This Row],[Date]]&lt;Calculation!$E$3+7)</f>
        <v>0</v>
      </c>
    </row>
    <row r="3594" spans="1:10">
      <c r="A3594" t="s">
        <v>3593</v>
      </c>
      <c r="B3594" s="2">
        <v>42067.483999999997</v>
      </c>
      <c r="C3594" s="3" t="s">
        <v>5006</v>
      </c>
      <c r="D3594" t="s">
        <v>5013</v>
      </c>
      <c r="E3594" t="s">
        <v>5018</v>
      </c>
      <c r="F3594" t="s">
        <v>5018</v>
      </c>
      <c r="G3594">
        <v>113</v>
      </c>
      <c r="H3594" s="5">
        <v>2.4524280861504206E-3</v>
      </c>
      <c r="I3594">
        <v>4</v>
      </c>
      <c r="J3594" t="b">
        <f>AND(CCData[[#This Row],[Date]]&gt;=Calculation!$E$3,CCData[[#This Row],[Date]]&lt;Calculation!$E$3+7)</f>
        <v>0</v>
      </c>
    </row>
    <row r="3595" spans="1:10">
      <c r="A3595" t="s">
        <v>3594</v>
      </c>
      <c r="B3595" s="2">
        <v>42067.483999999997</v>
      </c>
      <c r="C3595" s="3" t="s">
        <v>5007</v>
      </c>
      <c r="D3595" t="s">
        <v>5016</v>
      </c>
      <c r="E3595" t="s">
        <v>5018</v>
      </c>
      <c r="F3595" t="s">
        <v>5018</v>
      </c>
      <c r="G3595">
        <v>44</v>
      </c>
      <c r="H3595" s="5">
        <v>2.0920769510111162E-3</v>
      </c>
      <c r="I3595">
        <v>5</v>
      </c>
      <c r="J3595" t="b">
        <f>AND(CCData[[#This Row],[Date]]&gt;=Calculation!$E$3,CCData[[#This Row],[Date]]&lt;Calculation!$E$3+7)</f>
        <v>0</v>
      </c>
    </row>
    <row r="3596" spans="1:10">
      <c r="A3596" t="s">
        <v>3595</v>
      </c>
      <c r="B3596" s="2">
        <v>42067.5</v>
      </c>
      <c r="C3596" s="3" t="s">
        <v>5004</v>
      </c>
      <c r="D3596" t="s">
        <v>5014</v>
      </c>
      <c r="E3596" t="s">
        <v>5018</v>
      </c>
      <c r="F3596" t="s">
        <v>5018</v>
      </c>
      <c r="G3596">
        <v>50</v>
      </c>
      <c r="H3596" s="5">
        <v>9.2869965799486211E-4</v>
      </c>
      <c r="I3596">
        <v>3</v>
      </c>
      <c r="J3596" t="b">
        <f>AND(CCData[[#This Row],[Date]]&gt;=Calculation!$E$3,CCData[[#This Row],[Date]]&lt;Calculation!$E$3+7)</f>
        <v>0</v>
      </c>
    </row>
    <row r="3597" spans="1:10">
      <c r="A3597" t="s">
        <v>3596</v>
      </c>
      <c r="B3597" s="2">
        <v>42067.5</v>
      </c>
      <c r="C3597" s="3" t="s">
        <v>5007</v>
      </c>
      <c r="D3597" t="s">
        <v>5012</v>
      </c>
      <c r="E3597" t="s">
        <v>5018</v>
      </c>
      <c r="F3597" t="s">
        <v>5018</v>
      </c>
      <c r="G3597">
        <v>111</v>
      </c>
      <c r="H3597" s="5">
        <v>3.2656033392610183E-3</v>
      </c>
      <c r="I3597">
        <v>4</v>
      </c>
      <c r="J3597" t="b">
        <f>AND(CCData[[#This Row],[Date]]&gt;=Calculation!$E$3,CCData[[#This Row],[Date]]&lt;Calculation!$E$3+7)</f>
        <v>0</v>
      </c>
    </row>
    <row r="3598" spans="1:10">
      <c r="A3598" t="s">
        <v>3597</v>
      </c>
      <c r="B3598" s="2">
        <v>42067.51</v>
      </c>
      <c r="C3598" s="3" t="s">
        <v>5008</v>
      </c>
      <c r="D3598" t="s">
        <v>5015</v>
      </c>
      <c r="E3598" t="s">
        <v>5018</v>
      </c>
      <c r="F3598" t="s">
        <v>5018</v>
      </c>
      <c r="G3598">
        <v>46</v>
      </c>
      <c r="H3598" s="5">
        <v>1.6487502639067968E-3</v>
      </c>
      <c r="I3598">
        <v>1</v>
      </c>
      <c r="J3598" t="b">
        <f>AND(CCData[[#This Row],[Date]]&gt;=Calculation!$E$3,CCData[[#This Row],[Date]]&lt;Calculation!$E$3+7)</f>
        <v>0</v>
      </c>
    </row>
    <row r="3599" spans="1:10">
      <c r="A3599" t="s">
        <v>3598</v>
      </c>
      <c r="B3599" s="2">
        <v>42067.51</v>
      </c>
      <c r="C3599" s="3" t="s">
        <v>5010</v>
      </c>
      <c r="D3599" t="s">
        <v>5016</v>
      </c>
      <c r="E3599" t="s">
        <v>5018</v>
      </c>
      <c r="F3599" t="s">
        <v>5018</v>
      </c>
      <c r="G3599">
        <v>96</v>
      </c>
      <c r="H3599" s="5">
        <v>1.9006202908356E-3</v>
      </c>
      <c r="I3599">
        <v>5</v>
      </c>
      <c r="J3599" t="b">
        <f>AND(CCData[[#This Row],[Date]]&gt;=Calculation!$E$3,CCData[[#This Row],[Date]]&lt;Calculation!$E$3+7)</f>
        <v>0</v>
      </c>
    </row>
    <row r="3600" spans="1:10">
      <c r="A3600" t="s">
        <v>3599</v>
      </c>
      <c r="B3600" s="2">
        <v>42067.531999999999</v>
      </c>
      <c r="C3600" s="3" t="s">
        <v>5006</v>
      </c>
      <c r="D3600" t="s">
        <v>5014</v>
      </c>
      <c r="E3600" t="s">
        <v>5018</v>
      </c>
      <c r="F3600" t="s">
        <v>5018</v>
      </c>
      <c r="G3600">
        <v>102</v>
      </c>
      <c r="H3600" s="5">
        <v>1.994869062081941E-3</v>
      </c>
      <c r="I3600">
        <v>3</v>
      </c>
      <c r="J3600" t="b">
        <f>AND(CCData[[#This Row],[Date]]&gt;=Calculation!$E$3,CCData[[#This Row],[Date]]&lt;Calculation!$E$3+7)</f>
        <v>0</v>
      </c>
    </row>
    <row r="3601" spans="1:10">
      <c r="A3601" t="s">
        <v>3600</v>
      </c>
      <c r="B3601" s="2">
        <v>42067.531999999999</v>
      </c>
      <c r="C3601" s="3" t="s">
        <v>5009</v>
      </c>
      <c r="D3601" t="s">
        <v>5012</v>
      </c>
      <c r="E3601" t="s">
        <v>5018</v>
      </c>
      <c r="F3601" t="s">
        <v>5019</v>
      </c>
      <c r="G3601">
        <v>30</v>
      </c>
      <c r="H3601" s="5">
        <v>3.6043749830221312E-3</v>
      </c>
      <c r="I3601">
        <v>5</v>
      </c>
      <c r="J3601" t="b">
        <f>AND(CCData[[#This Row],[Date]]&gt;=Calculation!$E$3,CCData[[#This Row],[Date]]&lt;Calculation!$E$3+7)</f>
        <v>0</v>
      </c>
    </row>
    <row r="3602" spans="1:10">
      <c r="A3602" t="s">
        <v>3601</v>
      </c>
      <c r="B3602" s="2">
        <v>42067.548000000003</v>
      </c>
      <c r="C3602" s="3" t="s">
        <v>5005</v>
      </c>
      <c r="D3602" t="s">
        <v>5016</v>
      </c>
      <c r="E3602" t="s">
        <v>5018</v>
      </c>
      <c r="F3602" t="s">
        <v>5018</v>
      </c>
      <c r="G3602">
        <v>91</v>
      </c>
      <c r="H3602" s="5">
        <v>3.8093717762184487E-3</v>
      </c>
      <c r="I3602">
        <v>5</v>
      </c>
      <c r="J3602" t="b">
        <f>AND(CCData[[#This Row],[Date]]&gt;=Calculation!$E$3,CCData[[#This Row],[Date]]&lt;Calculation!$E$3+7)</f>
        <v>0</v>
      </c>
    </row>
    <row r="3603" spans="1:10">
      <c r="A3603" t="s">
        <v>3602</v>
      </c>
      <c r="B3603" s="2">
        <v>42067.548000000003</v>
      </c>
      <c r="C3603" s="3" t="s">
        <v>5006</v>
      </c>
      <c r="D3603" t="s">
        <v>5013</v>
      </c>
      <c r="E3603" t="s">
        <v>5018</v>
      </c>
      <c r="F3603" t="s">
        <v>5018</v>
      </c>
      <c r="G3603">
        <v>111</v>
      </c>
      <c r="H3603" s="5">
        <v>3.2535124814913369E-3</v>
      </c>
      <c r="I3603">
        <v>4</v>
      </c>
      <c r="J3603" t="b">
        <f>AND(CCData[[#This Row],[Date]]&gt;=Calculation!$E$3,CCData[[#This Row],[Date]]&lt;Calculation!$E$3+7)</f>
        <v>0</v>
      </c>
    </row>
    <row r="3604" spans="1:10">
      <c r="A3604" t="s">
        <v>3603</v>
      </c>
      <c r="B3604" s="2">
        <v>42067.567000000003</v>
      </c>
      <c r="C3604" s="3" t="s">
        <v>5006</v>
      </c>
      <c r="D3604" t="s">
        <v>5016</v>
      </c>
      <c r="E3604" t="s">
        <v>5019</v>
      </c>
      <c r="F3604" t="s">
        <v>5019</v>
      </c>
      <c r="G3604" t="s">
        <v>5022</v>
      </c>
      <c r="H3604" s="5" t="s">
        <v>5022</v>
      </c>
      <c r="I3604" t="s">
        <v>5022</v>
      </c>
      <c r="J3604" t="b">
        <f>AND(CCData[[#This Row],[Date]]&gt;=Calculation!$E$3,CCData[[#This Row],[Date]]&lt;Calculation!$E$3+7)</f>
        <v>0</v>
      </c>
    </row>
    <row r="3605" spans="1:10">
      <c r="A3605" t="s">
        <v>3604</v>
      </c>
      <c r="B3605" s="2">
        <v>42067.567000000003</v>
      </c>
      <c r="C3605" s="3" t="s">
        <v>5003</v>
      </c>
      <c r="D3605" t="s">
        <v>5016</v>
      </c>
      <c r="E3605" t="s">
        <v>5018</v>
      </c>
      <c r="F3605" t="s">
        <v>5018</v>
      </c>
      <c r="G3605">
        <v>99</v>
      </c>
      <c r="H3605" s="5">
        <v>2.1210425605197166E-3</v>
      </c>
      <c r="I3605">
        <v>4</v>
      </c>
      <c r="J3605" t="b">
        <f>AND(CCData[[#This Row],[Date]]&gt;=Calculation!$E$3,CCData[[#This Row],[Date]]&lt;Calculation!$E$3+7)</f>
        <v>0</v>
      </c>
    </row>
    <row r="3606" spans="1:10">
      <c r="A3606" t="s">
        <v>3605</v>
      </c>
      <c r="B3606" s="2">
        <v>42067.57</v>
      </c>
      <c r="C3606" s="3" t="s">
        <v>5008</v>
      </c>
      <c r="D3606" t="s">
        <v>5013</v>
      </c>
      <c r="E3606" t="s">
        <v>5018</v>
      </c>
      <c r="F3606" t="s">
        <v>5018</v>
      </c>
      <c r="G3606">
        <v>125</v>
      </c>
      <c r="H3606" s="5">
        <v>5.2979672178600306E-4</v>
      </c>
      <c r="I3606">
        <v>3</v>
      </c>
      <c r="J3606" t="b">
        <f>AND(CCData[[#This Row],[Date]]&gt;=Calculation!$E$3,CCData[[#This Row],[Date]]&lt;Calculation!$E$3+7)</f>
        <v>0</v>
      </c>
    </row>
    <row r="3607" spans="1:10">
      <c r="A3607" t="s">
        <v>3606</v>
      </c>
      <c r="B3607" s="2">
        <v>42067.57</v>
      </c>
      <c r="C3607" s="3" t="s">
        <v>5008</v>
      </c>
      <c r="D3607" t="s">
        <v>5014</v>
      </c>
      <c r="E3607" t="s">
        <v>5018</v>
      </c>
      <c r="F3607" t="s">
        <v>5018</v>
      </c>
      <c r="G3607">
        <v>11</v>
      </c>
      <c r="H3607" s="5">
        <v>4.3143212167005944E-3</v>
      </c>
      <c r="I3607">
        <v>3</v>
      </c>
      <c r="J3607" t="b">
        <f>AND(CCData[[#This Row],[Date]]&gt;=Calculation!$E$3,CCData[[#This Row],[Date]]&lt;Calculation!$E$3+7)</f>
        <v>0</v>
      </c>
    </row>
    <row r="3608" spans="1:10">
      <c r="A3608" t="s">
        <v>3607</v>
      </c>
      <c r="B3608" s="2">
        <v>42067.595000000001</v>
      </c>
      <c r="C3608" s="3" t="s">
        <v>5009</v>
      </c>
      <c r="D3608" t="s">
        <v>5012</v>
      </c>
      <c r="E3608" t="s">
        <v>5018</v>
      </c>
      <c r="F3608" t="s">
        <v>5018</v>
      </c>
      <c r="G3608">
        <v>79</v>
      </c>
      <c r="H3608" s="5">
        <v>6.1426577247959506E-4</v>
      </c>
      <c r="I3608">
        <v>2</v>
      </c>
      <c r="J3608" t="b">
        <f>AND(CCData[[#This Row],[Date]]&gt;=Calculation!$E$3,CCData[[#This Row],[Date]]&lt;Calculation!$E$3+7)</f>
        <v>0</v>
      </c>
    </row>
    <row r="3609" spans="1:10">
      <c r="A3609" t="s">
        <v>3608</v>
      </c>
      <c r="B3609" s="2">
        <v>42067.595000000001</v>
      </c>
      <c r="C3609" s="3" t="s">
        <v>5005</v>
      </c>
      <c r="D3609" t="s">
        <v>5013</v>
      </c>
      <c r="E3609" t="s">
        <v>5018</v>
      </c>
      <c r="F3609" t="s">
        <v>5018</v>
      </c>
      <c r="G3609">
        <v>92</v>
      </c>
      <c r="H3609" s="5">
        <v>3.0874197031456386E-3</v>
      </c>
      <c r="I3609">
        <v>1</v>
      </c>
      <c r="J3609" t="b">
        <f>AND(CCData[[#This Row],[Date]]&gt;=Calculation!$E$3,CCData[[#This Row],[Date]]&lt;Calculation!$E$3+7)</f>
        <v>0</v>
      </c>
    </row>
    <row r="3610" spans="1:10">
      <c r="A3610" t="s">
        <v>3609</v>
      </c>
      <c r="B3610" s="2">
        <v>42067.618000000002</v>
      </c>
      <c r="C3610" s="3" t="s">
        <v>5010</v>
      </c>
      <c r="D3610" t="s">
        <v>5013</v>
      </c>
      <c r="E3610" t="s">
        <v>5019</v>
      </c>
      <c r="F3610" t="s">
        <v>5019</v>
      </c>
      <c r="G3610" t="s">
        <v>5022</v>
      </c>
      <c r="H3610" s="5" t="s">
        <v>5022</v>
      </c>
      <c r="I3610" t="s">
        <v>5022</v>
      </c>
      <c r="J3610" t="b">
        <f>AND(CCData[[#This Row],[Date]]&gt;=Calculation!$E$3,CCData[[#This Row],[Date]]&lt;Calculation!$E$3+7)</f>
        <v>0</v>
      </c>
    </row>
    <row r="3611" spans="1:10">
      <c r="A3611" t="s">
        <v>3610</v>
      </c>
      <c r="B3611" s="2">
        <v>42067.618000000002</v>
      </c>
      <c r="C3611" s="3" t="s">
        <v>5008</v>
      </c>
      <c r="D3611" t="s">
        <v>5016</v>
      </c>
      <c r="E3611" t="s">
        <v>5018</v>
      </c>
      <c r="F3611" t="s">
        <v>5018</v>
      </c>
      <c r="G3611">
        <v>119</v>
      </c>
      <c r="H3611" s="5">
        <v>3.7241153715966932E-3</v>
      </c>
      <c r="I3611">
        <v>3</v>
      </c>
      <c r="J3611" t="b">
        <f>AND(CCData[[#This Row],[Date]]&gt;=Calculation!$E$3,CCData[[#This Row],[Date]]&lt;Calculation!$E$3+7)</f>
        <v>0</v>
      </c>
    </row>
    <row r="3612" spans="1:10">
      <c r="A3612" t="s">
        <v>3611</v>
      </c>
      <c r="B3612" s="2">
        <v>42067.625</v>
      </c>
      <c r="C3612" s="3" t="s">
        <v>5007</v>
      </c>
      <c r="D3612" t="s">
        <v>5013</v>
      </c>
      <c r="E3612" t="s">
        <v>5018</v>
      </c>
      <c r="F3612" t="s">
        <v>5018</v>
      </c>
      <c r="G3612">
        <v>15</v>
      </c>
      <c r="H3612" s="5">
        <v>3.1957143683028167E-3</v>
      </c>
      <c r="I3612">
        <v>4</v>
      </c>
      <c r="J3612" t="b">
        <f>AND(CCData[[#This Row],[Date]]&gt;=Calculation!$E$3,CCData[[#This Row],[Date]]&lt;Calculation!$E$3+7)</f>
        <v>0</v>
      </c>
    </row>
    <row r="3613" spans="1:10">
      <c r="A3613" t="s">
        <v>3612</v>
      </c>
      <c r="B3613" s="2">
        <v>42067.625</v>
      </c>
      <c r="C3613" s="3" t="s">
        <v>5007</v>
      </c>
      <c r="D3613" t="s">
        <v>5013</v>
      </c>
      <c r="E3613" t="s">
        <v>5018</v>
      </c>
      <c r="F3613" t="s">
        <v>5018</v>
      </c>
      <c r="G3613">
        <v>15</v>
      </c>
      <c r="H3613" s="5">
        <v>1.5486671271401744E-3</v>
      </c>
      <c r="I3613">
        <v>4</v>
      </c>
      <c r="J3613" t="b">
        <f>AND(CCData[[#This Row],[Date]]&gt;=Calculation!$E$3,CCData[[#This Row],[Date]]&lt;Calculation!$E$3+7)</f>
        <v>0</v>
      </c>
    </row>
    <row r="3614" spans="1:10">
      <c r="A3614" t="s">
        <v>3613</v>
      </c>
      <c r="B3614" s="2">
        <v>42067.646000000001</v>
      </c>
      <c r="C3614" s="3" t="s">
        <v>5009</v>
      </c>
      <c r="D3614" t="s">
        <v>5015</v>
      </c>
      <c r="E3614" t="s">
        <v>5018</v>
      </c>
      <c r="F3614" t="s">
        <v>5018</v>
      </c>
      <c r="G3614">
        <v>61</v>
      </c>
      <c r="H3614" s="5">
        <v>4.6971391475173754E-3</v>
      </c>
      <c r="I3614">
        <v>5</v>
      </c>
      <c r="J3614" t="b">
        <f>AND(CCData[[#This Row],[Date]]&gt;=Calculation!$E$3,CCData[[#This Row],[Date]]&lt;Calculation!$E$3+7)</f>
        <v>0</v>
      </c>
    </row>
    <row r="3615" spans="1:10">
      <c r="A3615" t="s">
        <v>3614</v>
      </c>
      <c r="B3615" s="2">
        <v>42067.646000000001</v>
      </c>
      <c r="C3615" s="3" t="s">
        <v>5008</v>
      </c>
      <c r="D3615" t="s">
        <v>5012</v>
      </c>
      <c r="E3615" t="s">
        <v>5018</v>
      </c>
      <c r="F3615" t="s">
        <v>5018</v>
      </c>
      <c r="G3615">
        <v>92</v>
      </c>
      <c r="H3615" s="5">
        <v>3.0165471008157196E-3</v>
      </c>
      <c r="I3615">
        <v>3</v>
      </c>
      <c r="J3615" t="b">
        <f>AND(CCData[[#This Row],[Date]]&gt;=Calculation!$E$3,CCData[[#This Row],[Date]]&lt;Calculation!$E$3+7)</f>
        <v>0</v>
      </c>
    </row>
    <row r="3616" spans="1:10">
      <c r="A3616" t="s">
        <v>3615</v>
      </c>
      <c r="B3616" s="2">
        <v>42067.65</v>
      </c>
      <c r="C3616" s="3" t="s">
        <v>5008</v>
      </c>
      <c r="D3616" t="s">
        <v>5016</v>
      </c>
      <c r="E3616" t="s">
        <v>5018</v>
      </c>
      <c r="F3616" t="s">
        <v>5019</v>
      </c>
      <c r="G3616">
        <v>69</v>
      </c>
      <c r="H3616" s="5">
        <v>1.5370371278911558E-3</v>
      </c>
      <c r="I3616">
        <v>4</v>
      </c>
      <c r="J3616" t="b">
        <f>AND(CCData[[#This Row],[Date]]&gt;=Calculation!$E$3,CCData[[#This Row],[Date]]&lt;Calculation!$E$3+7)</f>
        <v>0</v>
      </c>
    </row>
    <row r="3617" spans="1:10">
      <c r="A3617" t="s">
        <v>3616</v>
      </c>
      <c r="B3617" s="2">
        <v>42067.65</v>
      </c>
      <c r="C3617" s="3" t="s">
        <v>5004</v>
      </c>
      <c r="D3617" t="s">
        <v>5014</v>
      </c>
      <c r="E3617" t="s">
        <v>5018</v>
      </c>
      <c r="F3617" t="s">
        <v>5018</v>
      </c>
      <c r="G3617">
        <v>32</v>
      </c>
      <c r="H3617" s="5">
        <v>4.467053280371747E-3</v>
      </c>
      <c r="I3617">
        <v>3</v>
      </c>
      <c r="J3617" t="b">
        <f>AND(CCData[[#This Row],[Date]]&gt;=Calculation!$E$3,CCData[[#This Row],[Date]]&lt;Calculation!$E$3+7)</f>
        <v>0</v>
      </c>
    </row>
    <row r="3618" spans="1:10">
      <c r="A3618" t="s">
        <v>3617</v>
      </c>
      <c r="B3618" s="2">
        <v>42067.65</v>
      </c>
      <c r="C3618" s="3" t="s">
        <v>5003</v>
      </c>
      <c r="D3618" t="s">
        <v>5014</v>
      </c>
      <c r="E3618" t="s">
        <v>5018</v>
      </c>
      <c r="F3618" t="s">
        <v>5018</v>
      </c>
      <c r="G3618">
        <v>119</v>
      </c>
      <c r="H3618" s="5">
        <v>3.1612916579704417E-3</v>
      </c>
      <c r="I3618">
        <v>4</v>
      </c>
      <c r="J3618" t="b">
        <f>AND(CCData[[#This Row],[Date]]&gt;=Calculation!$E$3,CCData[[#This Row],[Date]]&lt;Calculation!$E$3+7)</f>
        <v>0</v>
      </c>
    </row>
    <row r="3619" spans="1:10">
      <c r="A3619" t="s">
        <v>3618</v>
      </c>
      <c r="B3619" s="2">
        <v>42067.65</v>
      </c>
      <c r="C3619" s="3" t="s">
        <v>5003</v>
      </c>
      <c r="D3619" t="s">
        <v>5012</v>
      </c>
      <c r="E3619" t="s">
        <v>5018</v>
      </c>
      <c r="F3619" t="s">
        <v>5019</v>
      </c>
      <c r="G3619">
        <v>11</v>
      </c>
      <c r="H3619" s="5">
        <v>3.5794537788638565E-3</v>
      </c>
      <c r="I3619">
        <v>4</v>
      </c>
      <c r="J3619" t="b">
        <f>AND(CCData[[#This Row],[Date]]&gt;=Calculation!$E$3,CCData[[#This Row],[Date]]&lt;Calculation!$E$3+7)</f>
        <v>0</v>
      </c>
    </row>
    <row r="3620" spans="1:10">
      <c r="A3620" t="s">
        <v>3619</v>
      </c>
      <c r="B3620" s="2">
        <v>42067.671000000002</v>
      </c>
      <c r="C3620" s="3" t="s">
        <v>5006</v>
      </c>
      <c r="D3620" t="s">
        <v>5013</v>
      </c>
      <c r="E3620" t="s">
        <v>5018</v>
      </c>
      <c r="F3620" t="s">
        <v>5018</v>
      </c>
      <c r="G3620">
        <v>81</v>
      </c>
      <c r="H3620" s="5">
        <v>2.0017791321289276E-3</v>
      </c>
      <c r="I3620">
        <v>4</v>
      </c>
      <c r="J3620" t="b">
        <f>AND(CCData[[#This Row],[Date]]&gt;=Calculation!$E$3,CCData[[#This Row],[Date]]&lt;Calculation!$E$3+7)</f>
        <v>0</v>
      </c>
    </row>
    <row r="3621" spans="1:10">
      <c r="A3621" t="s">
        <v>3620</v>
      </c>
      <c r="B3621" s="2">
        <v>42067.671000000002</v>
      </c>
      <c r="C3621" s="3" t="s">
        <v>5004</v>
      </c>
      <c r="D3621" t="s">
        <v>5016</v>
      </c>
      <c r="E3621" t="s">
        <v>5018</v>
      </c>
      <c r="F3621" t="s">
        <v>5018</v>
      </c>
      <c r="G3621">
        <v>23</v>
      </c>
      <c r="H3621" s="5">
        <v>3.5851033169452654E-4</v>
      </c>
      <c r="I3621">
        <v>3</v>
      </c>
      <c r="J3621" t="b">
        <f>AND(CCData[[#This Row],[Date]]&gt;=Calculation!$E$3,CCData[[#This Row],[Date]]&lt;Calculation!$E$3+7)</f>
        <v>0</v>
      </c>
    </row>
    <row r="3622" spans="1:10">
      <c r="A3622" t="s">
        <v>3621</v>
      </c>
      <c r="B3622" s="2">
        <v>42067.678999999996</v>
      </c>
      <c r="C3622" s="3" t="s">
        <v>5006</v>
      </c>
      <c r="D3622" t="s">
        <v>5016</v>
      </c>
      <c r="E3622" t="s">
        <v>5018</v>
      </c>
      <c r="F3622" t="s">
        <v>5018</v>
      </c>
      <c r="G3622">
        <v>54</v>
      </c>
      <c r="H3622" s="5">
        <v>5.4533755938115925E-4</v>
      </c>
      <c r="I3622">
        <v>2</v>
      </c>
      <c r="J3622" t="b">
        <f>AND(CCData[[#This Row],[Date]]&gt;=Calculation!$E$3,CCData[[#This Row],[Date]]&lt;Calculation!$E$3+7)</f>
        <v>0</v>
      </c>
    </row>
    <row r="3623" spans="1:10">
      <c r="A3623" t="s">
        <v>3622</v>
      </c>
      <c r="B3623" s="2">
        <v>42067.678999999996</v>
      </c>
      <c r="C3623" s="3" t="s">
        <v>5009</v>
      </c>
      <c r="D3623" t="s">
        <v>5016</v>
      </c>
      <c r="E3623" t="s">
        <v>5018</v>
      </c>
      <c r="F3623" t="s">
        <v>5018</v>
      </c>
      <c r="G3623">
        <v>61</v>
      </c>
      <c r="H3623" s="5">
        <v>3.9759519721209455E-3</v>
      </c>
      <c r="I3623">
        <v>5</v>
      </c>
      <c r="J3623" t="b">
        <f>AND(CCData[[#This Row],[Date]]&gt;=Calculation!$E$3,CCData[[#This Row],[Date]]&lt;Calculation!$E$3+7)</f>
        <v>0</v>
      </c>
    </row>
    <row r="3624" spans="1:10">
      <c r="A3624" t="s">
        <v>3623</v>
      </c>
      <c r="B3624" s="2">
        <v>42067.688000000002</v>
      </c>
      <c r="C3624" s="3" t="s">
        <v>5003</v>
      </c>
      <c r="D3624" t="s">
        <v>5013</v>
      </c>
      <c r="E3624" t="s">
        <v>5018</v>
      </c>
      <c r="F3624" t="s">
        <v>5018</v>
      </c>
      <c r="G3624">
        <v>62</v>
      </c>
      <c r="H3624" s="5">
        <v>2.811275072930905E-3</v>
      </c>
      <c r="I3624">
        <v>4</v>
      </c>
      <c r="J3624" t="b">
        <f>AND(CCData[[#This Row],[Date]]&gt;=Calculation!$E$3,CCData[[#This Row],[Date]]&lt;Calculation!$E$3+7)</f>
        <v>0</v>
      </c>
    </row>
    <row r="3625" spans="1:10">
      <c r="A3625" t="s">
        <v>3624</v>
      </c>
      <c r="B3625" s="2">
        <v>42067.688000000002</v>
      </c>
      <c r="C3625" s="3" t="s">
        <v>5009</v>
      </c>
      <c r="D3625" t="s">
        <v>5014</v>
      </c>
      <c r="E3625" t="s">
        <v>5018</v>
      </c>
      <c r="F3625" t="s">
        <v>5018</v>
      </c>
      <c r="G3625">
        <v>105</v>
      </c>
      <c r="H3625" s="5">
        <v>4.1411073520397261E-3</v>
      </c>
      <c r="I3625">
        <v>4</v>
      </c>
      <c r="J3625" t="b">
        <f>AND(CCData[[#This Row],[Date]]&gt;=Calculation!$E$3,CCData[[#This Row],[Date]]&lt;Calculation!$E$3+7)</f>
        <v>0</v>
      </c>
    </row>
    <row r="3626" spans="1:10">
      <c r="A3626" t="s">
        <v>3625</v>
      </c>
      <c r="B3626" s="2">
        <v>42067.692000000003</v>
      </c>
      <c r="C3626" s="3" t="s">
        <v>5010</v>
      </c>
      <c r="D3626" t="s">
        <v>5012</v>
      </c>
      <c r="E3626" t="s">
        <v>5019</v>
      </c>
      <c r="F3626" t="s">
        <v>5019</v>
      </c>
      <c r="G3626" t="s">
        <v>5022</v>
      </c>
      <c r="H3626" s="5" t="s">
        <v>5022</v>
      </c>
      <c r="I3626" t="s">
        <v>5022</v>
      </c>
      <c r="J3626" t="b">
        <f>AND(CCData[[#This Row],[Date]]&gt;=Calculation!$E$3,CCData[[#This Row],[Date]]&lt;Calculation!$E$3+7)</f>
        <v>0</v>
      </c>
    </row>
    <row r="3627" spans="1:10">
      <c r="A3627" t="s">
        <v>3626</v>
      </c>
      <c r="B3627" s="2">
        <v>42067.692000000003</v>
      </c>
      <c r="C3627" s="3" t="s">
        <v>5004</v>
      </c>
      <c r="D3627" t="s">
        <v>5012</v>
      </c>
      <c r="E3627" t="s">
        <v>5018</v>
      </c>
      <c r="F3627" t="s">
        <v>5018</v>
      </c>
      <c r="G3627">
        <v>83</v>
      </c>
      <c r="H3627" s="5">
        <v>4.0690082601219143E-3</v>
      </c>
      <c r="I3627">
        <v>4</v>
      </c>
      <c r="J3627" t="b">
        <f>AND(CCData[[#This Row],[Date]]&gt;=Calculation!$E$3,CCData[[#This Row],[Date]]&lt;Calculation!$E$3+7)</f>
        <v>0</v>
      </c>
    </row>
    <row r="3628" spans="1:10">
      <c r="A3628" t="s">
        <v>3627</v>
      </c>
      <c r="B3628" s="2">
        <v>42067.705999999998</v>
      </c>
      <c r="C3628" s="3" t="s">
        <v>5010</v>
      </c>
      <c r="D3628" t="s">
        <v>5016</v>
      </c>
      <c r="E3628" t="s">
        <v>5018</v>
      </c>
      <c r="F3628" t="s">
        <v>5018</v>
      </c>
      <c r="G3628">
        <v>31</v>
      </c>
      <c r="H3628" s="5">
        <v>1.9562463212951073E-3</v>
      </c>
      <c r="I3628">
        <v>4</v>
      </c>
      <c r="J3628" t="b">
        <f>AND(CCData[[#This Row],[Date]]&gt;=Calculation!$E$3,CCData[[#This Row],[Date]]&lt;Calculation!$E$3+7)</f>
        <v>0</v>
      </c>
    </row>
    <row r="3629" spans="1:10">
      <c r="A3629" t="s">
        <v>3628</v>
      </c>
      <c r="B3629" s="2">
        <v>42067.705999999998</v>
      </c>
      <c r="C3629" s="3" t="s">
        <v>5007</v>
      </c>
      <c r="D3629" t="s">
        <v>5014</v>
      </c>
      <c r="E3629" t="s">
        <v>5018</v>
      </c>
      <c r="F3629" t="s">
        <v>5019</v>
      </c>
      <c r="G3629">
        <v>57</v>
      </c>
      <c r="H3629" s="5">
        <v>3.4414278398863713E-3</v>
      </c>
      <c r="I3629">
        <v>1</v>
      </c>
      <c r="J3629" t="b">
        <f>AND(CCData[[#This Row],[Date]]&gt;=Calculation!$E$3,CCData[[#This Row],[Date]]&lt;Calculation!$E$3+7)</f>
        <v>0</v>
      </c>
    </row>
    <row r="3630" spans="1:10">
      <c r="A3630" t="s">
        <v>3629</v>
      </c>
      <c r="B3630" s="2">
        <v>42067.718999999997</v>
      </c>
      <c r="C3630" s="3" t="s">
        <v>5006</v>
      </c>
      <c r="D3630" t="s">
        <v>5012</v>
      </c>
      <c r="E3630" t="s">
        <v>5018</v>
      </c>
      <c r="F3630" t="s">
        <v>5018</v>
      </c>
      <c r="G3630">
        <v>54</v>
      </c>
      <c r="H3630" s="5">
        <v>2.9974840030778977E-3</v>
      </c>
      <c r="I3630">
        <v>5</v>
      </c>
      <c r="J3630" t="b">
        <f>AND(CCData[[#This Row],[Date]]&gt;=Calculation!$E$3,CCData[[#This Row],[Date]]&lt;Calculation!$E$3+7)</f>
        <v>0</v>
      </c>
    </row>
    <row r="3631" spans="1:10">
      <c r="A3631" t="s">
        <v>3630</v>
      </c>
      <c r="B3631" s="2">
        <v>42067.718999999997</v>
      </c>
      <c r="C3631" s="3" t="s">
        <v>5007</v>
      </c>
      <c r="D3631" t="s">
        <v>5012</v>
      </c>
      <c r="E3631" t="s">
        <v>5018</v>
      </c>
      <c r="F3631" t="s">
        <v>5019</v>
      </c>
      <c r="G3631">
        <v>91</v>
      </c>
      <c r="H3631" s="5">
        <v>3.9815140152209766E-3</v>
      </c>
      <c r="I3631">
        <v>5</v>
      </c>
      <c r="J3631" t="b">
        <f>AND(CCData[[#This Row],[Date]]&gt;=Calculation!$E$3,CCData[[#This Row],[Date]]&lt;Calculation!$E$3+7)</f>
        <v>0</v>
      </c>
    </row>
    <row r="3632" spans="1:10">
      <c r="A3632" t="s">
        <v>3631</v>
      </c>
      <c r="B3632" s="2">
        <v>42067.724000000002</v>
      </c>
      <c r="C3632" s="3" t="s">
        <v>5009</v>
      </c>
      <c r="D3632" t="s">
        <v>5012</v>
      </c>
      <c r="E3632" t="s">
        <v>5018</v>
      </c>
      <c r="F3632" t="s">
        <v>5018</v>
      </c>
      <c r="G3632">
        <v>96</v>
      </c>
      <c r="H3632" s="5">
        <v>5.0867636681722461E-4</v>
      </c>
      <c r="I3632">
        <v>1</v>
      </c>
      <c r="J3632" t="b">
        <f>AND(CCData[[#This Row],[Date]]&gt;=Calculation!$E$3,CCData[[#This Row],[Date]]&lt;Calculation!$E$3+7)</f>
        <v>0</v>
      </c>
    </row>
    <row r="3633" spans="1:10">
      <c r="A3633" t="s">
        <v>3632</v>
      </c>
      <c r="B3633" s="2">
        <v>42067.724000000002</v>
      </c>
      <c r="C3633" s="3" t="s">
        <v>5005</v>
      </c>
      <c r="D3633" t="s">
        <v>5013</v>
      </c>
      <c r="E3633" t="s">
        <v>5019</v>
      </c>
      <c r="F3633" t="s">
        <v>5019</v>
      </c>
      <c r="G3633" t="s">
        <v>5022</v>
      </c>
      <c r="H3633" s="5" t="s">
        <v>5022</v>
      </c>
      <c r="I3633" t="s">
        <v>5022</v>
      </c>
      <c r="J3633" t="b">
        <f>AND(CCData[[#This Row],[Date]]&gt;=Calculation!$E$3,CCData[[#This Row],[Date]]&lt;Calculation!$E$3+7)</f>
        <v>0</v>
      </c>
    </row>
    <row r="3634" spans="1:10">
      <c r="A3634" t="s">
        <v>3633</v>
      </c>
      <c r="B3634" s="2">
        <v>42067.726000000002</v>
      </c>
      <c r="C3634" s="3" t="s">
        <v>5004</v>
      </c>
      <c r="D3634" t="s">
        <v>5015</v>
      </c>
      <c r="E3634" t="s">
        <v>5018</v>
      </c>
      <c r="F3634" t="s">
        <v>5018</v>
      </c>
      <c r="G3634">
        <v>46</v>
      </c>
      <c r="H3634" s="5">
        <v>3.1456232614340122E-3</v>
      </c>
      <c r="I3634">
        <v>4</v>
      </c>
      <c r="J3634" t="b">
        <f>AND(CCData[[#This Row],[Date]]&gt;=Calculation!$E$3,CCData[[#This Row],[Date]]&lt;Calculation!$E$3+7)</f>
        <v>0</v>
      </c>
    </row>
    <row r="3635" spans="1:10">
      <c r="A3635" t="s">
        <v>3634</v>
      </c>
      <c r="B3635" s="2">
        <v>42067.726000000002</v>
      </c>
      <c r="C3635" s="3" t="s">
        <v>5009</v>
      </c>
      <c r="D3635" t="s">
        <v>5015</v>
      </c>
      <c r="E3635" t="s">
        <v>5018</v>
      </c>
      <c r="F3635" t="s">
        <v>5018</v>
      </c>
      <c r="G3635">
        <v>94</v>
      </c>
      <c r="H3635" s="5">
        <v>3.6431241887491988E-3</v>
      </c>
      <c r="I3635">
        <v>4</v>
      </c>
      <c r="J3635" t="b">
        <f>AND(CCData[[#This Row],[Date]]&gt;=Calculation!$E$3,CCData[[#This Row],[Date]]&lt;Calculation!$E$3+7)</f>
        <v>0</v>
      </c>
    </row>
    <row r="3636" spans="1:10">
      <c r="A3636" t="s">
        <v>3635</v>
      </c>
      <c r="B3636" s="2">
        <v>42067.735999999997</v>
      </c>
      <c r="C3636" s="3" t="s">
        <v>5004</v>
      </c>
      <c r="D3636" t="s">
        <v>5016</v>
      </c>
      <c r="E3636" t="s">
        <v>5018</v>
      </c>
      <c r="F3636" t="s">
        <v>5018</v>
      </c>
      <c r="G3636">
        <v>48</v>
      </c>
      <c r="H3636" s="5">
        <v>4.1040893012957097E-3</v>
      </c>
      <c r="I3636">
        <v>4</v>
      </c>
      <c r="J3636" t="b">
        <f>AND(CCData[[#This Row],[Date]]&gt;=Calculation!$E$3,CCData[[#This Row],[Date]]&lt;Calculation!$E$3+7)</f>
        <v>0</v>
      </c>
    </row>
    <row r="3637" spans="1:10">
      <c r="A3637" t="s">
        <v>3636</v>
      </c>
      <c r="B3637" s="2">
        <v>42067.735999999997</v>
      </c>
      <c r="C3637" s="3" t="s">
        <v>5007</v>
      </c>
      <c r="D3637" t="s">
        <v>5013</v>
      </c>
      <c r="E3637" t="s">
        <v>5018</v>
      </c>
      <c r="F3637" t="s">
        <v>5018</v>
      </c>
      <c r="G3637">
        <v>38</v>
      </c>
      <c r="H3637" s="5">
        <v>2.5937878388190795E-3</v>
      </c>
      <c r="I3637">
        <v>3</v>
      </c>
      <c r="J3637" t="b">
        <f>AND(CCData[[#This Row],[Date]]&gt;=Calculation!$E$3,CCData[[#This Row],[Date]]&lt;Calculation!$E$3+7)</f>
        <v>0</v>
      </c>
    </row>
    <row r="3638" spans="1:10">
      <c r="A3638" t="s">
        <v>3637</v>
      </c>
      <c r="B3638" s="2">
        <v>42068.434000000001</v>
      </c>
      <c r="C3638" s="3" t="s">
        <v>5004</v>
      </c>
      <c r="D3638" t="s">
        <v>5014</v>
      </c>
      <c r="E3638" t="s">
        <v>5018</v>
      </c>
      <c r="F3638" t="s">
        <v>5019</v>
      </c>
      <c r="G3638">
        <v>98</v>
      </c>
      <c r="H3638" s="5">
        <v>6.8595940941088007E-4</v>
      </c>
      <c r="I3638">
        <v>5</v>
      </c>
      <c r="J3638" t="b">
        <f>AND(CCData[[#This Row],[Date]]&gt;=Calculation!$E$3,CCData[[#This Row],[Date]]&lt;Calculation!$E$3+7)</f>
        <v>0</v>
      </c>
    </row>
    <row r="3639" spans="1:10">
      <c r="A3639" t="s">
        <v>3638</v>
      </c>
      <c r="B3639" s="2">
        <v>42068.434000000001</v>
      </c>
      <c r="C3639" s="3" t="s">
        <v>5004</v>
      </c>
      <c r="D3639" t="s">
        <v>5015</v>
      </c>
      <c r="E3639" t="s">
        <v>5018</v>
      </c>
      <c r="F3639" t="s">
        <v>5018</v>
      </c>
      <c r="G3639">
        <v>59</v>
      </c>
      <c r="H3639" s="5">
        <v>3.7275967861543349E-3</v>
      </c>
      <c r="I3639">
        <v>5</v>
      </c>
      <c r="J3639" t="b">
        <f>AND(CCData[[#This Row],[Date]]&gt;=Calculation!$E$3,CCData[[#This Row],[Date]]&lt;Calculation!$E$3+7)</f>
        <v>0</v>
      </c>
    </row>
    <row r="3640" spans="1:10">
      <c r="A3640" t="s">
        <v>3639</v>
      </c>
      <c r="B3640" s="2">
        <v>42068.449000000001</v>
      </c>
      <c r="C3640" s="3" t="s">
        <v>5003</v>
      </c>
      <c r="D3640" t="s">
        <v>5013</v>
      </c>
      <c r="E3640" t="s">
        <v>5018</v>
      </c>
      <c r="F3640" t="s">
        <v>5018</v>
      </c>
      <c r="G3640">
        <v>18</v>
      </c>
      <c r="H3640" s="5">
        <v>2.953617955632567E-3</v>
      </c>
      <c r="I3640">
        <v>4</v>
      </c>
      <c r="J3640" t="b">
        <f>AND(CCData[[#This Row],[Date]]&gt;=Calculation!$E$3,CCData[[#This Row],[Date]]&lt;Calculation!$E$3+7)</f>
        <v>0</v>
      </c>
    </row>
    <row r="3641" spans="1:10">
      <c r="A3641" t="s">
        <v>3640</v>
      </c>
      <c r="B3641" s="2">
        <v>42068.449000000001</v>
      </c>
      <c r="C3641" s="3" t="s">
        <v>5003</v>
      </c>
      <c r="D3641" t="s">
        <v>5016</v>
      </c>
      <c r="E3641" t="s">
        <v>5018</v>
      </c>
      <c r="F3641" t="s">
        <v>5018</v>
      </c>
      <c r="G3641">
        <v>118</v>
      </c>
      <c r="H3641" s="5">
        <v>4.6908375844574688E-4</v>
      </c>
      <c r="I3641">
        <v>2</v>
      </c>
      <c r="J3641" t="b">
        <f>AND(CCData[[#This Row],[Date]]&gt;=Calculation!$E$3,CCData[[#This Row],[Date]]&lt;Calculation!$E$3+7)</f>
        <v>0</v>
      </c>
    </row>
    <row r="3642" spans="1:10">
      <c r="A3642" t="s">
        <v>3641</v>
      </c>
      <c r="B3642" s="2">
        <v>42068.453000000001</v>
      </c>
      <c r="C3642" s="3" t="s">
        <v>5006</v>
      </c>
      <c r="D3642" t="s">
        <v>5014</v>
      </c>
      <c r="E3642" t="s">
        <v>5018</v>
      </c>
      <c r="F3642" t="s">
        <v>5018</v>
      </c>
      <c r="G3642">
        <v>97</v>
      </c>
      <c r="H3642" s="5">
        <v>3.9065709950375824E-4</v>
      </c>
      <c r="I3642">
        <v>4</v>
      </c>
      <c r="J3642" t="b">
        <f>AND(CCData[[#This Row],[Date]]&gt;=Calculation!$E$3,CCData[[#This Row],[Date]]&lt;Calculation!$E$3+7)</f>
        <v>0</v>
      </c>
    </row>
    <row r="3643" spans="1:10">
      <c r="A3643" t="s">
        <v>3642</v>
      </c>
      <c r="B3643" s="2">
        <v>42068.453000000001</v>
      </c>
      <c r="C3643" s="3" t="s">
        <v>5007</v>
      </c>
      <c r="D3643" t="s">
        <v>5013</v>
      </c>
      <c r="E3643" t="s">
        <v>5018</v>
      </c>
      <c r="F3643" t="s">
        <v>5018</v>
      </c>
      <c r="G3643">
        <v>41</v>
      </c>
      <c r="H3643" s="5">
        <v>2.7751146166432642E-3</v>
      </c>
      <c r="I3643">
        <v>3</v>
      </c>
      <c r="J3643" t="b">
        <f>AND(CCData[[#This Row],[Date]]&gt;=Calculation!$E$3,CCData[[#This Row],[Date]]&lt;Calculation!$E$3+7)</f>
        <v>0</v>
      </c>
    </row>
    <row r="3644" spans="1:10">
      <c r="A3644" t="s">
        <v>3643</v>
      </c>
      <c r="B3644" s="2">
        <v>42068.468999999997</v>
      </c>
      <c r="C3644" s="3" t="s">
        <v>5006</v>
      </c>
      <c r="D3644" t="s">
        <v>5016</v>
      </c>
      <c r="E3644" t="s">
        <v>5018</v>
      </c>
      <c r="F3644" t="s">
        <v>5018</v>
      </c>
      <c r="G3644">
        <v>24</v>
      </c>
      <c r="H3644" s="5">
        <v>3.2739485036131963E-3</v>
      </c>
      <c r="I3644">
        <v>3</v>
      </c>
      <c r="J3644" t="b">
        <f>AND(CCData[[#This Row],[Date]]&gt;=Calculation!$E$3,CCData[[#This Row],[Date]]&lt;Calculation!$E$3+7)</f>
        <v>0</v>
      </c>
    </row>
    <row r="3645" spans="1:10">
      <c r="A3645" t="s">
        <v>3644</v>
      </c>
      <c r="B3645" s="2">
        <v>42068.468999999997</v>
      </c>
      <c r="C3645" s="3" t="s">
        <v>5004</v>
      </c>
      <c r="D3645" t="s">
        <v>5016</v>
      </c>
      <c r="E3645" t="s">
        <v>5018</v>
      </c>
      <c r="F3645" t="s">
        <v>5018</v>
      </c>
      <c r="G3645">
        <v>112</v>
      </c>
      <c r="H3645" s="5">
        <v>6.7832622335359824E-4</v>
      </c>
      <c r="I3645">
        <v>3</v>
      </c>
      <c r="J3645" t="b">
        <f>AND(CCData[[#This Row],[Date]]&gt;=Calculation!$E$3,CCData[[#This Row],[Date]]&lt;Calculation!$E$3+7)</f>
        <v>0</v>
      </c>
    </row>
    <row r="3646" spans="1:10">
      <c r="A3646" t="s">
        <v>3645</v>
      </c>
      <c r="B3646" s="2">
        <v>42068.474999999999</v>
      </c>
      <c r="C3646" s="3" t="s">
        <v>5009</v>
      </c>
      <c r="D3646" t="s">
        <v>5013</v>
      </c>
      <c r="E3646" t="s">
        <v>5018</v>
      </c>
      <c r="F3646" t="s">
        <v>5018</v>
      </c>
      <c r="G3646">
        <v>104</v>
      </c>
      <c r="H3646" s="5">
        <v>1.7966034080176166E-3</v>
      </c>
      <c r="I3646">
        <v>2</v>
      </c>
      <c r="J3646" t="b">
        <f>AND(CCData[[#This Row],[Date]]&gt;=Calculation!$E$3,CCData[[#This Row],[Date]]&lt;Calculation!$E$3+7)</f>
        <v>0</v>
      </c>
    </row>
    <row r="3647" spans="1:10">
      <c r="A3647" t="s">
        <v>3646</v>
      </c>
      <c r="B3647" s="2">
        <v>42068.474999999999</v>
      </c>
      <c r="C3647" s="3" t="s">
        <v>5003</v>
      </c>
      <c r="D3647" t="s">
        <v>5014</v>
      </c>
      <c r="E3647" t="s">
        <v>5018</v>
      </c>
      <c r="F3647" t="s">
        <v>5019</v>
      </c>
      <c r="G3647">
        <v>117</v>
      </c>
      <c r="H3647" s="5">
        <v>1.5194436857241755E-3</v>
      </c>
      <c r="I3647">
        <v>4</v>
      </c>
      <c r="J3647" t="b">
        <f>AND(CCData[[#This Row],[Date]]&gt;=Calculation!$E$3,CCData[[#This Row],[Date]]&lt;Calculation!$E$3+7)</f>
        <v>0</v>
      </c>
    </row>
    <row r="3648" spans="1:10">
      <c r="A3648" t="s">
        <v>3647</v>
      </c>
      <c r="B3648" s="2">
        <v>42068.489000000001</v>
      </c>
      <c r="C3648" s="3" t="s">
        <v>5007</v>
      </c>
      <c r="D3648" t="s">
        <v>5013</v>
      </c>
      <c r="E3648" t="s">
        <v>5018</v>
      </c>
      <c r="F3648" t="s">
        <v>5018</v>
      </c>
      <c r="G3648">
        <v>51</v>
      </c>
      <c r="H3648" s="5">
        <v>3.0302617442637112E-3</v>
      </c>
      <c r="I3648">
        <v>4</v>
      </c>
      <c r="J3648" t="b">
        <f>AND(CCData[[#This Row],[Date]]&gt;=Calculation!$E$3,CCData[[#This Row],[Date]]&lt;Calculation!$E$3+7)</f>
        <v>0</v>
      </c>
    </row>
    <row r="3649" spans="1:10">
      <c r="A3649" t="s">
        <v>3648</v>
      </c>
      <c r="B3649" s="2">
        <v>42068.489000000001</v>
      </c>
      <c r="C3649" s="3" t="s">
        <v>5004</v>
      </c>
      <c r="D3649" t="s">
        <v>5015</v>
      </c>
      <c r="E3649" t="s">
        <v>5018</v>
      </c>
      <c r="F3649" t="s">
        <v>5018</v>
      </c>
      <c r="G3649">
        <v>62</v>
      </c>
      <c r="H3649" s="5">
        <v>4.1527981845024212E-3</v>
      </c>
      <c r="I3649">
        <v>4</v>
      </c>
      <c r="J3649" t="b">
        <f>AND(CCData[[#This Row],[Date]]&gt;=Calculation!$E$3,CCData[[#This Row],[Date]]&lt;Calculation!$E$3+7)</f>
        <v>0</v>
      </c>
    </row>
    <row r="3650" spans="1:10">
      <c r="A3650" t="s">
        <v>3649</v>
      </c>
      <c r="B3650" s="2">
        <v>42068.508000000002</v>
      </c>
      <c r="C3650" s="3" t="s">
        <v>5003</v>
      </c>
      <c r="D3650" t="s">
        <v>5014</v>
      </c>
      <c r="E3650" t="s">
        <v>5019</v>
      </c>
      <c r="F3650" t="s">
        <v>5019</v>
      </c>
      <c r="G3650" t="s">
        <v>5022</v>
      </c>
      <c r="H3650" s="5" t="s">
        <v>5022</v>
      </c>
      <c r="I3650" t="s">
        <v>5022</v>
      </c>
      <c r="J3650" t="b">
        <f>AND(CCData[[#This Row],[Date]]&gt;=Calculation!$E$3,CCData[[#This Row],[Date]]&lt;Calculation!$E$3+7)</f>
        <v>0</v>
      </c>
    </row>
    <row r="3651" spans="1:10">
      <c r="A3651" t="s">
        <v>3650</v>
      </c>
      <c r="B3651" s="2">
        <v>42068.508000000002</v>
      </c>
      <c r="C3651" s="3" t="s">
        <v>5005</v>
      </c>
      <c r="D3651" t="s">
        <v>5013</v>
      </c>
      <c r="E3651" t="s">
        <v>5018</v>
      </c>
      <c r="F3651" t="s">
        <v>5018</v>
      </c>
      <c r="G3651">
        <v>56</v>
      </c>
      <c r="H3651" s="5">
        <v>3.0015562723027444E-3</v>
      </c>
      <c r="I3651">
        <v>4</v>
      </c>
      <c r="J3651" t="b">
        <f>AND(CCData[[#This Row],[Date]]&gt;=Calculation!$E$3,CCData[[#This Row],[Date]]&lt;Calculation!$E$3+7)</f>
        <v>0</v>
      </c>
    </row>
    <row r="3652" spans="1:10">
      <c r="A3652" t="s">
        <v>3651</v>
      </c>
      <c r="B3652" s="2">
        <v>42068.521999999997</v>
      </c>
      <c r="C3652" s="3" t="s">
        <v>5008</v>
      </c>
      <c r="D3652" t="s">
        <v>5012</v>
      </c>
      <c r="E3652" t="s">
        <v>5018</v>
      </c>
      <c r="F3652" t="s">
        <v>5018</v>
      </c>
      <c r="G3652">
        <v>72</v>
      </c>
      <c r="H3652" s="5">
        <v>1.1033463362256158E-3</v>
      </c>
      <c r="I3652">
        <v>4</v>
      </c>
      <c r="J3652" t="b">
        <f>AND(CCData[[#This Row],[Date]]&gt;=Calculation!$E$3,CCData[[#This Row],[Date]]&lt;Calculation!$E$3+7)</f>
        <v>0</v>
      </c>
    </row>
    <row r="3653" spans="1:10">
      <c r="A3653" t="s">
        <v>3652</v>
      </c>
      <c r="B3653" s="2">
        <v>42068.521999999997</v>
      </c>
      <c r="C3653" s="3" t="s">
        <v>5007</v>
      </c>
      <c r="D3653" t="s">
        <v>5013</v>
      </c>
      <c r="E3653" t="s">
        <v>5018</v>
      </c>
      <c r="F3653" t="s">
        <v>5018</v>
      </c>
      <c r="G3653">
        <v>115</v>
      </c>
      <c r="H3653" s="5">
        <v>3.3426137292257574E-3</v>
      </c>
      <c r="I3653">
        <v>1</v>
      </c>
      <c r="J3653" t="b">
        <f>AND(CCData[[#This Row],[Date]]&gt;=Calculation!$E$3,CCData[[#This Row],[Date]]&lt;Calculation!$E$3+7)</f>
        <v>0</v>
      </c>
    </row>
    <row r="3654" spans="1:10">
      <c r="A3654" t="s">
        <v>3653</v>
      </c>
      <c r="B3654" s="2">
        <v>42068.529000000002</v>
      </c>
      <c r="C3654" s="3" t="s">
        <v>5008</v>
      </c>
      <c r="D3654" t="s">
        <v>5015</v>
      </c>
      <c r="E3654" t="s">
        <v>5018</v>
      </c>
      <c r="F3654" t="s">
        <v>5019</v>
      </c>
      <c r="G3654">
        <v>118</v>
      </c>
      <c r="H3654" s="5">
        <v>2.0848335223075756E-3</v>
      </c>
      <c r="I3654">
        <v>3</v>
      </c>
      <c r="J3654" t="b">
        <f>AND(CCData[[#This Row],[Date]]&gt;=Calculation!$E$3,CCData[[#This Row],[Date]]&lt;Calculation!$E$3+7)</f>
        <v>0</v>
      </c>
    </row>
    <row r="3655" spans="1:10">
      <c r="A3655" t="s">
        <v>3654</v>
      </c>
      <c r="B3655" s="2">
        <v>42068.529000000002</v>
      </c>
      <c r="C3655" s="3" t="s">
        <v>5005</v>
      </c>
      <c r="D3655" t="s">
        <v>5014</v>
      </c>
      <c r="E3655" t="s">
        <v>5018</v>
      </c>
      <c r="F3655" t="s">
        <v>5018</v>
      </c>
      <c r="G3655">
        <v>98</v>
      </c>
      <c r="H3655" s="5">
        <v>1.7511276844130476E-3</v>
      </c>
      <c r="I3655">
        <v>3</v>
      </c>
      <c r="J3655" t="b">
        <f>AND(CCData[[#This Row],[Date]]&gt;=Calculation!$E$3,CCData[[#This Row],[Date]]&lt;Calculation!$E$3+7)</f>
        <v>0</v>
      </c>
    </row>
    <row r="3656" spans="1:10">
      <c r="A3656" t="s">
        <v>3655</v>
      </c>
      <c r="B3656" s="2">
        <v>42068.533000000003</v>
      </c>
      <c r="C3656" s="3" t="s">
        <v>5003</v>
      </c>
      <c r="D3656" t="s">
        <v>5016</v>
      </c>
      <c r="E3656" t="s">
        <v>5018</v>
      </c>
      <c r="F3656" t="s">
        <v>5018</v>
      </c>
      <c r="G3656">
        <v>112</v>
      </c>
      <c r="H3656" s="5">
        <v>1.2336199247162901E-3</v>
      </c>
      <c r="I3656">
        <v>4</v>
      </c>
      <c r="J3656" t="b">
        <f>AND(CCData[[#This Row],[Date]]&gt;=Calculation!$E$3,CCData[[#This Row],[Date]]&lt;Calculation!$E$3+7)</f>
        <v>0</v>
      </c>
    </row>
    <row r="3657" spans="1:10">
      <c r="A3657" t="s">
        <v>3656</v>
      </c>
      <c r="B3657" s="2">
        <v>42068.533000000003</v>
      </c>
      <c r="C3657" s="3" t="s">
        <v>5005</v>
      </c>
      <c r="D3657" t="s">
        <v>5013</v>
      </c>
      <c r="E3657" t="s">
        <v>5018</v>
      </c>
      <c r="F3657" t="s">
        <v>5018</v>
      </c>
      <c r="G3657">
        <v>75</v>
      </c>
      <c r="H3657" s="5">
        <v>2.3495411905930376E-3</v>
      </c>
      <c r="I3657">
        <v>1</v>
      </c>
      <c r="J3657" t="b">
        <f>AND(CCData[[#This Row],[Date]]&gt;=Calculation!$E$3,CCData[[#This Row],[Date]]&lt;Calculation!$E$3+7)</f>
        <v>0</v>
      </c>
    </row>
    <row r="3658" spans="1:10">
      <c r="A3658" t="s">
        <v>3657</v>
      </c>
      <c r="B3658" s="2">
        <v>42068.535000000003</v>
      </c>
      <c r="C3658" s="3" t="s">
        <v>5004</v>
      </c>
      <c r="D3658" t="s">
        <v>5014</v>
      </c>
      <c r="E3658" t="s">
        <v>5018</v>
      </c>
      <c r="F3658" t="s">
        <v>5018</v>
      </c>
      <c r="G3658">
        <v>34</v>
      </c>
      <c r="H3658" s="5">
        <v>1.3075003331355336E-3</v>
      </c>
      <c r="I3658">
        <v>3</v>
      </c>
      <c r="J3658" t="b">
        <f>AND(CCData[[#This Row],[Date]]&gt;=Calculation!$E$3,CCData[[#This Row],[Date]]&lt;Calculation!$E$3+7)</f>
        <v>0</v>
      </c>
    </row>
    <row r="3659" spans="1:10">
      <c r="A3659" t="s">
        <v>3658</v>
      </c>
      <c r="B3659" s="2">
        <v>42068.535000000003</v>
      </c>
      <c r="C3659" s="3" t="s">
        <v>5007</v>
      </c>
      <c r="D3659" t="s">
        <v>5015</v>
      </c>
      <c r="E3659" t="s">
        <v>5019</v>
      </c>
      <c r="F3659" t="s">
        <v>5019</v>
      </c>
      <c r="G3659" t="s">
        <v>5022</v>
      </c>
      <c r="H3659" s="5" t="s">
        <v>5022</v>
      </c>
      <c r="I3659" t="s">
        <v>5022</v>
      </c>
      <c r="J3659" t="b">
        <f>AND(CCData[[#This Row],[Date]]&gt;=Calculation!$E$3,CCData[[#This Row],[Date]]&lt;Calculation!$E$3+7)</f>
        <v>0</v>
      </c>
    </row>
    <row r="3660" spans="1:10">
      <c r="A3660" t="s">
        <v>3659</v>
      </c>
      <c r="B3660" s="2">
        <v>42068.56</v>
      </c>
      <c r="C3660" s="3" t="s">
        <v>5005</v>
      </c>
      <c r="D3660" t="s">
        <v>5014</v>
      </c>
      <c r="E3660" t="s">
        <v>5018</v>
      </c>
      <c r="F3660" t="s">
        <v>5018</v>
      </c>
      <c r="G3660">
        <v>111</v>
      </c>
      <c r="H3660" s="5">
        <v>3.8230873122590305E-3</v>
      </c>
      <c r="I3660">
        <v>4</v>
      </c>
      <c r="J3660" t="b">
        <f>AND(CCData[[#This Row],[Date]]&gt;=Calculation!$E$3,CCData[[#This Row],[Date]]&lt;Calculation!$E$3+7)</f>
        <v>0</v>
      </c>
    </row>
    <row r="3661" spans="1:10">
      <c r="A3661" t="s">
        <v>3660</v>
      </c>
      <c r="B3661" s="2">
        <v>42068.56</v>
      </c>
      <c r="C3661" s="3" t="s">
        <v>5009</v>
      </c>
      <c r="D3661" t="s">
        <v>5016</v>
      </c>
      <c r="E3661" t="s">
        <v>5018</v>
      </c>
      <c r="F3661" t="s">
        <v>5018</v>
      </c>
      <c r="G3661">
        <v>81</v>
      </c>
      <c r="H3661" s="5">
        <v>2.0233827194768347E-3</v>
      </c>
      <c r="I3661">
        <v>4</v>
      </c>
      <c r="J3661" t="b">
        <f>AND(CCData[[#This Row],[Date]]&gt;=Calculation!$E$3,CCData[[#This Row],[Date]]&lt;Calculation!$E$3+7)</f>
        <v>0</v>
      </c>
    </row>
    <row r="3662" spans="1:10">
      <c r="A3662" t="s">
        <v>3661</v>
      </c>
      <c r="B3662" s="2">
        <v>42068.571000000004</v>
      </c>
      <c r="C3662" s="3" t="s">
        <v>5008</v>
      </c>
      <c r="D3662" t="s">
        <v>5013</v>
      </c>
      <c r="E3662" t="s">
        <v>5018</v>
      </c>
      <c r="F3662" t="s">
        <v>5018</v>
      </c>
      <c r="G3662">
        <v>16</v>
      </c>
      <c r="H3662" s="5">
        <v>1.823255864173445E-3</v>
      </c>
      <c r="I3662">
        <v>3</v>
      </c>
      <c r="J3662" t="b">
        <f>AND(CCData[[#This Row],[Date]]&gt;=Calculation!$E$3,CCData[[#This Row],[Date]]&lt;Calculation!$E$3+7)</f>
        <v>0</v>
      </c>
    </row>
    <row r="3663" spans="1:10">
      <c r="A3663" t="s">
        <v>3662</v>
      </c>
      <c r="B3663" s="2">
        <v>42068.571000000004</v>
      </c>
      <c r="C3663" s="3" t="s">
        <v>5010</v>
      </c>
      <c r="D3663" t="s">
        <v>5014</v>
      </c>
      <c r="E3663" t="s">
        <v>5018</v>
      </c>
      <c r="F3663" t="s">
        <v>5018</v>
      </c>
      <c r="G3663">
        <v>75</v>
      </c>
      <c r="H3663" s="5">
        <v>2.2367876058275796E-3</v>
      </c>
      <c r="I3663">
        <v>3</v>
      </c>
      <c r="J3663" t="b">
        <f>AND(CCData[[#This Row],[Date]]&gt;=Calculation!$E$3,CCData[[#This Row],[Date]]&lt;Calculation!$E$3+7)</f>
        <v>0</v>
      </c>
    </row>
    <row r="3664" spans="1:10">
      <c r="A3664" t="s">
        <v>3663</v>
      </c>
      <c r="B3664" s="2">
        <v>42068.593000000001</v>
      </c>
      <c r="C3664" s="3" t="s">
        <v>5004</v>
      </c>
      <c r="D3664" t="s">
        <v>5016</v>
      </c>
      <c r="E3664" t="s">
        <v>5018</v>
      </c>
      <c r="F3664" t="s">
        <v>5018</v>
      </c>
      <c r="G3664">
        <v>11</v>
      </c>
      <c r="H3664" s="5">
        <v>4.7238177452650423E-3</v>
      </c>
      <c r="I3664">
        <v>4</v>
      </c>
      <c r="J3664" t="b">
        <f>AND(CCData[[#This Row],[Date]]&gt;=Calculation!$E$3,CCData[[#This Row],[Date]]&lt;Calculation!$E$3+7)</f>
        <v>0</v>
      </c>
    </row>
    <row r="3665" spans="1:10">
      <c r="A3665" t="s">
        <v>3664</v>
      </c>
      <c r="B3665" s="2">
        <v>42068.593000000001</v>
      </c>
      <c r="C3665" s="3" t="s">
        <v>5010</v>
      </c>
      <c r="D3665" t="s">
        <v>5014</v>
      </c>
      <c r="E3665" t="s">
        <v>5018</v>
      </c>
      <c r="F3665" t="s">
        <v>5018</v>
      </c>
      <c r="G3665">
        <v>65</v>
      </c>
      <c r="H3665" s="5">
        <v>3.2843047484563143E-3</v>
      </c>
      <c r="I3665">
        <v>3</v>
      </c>
      <c r="J3665" t="b">
        <f>AND(CCData[[#This Row],[Date]]&gt;=Calculation!$E$3,CCData[[#This Row],[Date]]&lt;Calculation!$E$3+7)</f>
        <v>0</v>
      </c>
    </row>
    <row r="3666" spans="1:10">
      <c r="A3666" t="s">
        <v>3665</v>
      </c>
      <c r="B3666" s="2">
        <v>42068.599000000002</v>
      </c>
      <c r="C3666" s="3" t="s">
        <v>5005</v>
      </c>
      <c r="D3666" t="s">
        <v>5012</v>
      </c>
      <c r="E3666" t="s">
        <v>5018</v>
      </c>
      <c r="F3666" t="s">
        <v>5018</v>
      </c>
      <c r="G3666">
        <v>36</v>
      </c>
      <c r="H3666" s="5">
        <v>2.9385482976395745E-3</v>
      </c>
      <c r="I3666">
        <v>3</v>
      </c>
      <c r="J3666" t="b">
        <f>AND(CCData[[#This Row],[Date]]&gt;=Calculation!$E$3,CCData[[#This Row],[Date]]&lt;Calculation!$E$3+7)</f>
        <v>0</v>
      </c>
    </row>
    <row r="3667" spans="1:10">
      <c r="A3667" t="s">
        <v>3666</v>
      </c>
      <c r="B3667" s="2">
        <v>42068.599000000002</v>
      </c>
      <c r="C3667" s="3" t="s">
        <v>5007</v>
      </c>
      <c r="D3667" t="s">
        <v>5014</v>
      </c>
      <c r="E3667" t="s">
        <v>5018</v>
      </c>
      <c r="F3667" t="s">
        <v>5018</v>
      </c>
      <c r="G3667">
        <v>28</v>
      </c>
      <c r="H3667" s="5">
        <v>2.5153506821047841E-3</v>
      </c>
      <c r="I3667">
        <v>2</v>
      </c>
      <c r="J3667" t="b">
        <f>AND(CCData[[#This Row],[Date]]&gt;=Calculation!$E$3,CCData[[#This Row],[Date]]&lt;Calculation!$E$3+7)</f>
        <v>0</v>
      </c>
    </row>
    <row r="3668" spans="1:10">
      <c r="A3668" t="s">
        <v>3667</v>
      </c>
      <c r="B3668" s="2">
        <v>42068.635999999999</v>
      </c>
      <c r="C3668" s="3" t="s">
        <v>5007</v>
      </c>
      <c r="D3668" t="s">
        <v>5015</v>
      </c>
      <c r="E3668" t="s">
        <v>5018</v>
      </c>
      <c r="F3668" t="s">
        <v>5018</v>
      </c>
      <c r="G3668">
        <v>34</v>
      </c>
      <c r="H3668" s="5">
        <v>3.0578744252850944E-3</v>
      </c>
      <c r="I3668">
        <v>4</v>
      </c>
      <c r="J3668" t="b">
        <f>AND(CCData[[#This Row],[Date]]&gt;=Calculation!$E$3,CCData[[#This Row],[Date]]&lt;Calculation!$E$3+7)</f>
        <v>0</v>
      </c>
    </row>
    <row r="3669" spans="1:10">
      <c r="A3669" t="s">
        <v>3668</v>
      </c>
      <c r="B3669" s="2">
        <v>42068.635999999999</v>
      </c>
      <c r="C3669" s="3" t="s">
        <v>5004</v>
      </c>
      <c r="D3669" t="s">
        <v>5016</v>
      </c>
      <c r="E3669" t="s">
        <v>5019</v>
      </c>
      <c r="F3669" t="s">
        <v>5019</v>
      </c>
      <c r="G3669" t="s">
        <v>5022</v>
      </c>
      <c r="H3669" s="5" t="s">
        <v>5022</v>
      </c>
      <c r="I3669" t="s">
        <v>5022</v>
      </c>
      <c r="J3669" t="b">
        <f>AND(CCData[[#This Row],[Date]]&gt;=Calculation!$E$3,CCData[[#This Row],[Date]]&lt;Calculation!$E$3+7)</f>
        <v>0</v>
      </c>
    </row>
    <row r="3670" spans="1:10">
      <c r="A3670" t="s">
        <v>3669</v>
      </c>
      <c r="B3670" s="2">
        <v>42068.661</v>
      </c>
      <c r="C3670" s="3" t="s">
        <v>5004</v>
      </c>
      <c r="D3670" t="s">
        <v>5016</v>
      </c>
      <c r="E3670" t="s">
        <v>5018</v>
      </c>
      <c r="F3670" t="s">
        <v>5018</v>
      </c>
      <c r="G3670">
        <v>105</v>
      </c>
      <c r="H3670" s="5">
        <v>2.4260593768983627E-3</v>
      </c>
      <c r="I3670">
        <v>4</v>
      </c>
      <c r="J3670" t="b">
        <f>AND(CCData[[#This Row],[Date]]&gt;=Calculation!$E$3,CCData[[#This Row],[Date]]&lt;Calculation!$E$3+7)</f>
        <v>0</v>
      </c>
    </row>
    <row r="3671" spans="1:10">
      <c r="A3671" t="s">
        <v>3670</v>
      </c>
      <c r="B3671" s="2">
        <v>42068.661</v>
      </c>
      <c r="C3671" s="3" t="s">
        <v>5005</v>
      </c>
      <c r="D3671" t="s">
        <v>5014</v>
      </c>
      <c r="E3671" t="s">
        <v>5019</v>
      </c>
      <c r="F3671" t="s">
        <v>5019</v>
      </c>
      <c r="G3671" t="s">
        <v>5022</v>
      </c>
      <c r="H3671" s="5" t="s">
        <v>5022</v>
      </c>
      <c r="I3671" t="s">
        <v>5022</v>
      </c>
      <c r="J3671" t="b">
        <f>AND(CCData[[#This Row],[Date]]&gt;=Calculation!$E$3,CCData[[#This Row],[Date]]&lt;Calculation!$E$3+7)</f>
        <v>0</v>
      </c>
    </row>
    <row r="3672" spans="1:10">
      <c r="A3672" t="s">
        <v>3671</v>
      </c>
      <c r="B3672" s="2">
        <v>42068.663</v>
      </c>
      <c r="C3672" s="3" t="s">
        <v>5005</v>
      </c>
      <c r="D3672" t="s">
        <v>5012</v>
      </c>
      <c r="E3672" t="s">
        <v>5018</v>
      </c>
      <c r="F3672" t="s">
        <v>5018</v>
      </c>
      <c r="G3672">
        <v>23</v>
      </c>
      <c r="H3672" s="5">
        <v>9.0723154067831201E-4</v>
      </c>
      <c r="I3672">
        <v>1</v>
      </c>
      <c r="J3672" t="b">
        <f>AND(CCData[[#This Row],[Date]]&gt;=Calculation!$E$3,CCData[[#This Row],[Date]]&lt;Calculation!$E$3+7)</f>
        <v>0</v>
      </c>
    </row>
    <row r="3673" spans="1:10">
      <c r="A3673" t="s">
        <v>3672</v>
      </c>
      <c r="B3673" s="2">
        <v>42068.663</v>
      </c>
      <c r="C3673" s="3" t="s">
        <v>5005</v>
      </c>
      <c r="D3673" t="s">
        <v>5016</v>
      </c>
      <c r="E3673" t="s">
        <v>5018</v>
      </c>
      <c r="F3673" t="s">
        <v>5019</v>
      </c>
      <c r="G3673">
        <v>74</v>
      </c>
      <c r="H3673" s="5">
        <v>2.4452284088228079E-3</v>
      </c>
      <c r="I3673">
        <v>1</v>
      </c>
      <c r="J3673" t="b">
        <f>AND(CCData[[#This Row],[Date]]&gt;=Calculation!$E$3,CCData[[#This Row],[Date]]&lt;Calculation!$E$3+7)</f>
        <v>0</v>
      </c>
    </row>
    <row r="3674" spans="1:10">
      <c r="A3674" t="s">
        <v>3673</v>
      </c>
      <c r="B3674" s="2">
        <v>42068.673999999999</v>
      </c>
      <c r="C3674" s="3" t="s">
        <v>5005</v>
      </c>
      <c r="D3674" t="s">
        <v>5012</v>
      </c>
      <c r="E3674" t="s">
        <v>5018</v>
      </c>
      <c r="F3674" t="s">
        <v>5018</v>
      </c>
      <c r="G3674">
        <v>19</v>
      </c>
      <c r="H3674" s="5">
        <v>3.5133391950009146E-3</v>
      </c>
      <c r="I3674">
        <v>4</v>
      </c>
      <c r="J3674" t="b">
        <f>AND(CCData[[#This Row],[Date]]&gt;=Calculation!$E$3,CCData[[#This Row],[Date]]&lt;Calculation!$E$3+7)</f>
        <v>0</v>
      </c>
    </row>
    <row r="3675" spans="1:10">
      <c r="A3675" t="s">
        <v>3674</v>
      </c>
      <c r="B3675" s="2">
        <v>42068.673999999999</v>
      </c>
      <c r="C3675" s="3" t="s">
        <v>5003</v>
      </c>
      <c r="D3675" t="s">
        <v>5016</v>
      </c>
      <c r="E3675" t="s">
        <v>5018</v>
      </c>
      <c r="F3675" t="s">
        <v>5018</v>
      </c>
      <c r="G3675">
        <v>102</v>
      </c>
      <c r="H3675" s="5">
        <v>2.7872552556014035E-3</v>
      </c>
      <c r="I3675">
        <v>4</v>
      </c>
      <c r="J3675" t="b">
        <f>AND(CCData[[#This Row],[Date]]&gt;=Calculation!$E$3,CCData[[#This Row],[Date]]&lt;Calculation!$E$3+7)</f>
        <v>0</v>
      </c>
    </row>
    <row r="3676" spans="1:10">
      <c r="A3676" t="s">
        <v>3675</v>
      </c>
      <c r="B3676" s="2">
        <v>42068.675999999999</v>
      </c>
      <c r="C3676" s="3" t="s">
        <v>5008</v>
      </c>
      <c r="D3676" t="s">
        <v>5016</v>
      </c>
      <c r="E3676" t="s">
        <v>5018</v>
      </c>
      <c r="F3676" t="s">
        <v>5019</v>
      </c>
      <c r="G3676">
        <v>16</v>
      </c>
      <c r="H3676" s="5">
        <v>2.847058408155463E-3</v>
      </c>
      <c r="I3676">
        <v>3</v>
      </c>
      <c r="J3676" t="b">
        <f>AND(CCData[[#This Row],[Date]]&gt;=Calculation!$E$3,CCData[[#This Row],[Date]]&lt;Calculation!$E$3+7)</f>
        <v>0</v>
      </c>
    </row>
    <row r="3677" spans="1:10">
      <c r="A3677" t="s">
        <v>3676</v>
      </c>
      <c r="B3677" s="2">
        <v>42068.675999999999</v>
      </c>
      <c r="C3677" s="3" t="s">
        <v>5008</v>
      </c>
      <c r="D3677" t="s">
        <v>5012</v>
      </c>
      <c r="E3677" t="s">
        <v>5018</v>
      </c>
      <c r="F3677" t="s">
        <v>5018</v>
      </c>
      <c r="G3677">
        <v>56</v>
      </c>
      <c r="H3677" s="5">
        <v>8.1808888225520131E-4</v>
      </c>
      <c r="I3677">
        <v>5</v>
      </c>
      <c r="J3677" t="b">
        <f>AND(CCData[[#This Row],[Date]]&gt;=Calculation!$E$3,CCData[[#This Row],[Date]]&lt;Calculation!$E$3+7)</f>
        <v>0</v>
      </c>
    </row>
    <row r="3678" spans="1:10">
      <c r="A3678" t="s">
        <v>3677</v>
      </c>
      <c r="B3678" s="2">
        <v>42068.678</v>
      </c>
      <c r="C3678" s="3" t="s">
        <v>5008</v>
      </c>
      <c r="D3678" t="s">
        <v>5016</v>
      </c>
      <c r="E3678" t="s">
        <v>5018</v>
      </c>
      <c r="F3678" t="s">
        <v>5018</v>
      </c>
      <c r="G3678">
        <v>22</v>
      </c>
      <c r="H3678" s="5">
        <v>2.6605705148130222E-3</v>
      </c>
      <c r="I3678">
        <v>2</v>
      </c>
      <c r="J3678" t="b">
        <f>AND(CCData[[#This Row],[Date]]&gt;=Calculation!$E$3,CCData[[#This Row],[Date]]&lt;Calculation!$E$3+7)</f>
        <v>0</v>
      </c>
    </row>
    <row r="3679" spans="1:10">
      <c r="A3679" t="s">
        <v>3678</v>
      </c>
      <c r="B3679" s="2">
        <v>42068.678</v>
      </c>
      <c r="C3679" s="3" t="s">
        <v>5008</v>
      </c>
      <c r="D3679" t="s">
        <v>5013</v>
      </c>
      <c r="E3679" t="s">
        <v>5018</v>
      </c>
      <c r="F3679" t="s">
        <v>5018</v>
      </c>
      <c r="G3679">
        <v>68</v>
      </c>
      <c r="H3679" s="5">
        <v>3.1214036348284225E-3</v>
      </c>
      <c r="I3679">
        <v>4</v>
      </c>
      <c r="J3679" t="b">
        <f>AND(CCData[[#This Row],[Date]]&gt;=Calculation!$E$3,CCData[[#This Row],[Date]]&lt;Calculation!$E$3+7)</f>
        <v>0</v>
      </c>
    </row>
    <row r="3680" spans="1:10">
      <c r="A3680" t="s">
        <v>3679</v>
      </c>
      <c r="B3680" s="2">
        <v>42068.680999999997</v>
      </c>
      <c r="C3680" s="3" t="s">
        <v>5009</v>
      </c>
      <c r="D3680" t="s">
        <v>5013</v>
      </c>
      <c r="E3680" t="s">
        <v>5018</v>
      </c>
      <c r="F3680" t="s">
        <v>5018</v>
      </c>
      <c r="G3680">
        <v>103</v>
      </c>
      <c r="H3680" s="5">
        <v>3.9311961936710025E-3</v>
      </c>
      <c r="I3680">
        <v>4</v>
      </c>
      <c r="J3680" t="b">
        <f>AND(CCData[[#This Row],[Date]]&gt;=Calculation!$E$3,CCData[[#This Row],[Date]]&lt;Calculation!$E$3+7)</f>
        <v>0</v>
      </c>
    </row>
    <row r="3681" spans="1:10">
      <c r="A3681" t="s">
        <v>3680</v>
      </c>
      <c r="B3681" s="2">
        <v>42068.680999999997</v>
      </c>
      <c r="C3681" s="3" t="s">
        <v>5008</v>
      </c>
      <c r="D3681" t="s">
        <v>5013</v>
      </c>
      <c r="E3681" t="s">
        <v>5019</v>
      </c>
      <c r="F3681" t="s">
        <v>5019</v>
      </c>
      <c r="G3681" t="s">
        <v>5022</v>
      </c>
      <c r="H3681" s="5" t="s">
        <v>5022</v>
      </c>
      <c r="I3681" t="s">
        <v>5022</v>
      </c>
      <c r="J3681" t="b">
        <f>AND(CCData[[#This Row],[Date]]&gt;=Calculation!$E$3,CCData[[#This Row],[Date]]&lt;Calculation!$E$3+7)</f>
        <v>0</v>
      </c>
    </row>
    <row r="3682" spans="1:10">
      <c r="A3682" t="s">
        <v>3681</v>
      </c>
      <c r="B3682" s="2">
        <v>42068.680999999997</v>
      </c>
      <c r="C3682" s="3" t="s">
        <v>5005</v>
      </c>
      <c r="D3682" t="s">
        <v>5013</v>
      </c>
      <c r="E3682" t="s">
        <v>5018</v>
      </c>
      <c r="F3682" t="s">
        <v>5018</v>
      </c>
      <c r="G3682">
        <v>74</v>
      </c>
      <c r="H3682" s="5">
        <v>3.0306238432196422E-3</v>
      </c>
      <c r="I3682">
        <v>3</v>
      </c>
      <c r="J3682" t="b">
        <f>AND(CCData[[#This Row],[Date]]&gt;=Calculation!$E$3,CCData[[#This Row],[Date]]&lt;Calculation!$E$3+7)</f>
        <v>0</v>
      </c>
    </row>
    <row r="3683" spans="1:10">
      <c r="A3683" t="s">
        <v>3682</v>
      </c>
      <c r="B3683" s="2">
        <v>42068.680999999997</v>
      </c>
      <c r="C3683" s="3" t="s">
        <v>5005</v>
      </c>
      <c r="D3683" t="s">
        <v>5015</v>
      </c>
      <c r="E3683" t="s">
        <v>5018</v>
      </c>
      <c r="F3683" t="s">
        <v>5018</v>
      </c>
      <c r="G3683">
        <v>72</v>
      </c>
      <c r="H3683" s="5">
        <v>2.2327186805540756E-3</v>
      </c>
      <c r="I3683">
        <v>3</v>
      </c>
      <c r="J3683" t="b">
        <f>AND(CCData[[#This Row],[Date]]&gt;=Calculation!$E$3,CCData[[#This Row],[Date]]&lt;Calculation!$E$3+7)</f>
        <v>0</v>
      </c>
    </row>
    <row r="3684" spans="1:10">
      <c r="A3684" t="s">
        <v>3683</v>
      </c>
      <c r="B3684" s="2">
        <v>42068.682999999997</v>
      </c>
      <c r="C3684" s="3" t="s">
        <v>5003</v>
      </c>
      <c r="D3684" t="s">
        <v>5016</v>
      </c>
      <c r="E3684" t="s">
        <v>5018</v>
      </c>
      <c r="F3684" t="s">
        <v>5018</v>
      </c>
      <c r="G3684">
        <v>44</v>
      </c>
      <c r="H3684" s="5">
        <v>3.2871533970464132E-3</v>
      </c>
      <c r="I3684">
        <v>3</v>
      </c>
      <c r="J3684" t="b">
        <f>AND(CCData[[#This Row],[Date]]&gt;=Calculation!$E$3,CCData[[#This Row],[Date]]&lt;Calculation!$E$3+7)</f>
        <v>0</v>
      </c>
    </row>
    <row r="3685" spans="1:10">
      <c r="A3685" t="s">
        <v>3684</v>
      </c>
      <c r="B3685" s="2">
        <v>42068.682999999997</v>
      </c>
      <c r="C3685" s="3" t="s">
        <v>5008</v>
      </c>
      <c r="D3685" t="s">
        <v>5012</v>
      </c>
      <c r="E3685" t="s">
        <v>5018</v>
      </c>
      <c r="F3685" t="s">
        <v>5018</v>
      </c>
      <c r="G3685">
        <v>118</v>
      </c>
      <c r="H3685" s="5">
        <v>2.5808953472591903E-3</v>
      </c>
      <c r="I3685">
        <v>3</v>
      </c>
      <c r="J3685" t="b">
        <f>AND(CCData[[#This Row],[Date]]&gt;=Calculation!$E$3,CCData[[#This Row],[Date]]&lt;Calculation!$E$3+7)</f>
        <v>0</v>
      </c>
    </row>
    <row r="3686" spans="1:10">
      <c r="A3686" t="s">
        <v>3685</v>
      </c>
      <c r="B3686" s="2">
        <v>42068.73</v>
      </c>
      <c r="C3686" s="3" t="s">
        <v>5010</v>
      </c>
      <c r="D3686" t="s">
        <v>5014</v>
      </c>
      <c r="E3686" t="s">
        <v>5018</v>
      </c>
      <c r="F3686" t="s">
        <v>5019</v>
      </c>
      <c r="G3686">
        <v>102</v>
      </c>
      <c r="H3686" s="5">
        <v>1.4947472708606157E-3</v>
      </c>
      <c r="I3686">
        <v>5</v>
      </c>
      <c r="J3686" t="b">
        <f>AND(CCData[[#This Row],[Date]]&gt;=Calculation!$E$3,CCData[[#This Row],[Date]]&lt;Calculation!$E$3+7)</f>
        <v>0</v>
      </c>
    </row>
    <row r="3687" spans="1:10">
      <c r="A3687" t="s">
        <v>3686</v>
      </c>
      <c r="B3687" s="2">
        <v>42068.73</v>
      </c>
      <c r="C3687" s="3" t="s">
        <v>5006</v>
      </c>
      <c r="D3687" t="s">
        <v>5013</v>
      </c>
      <c r="E3687" t="s">
        <v>5018</v>
      </c>
      <c r="F3687" t="s">
        <v>5018</v>
      </c>
      <c r="G3687">
        <v>116</v>
      </c>
      <c r="H3687" s="5">
        <v>3.8145686076189404E-3</v>
      </c>
      <c r="I3687">
        <v>2</v>
      </c>
      <c r="J3687" t="b">
        <f>AND(CCData[[#This Row],[Date]]&gt;=Calculation!$E$3,CCData[[#This Row],[Date]]&lt;Calculation!$E$3+7)</f>
        <v>0</v>
      </c>
    </row>
    <row r="3688" spans="1:10">
      <c r="A3688" t="s">
        <v>3687</v>
      </c>
      <c r="B3688" s="2">
        <v>42068.732000000004</v>
      </c>
      <c r="C3688" s="3" t="s">
        <v>5007</v>
      </c>
      <c r="D3688" t="s">
        <v>5016</v>
      </c>
      <c r="E3688" t="s">
        <v>5019</v>
      </c>
      <c r="F3688" t="s">
        <v>5019</v>
      </c>
      <c r="G3688" t="s">
        <v>5022</v>
      </c>
      <c r="H3688" s="5" t="s">
        <v>5022</v>
      </c>
      <c r="I3688" t="s">
        <v>5022</v>
      </c>
      <c r="J3688" t="b">
        <f>AND(CCData[[#This Row],[Date]]&gt;=Calculation!$E$3,CCData[[#This Row],[Date]]&lt;Calculation!$E$3+7)</f>
        <v>0</v>
      </c>
    </row>
    <row r="3689" spans="1:10">
      <c r="A3689" t="s">
        <v>3688</v>
      </c>
      <c r="B3689" s="2">
        <v>42068.732000000004</v>
      </c>
      <c r="C3689" s="3" t="s">
        <v>5007</v>
      </c>
      <c r="D3689" t="s">
        <v>5012</v>
      </c>
      <c r="E3689" t="s">
        <v>5018</v>
      </c>
      <c r="F3689" t="s">
        <v>5019</v>
      </c>
      <c r="G3689">
        <v>116</v>
      </c>
      <c r="H3689" s="5">
        <v>2.3139024278490293E-3</v>
      </c>
      <c r="I3689">
        <v>5</v>
      </c>
      <c r="J3689" t="b">
        <f>AND(CCData[[#This Row],[Date]]&gt;=Calculation!$E$3,CCData[[#This Row],[Date]]&lt;Calculation!$E$3+7)</f>
        <v>0</v>
      </c>
    </row>
    <row r="3690" spans="1:10">
      <c r="A3690" t="s">
        <v>3689</v>
      </c>
      <c r="B3690" s="2">
        <v>42068.745000000003</v>
      </c>
      <c r="C3690" s="3" t="s">
        <v>5004</v>
      </c>
      <c r="D3690" t="s">
        <v>5015</v>
      </c>
      <c r="E3690" t="s">
        <v>5018</v>
      </c>
      <c r="F3690" t="s">
        <v>5018</v>
      </c>
      <c r="G3690">
        <v>29</v>
      </c>
      <c r="H3690" s="5">
        <v>2.2788759051035833E-3</v>
      </c>
      <c r="I3690">
        <v>2</v>
      </c>
      <c r="J3690" t="b">
        <f>AND(CCData[[#This Row],[Date]]&gt;=Calculation!$E$3,CCData[[#This Row],[Date]]&lt;Calculation!$E$3+7)</f>
        <v>0</v>
      </c>
    </row>
    <row r="3691" spans="1:10">
      <c r="A3691" t="s">
        <v>3690</v>
      </c>
      <c r="B3691" s="2">
        <v>42068.745000000003</v>
      </c>
      <c r="C3691" s="3" t="s">
        <v>5005</v>
      </c>
      <c r="D3691" t="s">
        <v>5016</v>
      </c>
      <c r="E3691" t="s">
        <v>5019</v>
      </c>
      <c r="F3691" t="s">
        <v>5019</v>
      </c>
      <c r="G3691" t="s">
        <v>5022</v>
      </c>
      <c r="H3691" s="5" t="s">
        <v>5022</v>
      </c>
      <c r="I3691" t="s">
        <v>5022</v>
      </c>
      <c r="J3691" t="b">
        <f>AND(CCData[[#This Row],[Date]]&gt;=Calculation!$E$3,CCData[[#This Row],[Date]]&lt;Calculation!$E$3+7)</f>
        <v>0</v>
      </c>
    </row>
    <row r="3692" spans="1:10">
      <c r="A3692" t="s">
        <v>3691</v>
      </c>
      <c r="B3692" s="2">
        <v>42069.375</v>
      </c>
      <c r="C3692" s="3" t="s">
        <v>5009</v>
      </c>
      <c r="D3692" t="s">
        <v>5013</v>
      </c>
      <c r="E3692" t="s">
        <v>5018</v>
      </c>
      <c r="F3692" t="s">
        <v>5018</v>
      </c>
      <c r="G3692">
        <v>73</v>
      </c>
      <c r="H3692" s="5">
        <v>9.3169448138617739E-4</v>
      </c>
      <c r="I3692">
        <v>4</v>
      </c>
      <c r="J3692" t="b">
        <f>AND(CCData[[#This Row],[Date]]&gt;=Calculation!$E$3,CCData[[#This Row],[Date]]&lt;Calculation!$E$3+7)</f>
        <v>0</v>
      </c>
    </row>
    <row r="3693" spans="1:10">
      <c r="A3693" t="s">
        <v>3692</v>
      </c>
      <c r="B3693" s="2">
        <v>42069.375</v>
      </c>
      <c r="C3693" s="3" t="s">
        <v>5005</v>
      </c>
      <c r="D3693" t="s">
        <v>5014</v>
      </c>
      <c r="E3693" t="s">
        <v>5018</v>
      </c>
      <c r="F3693" t="s">
        <v>5018</v>
      </c>
      <c r="G3693">
        <v>85</v>
      </c>
      <c r="H3693" s="5">
        <v>1.556950728855815E-3</v>
      </c>
      <c r="I3693">
        <v>5</v>
      </c>
      <c r="J3693" t="b">
        <f>AND(CCData[[#This Row],[Date]]&gt;=Calculation!$E$3,CCData[[#This Row],[Date]]&lt;Calculation!$E$3+7)</f>
        <v>0</v>
      </c>
    </row>
    <row r="3694" spans="1:10">
      <c r="A3694" t="s">
        <v>3693</v>
      </c>
      <c r="B3694" s="2">
        <v>42069.411</v>
      </c>
      <c r="C3694" s="3" t="s">
        <v>5003</v>
      </c>
      <c r="D3694" t="s">
        <v>5015</v>
      </c>
      <c r="E3694" t="s">
        <v>5018</v>
      </c>
      <c r="F3694" t="s">
        <v>5018</v>
      </c>
      <c r="G3694">
        <v>22</v>
      </c>
      <c r="H3694" s="5">
        <v>3.4860342968283092E-3</v>
      </c>
      <c r="I3694">
        <v>3</v>
      </c>
      <c r="J3694" t="b">
        <f>AND(CCData[[#This Row],[Date]]&gt;=Calculation!$E$3,CCData[[#This Row],[Date]]&lt;Calculation!$E$3+7)</f>
        <v>0</v>
      </c>
    </row>
    <row r="3695" spans="1:10">
      <c r="A3695" t="s">
        <v>3694</v>
      </c>
      <c r="B3695" s="2">
        <v>42069.411</v>
      </c>
      <c r="C3695" s="3" t="s">
        <v>5007</v>
      </c>
      <c r="D3695" t="s">
        <v>5012</v>
      </c>
      <c r="E3695" t="s">
        <v>5018</v>
      </c>
      <c r="F3695" t="s">
        <v>5018</v>
      </c>
      <c r="G3695">
        <v>29</v>
      </c>
      <c r="H3695" s="5">
        <v>9.3831965798889694E-4</v>
      </c>
      <c r="I3695">
        <v>3</v>
      </c>
      <c r="J3695" t="b">
        <f>AND(CCData[[#This Row],[Date]]&gt;=Calculation!$E$3,CCData[[#This Row],[Date]]&lt;Calculation!$E$3+7)</f>
        <v>0</v>
      </c>
    </row>
    <row r="3696" spans="1:10">
      <c r="A3696" t="s">
        <v>3695</v>
      </c>
      <c r="B3696" s="2">
        <v>42069.417000000001</v>
      </c>
      <c r="C3696" s="3" t="s">
        <v>5004</v>
      </c>
      <c r="D3696" t="s">
        <v>5012</v>
      </c>
      <c r="E3696" t="s">
        <v>5018</v>
      </c>
      <c r="F3696" t="s">
        <v>5018</v>
      </c>
      <c r="G3696">
        <v>56</v>
      </c>
      <c r="H3696" s="5">
        <v>1.7032774967909244E-3</v>
      </c>
      <c r="I3696">
        <v>5</v>
      </c>
      <c r="J3696" t="b">
        <f>AND(CCData[[#This Row],[Date]]&gt;=Calculation!$E$3,CCData[[#This Row],[Date]]&lt;Calculation!$E$3+7)</f>
        <v>0</v>
      </c>
    </row>
    <row r="3697" spans="1:10">
      <c r="A3697" t="s">
        <v>3696</v>
      </c>
      <c r="B3697" s="2">
        <v>42069.417000000001</v>
      </c>
      <c r="C3697" s="3" t="s">
        <v>5009</v>
      </c>
      <c r="D3697" t="s">
        <v>5015</v>
      </c>
      <c r="E3697" t="s">
        <v>5018</v>
      </c>
      <c r="F3697" t="s">
        <v>5018</v>
      </c>
      <c r="G3697">
        <v>93</v>
      </c>
      <c r="H3697" s="5">
        <v>4.0319463295943256E-3</v>
      </c>
      <c r="I3697">
        <v>3</v>
      </c>
      <c r="J3697" t="b">
        <f>AND(CCData[[#This Row],[Date]]&gt;=Calculation!$E$3,CCData[[#This Row],[Date]]&lt;Calculation!$E$3+7)</f>
        <v>0</v>
      </c>
    </row>
    <row r="3698" spans="1:10">
      <c r="A3698" t="s">
        <v>3697</v>
      </c>
      <c r="B3698" s="2">
        <v>42069.428999999996</v>
      </c>
      <c r="C3698" s="3" t="s">
        <v>5006</v>
      </c>
      <c r="D3698" t="s">
        <v>5016</v>
      </c>
      <c r="E3698" t="s">
        <v>5018</v>
      </c>
      <c r="F3698" t="s">
        <v>5018</v>
      </c>
      <c r="G3698">
        <v>85</v>
      </c>
      <c r="H3698" s="5">
        <v>4.2183559253735313E-3</v>
      </c>
      <c r="I3698">
        <v>5</v>
      </c>
      <c r="J3698" t="b">
        <f>AND(CCData[[#This Row],[Date]]&gt;=Calculation!$E$3,CCData[[#This Row],[Date]]&lt;Calculation!$E$3+7)</f>
        <v>0</v>
      </c>
    </row>
    <row r="3699" spans="1:10">
      <c r="A3699" t="s">
        <v>3698</v>
      </c>
      <c r="B3699" s="2">
        <v>42069.428999999996</v>
      </c>
      <c r="C3699" s="3" t="s">
        <v>5009</v>
      </c>
      <c r="D3699" t="s">
        <v>5014</v>
      </c>
      <c r="E3699" t="s">
        <v>5019</v>
      </c>
      <c r="F3699" t="s">
        <v>5019</v>
      </c>
      <c r="G3699" t="s">
        <v>5022</v>
      </c>
      <c r="H3699" s="5" t="s">
        <v>5022</v>
      </c>
      <c r="I3699" t="s">
        <v>5022</v>
      </c>
      <c r="J3699" t="b">
        <f>AND(CCData[[#This Row],[Date]]&gt;=Calculation!$E$3,CCData[[#This Row],[Date]]&lt;Calculation!$E$3+7)</f>
        <v>0</v>
      </c>
    </row>
    <row r="3700" spans="1:10">
      <c r="A3700" t="s">
        <v>3699</v>
      </c>
      <c r="B3700" s="2">
        <v>42069.428999999996</v>
      </c>
      <c r="C3700" s="3" t="s">
        <v>5006</v>
      </c>
      <c r="D3700" t="s">
        <v>5016</v>
      </c>
      <c r="E3700" t="s">
        <v>5018</v>
      </c>
      <c r="F3700" t="s">
        <v>5018</v>
      </c>
      <c r="G3700">
        <v>69</v>
      </c>
      <c r="H3700" s="5">
        <v>1.8912422295958898E-3</v>
      </c>
      <c r="I3700">
        <v>5</v>
      </c>
      <c r="J3700" t="b">
        <f>AND(CCData[[#This Row],[Date]]&gt;=Calculation!$E$3,CCData[[#This Row],[Date]]&lt;Calculation!$E$3+7)</f>
        <v>0</v>
      </c>
    </row>
    <row r="3701" spans="1:10">
      <c r="A3701" t="s">
        <v>3700</v>
      </c>
      <c r="B3701" s="2">
        <v>42069.428999999996</v>
      </c>
      <c r="C3701" s="3" t="s">
        <v>5004</v>
      </c>
      <c r="D3701" t="s">
        <v>5012</v>
      </c>
      <c r="E3701" t="s">
        <v>5018</v>
      </c>
      <c r="F3701" t="s">
        <v>5018</v>
      </c>
      <c r="G3701">
        <v>66</v>
      </c>
      <c r="H3701" s="5">
        <v>2.3961994533939486E-3</v>
      </c>
      <c r="I3701">
        <v>2</v>
      </c>
      <c r="J3701" t="b">
        <f>AND(CCData[[#This Row],[Date]]&gt;=Calculation!$E$3,CCData[[#This Row],[Date]]&lt;Calculation!$E$3+7)</f>
        <v>0</v>
      </c>
    </row>
    <row r="3702" spans="1:10">
      <c r="A3702" t="s">
        <v>3701</v>
      </c>
      <c r="B3702" s="2">
        <v>42069.445</v>
      </c>
      <c r="C3702" s="3" t="s">
        <v>5008</v>
      </c>
      <c r="D3702" t="s">
        <v>5014</v>
      </c>
      <c r="E3702" t="s">
        <v>5018</v>
      </c>
      <c r="F3702" t="s">
        <v>5018</v>
      </c>
      <c r="G3702">
        <v>117</v>
      </c>
      <c r="H3702" s="5">
        <v>4.5796983547390863E-3</v>
      </c>
      <c r="I3702">
        <v>3</v>
      </c>
      <c r="J3702" t="b">
        <f>AND(CCData[[#This Row],[Date]]&gt;=Calculation!$E$3,CCData[[#This Row],[Date]]&lt;Calculation!$E$3+7)</f>
        <v>0</v>
      </c>
    </row>
    <row r="3703" spans="1:10">
      <c r="A3703" t="s">
        <v>3702</v>
      </c>
      <c r="B3703" s="2">
        <v>42069.445</v>
      </c>
      <c r="C3703" s="3" t="s">
        <v>5010</v>
      </c>
      <c r="D3703" t="s">
        <v>5014</v>
      </c>
      <c r="E3703" t="s">
        <v>5018</v>
      </c>
      <c r="F3703" t="s">
        <v>5018</v>
      </c>
      <c r="G3703">
        <v>71</v>
      </c>
      <c r="H3703" s="5">
        <v>2.2179366652763099E-3</v>
      </c>
      <c r="I3703">
        <v>1</v>
      </c>
      <c r="J3703" t="b">
        <f>AND(CCData[[#This Row],[Date]]&gt;=Calculation!$E$3,CCData[[#This Row],[Date]]&lt;Calculation!$E$3+7)</f>
        <v>0</v>
      </c>
    </row>
    <row r="3704" spans="1:10">
      <c r="A3704" t="s">
        <v>3703</v>
      </c>
      <c r="B3704" s="2">
        <v>42069.447999999997</v>
      </c>
      <c r="C3704" s="3" t="s">
        <v>5009</v>
      </c>
      <c r="D3704" t="s">
        <v>5015</v>
      </c>
      <c r="E3704" t="s">
        <v>5018</v>
      </c>
      <c r="F3704" t="s">
        <v>5018</v>
      </c>
      <c r="G3704">
        <v>23</v>
      </c>
      <c r="H3704" s="5">
        <v>3.5286195913117333E-3</v>
      </c>
      <c r="I3704">
        <v>4</v>
      </c>
      <c r="J3704" t="b">
        <f>AND(CCData[[#This Row],[Date]]&gt;=Calculation!$E$3,CCData[[#This Row],[Date]]&lt;Calculation!$E$3+7)</f>
        <v>0</v>
      </c>
    </row>
    <row r="3705" spans="1:10">
      <c r="A3705" t="s">
        <v>3704</v>
      </c>
      <c r="B3705" s="2">
        <v>42069.447999999997</v>
      </c>
      <c r="C3705" s="3" t="s">
        <v>5008</v>
      </c>
      <c r="D3705" t="s">
        <v>5015</v>
      </c>
      <c r="E3705" t="s">
        <v>5019</v>
      </c>
      <c r="F3705" t="s">
        <v>5019</v>
      </c>
      <c r="G3705" t="s">
        <v>5022</v>
      </c>
      <c r="H3705" s="5" t="s">
        <v>5022</v>
      </c>
      <c r="I3705" t="s">
        <v>5022</v>
      </c>
      <c r="J3705" t="b">
        <f>AND(CCData[[#This Row],[Date]]&gt;=Calculation!$E$3,CCData[[#This Row],[Date]]&lt;Calculation!$E$3+7)</f>
        <v>0</v>
      </c>
    </row>
    <row r="3706" spans="1:10">
      <c r="A3706" t="s">
        <v>3705</v>
      </c>
      <c r="B3706" s="2">
        <v>42069.46</v>
      </c>
      <c r="C3706" s="3" t="s">
        <v>5010</v>
      </c>
      <c r="D3706" t="s">
        <v>5013</v>
      </c>
      <c r="E3706" t="s">
        <v>5018</v>
      </c>
      <c r="F3706" t="s">
        <v>5018</v>
      </c>
      <c r="G3706">
        <v>116</v>
      </c>
      <c r="H3706" s="5">
        <v>5.9625863734649167E-4</v>
      </c>
      <c r="I3706">
        <v>4</v>
      </c>
      <c r="J3706" t="b">
        <f>AND(CCData[[#This Row],[Date]]&gt;=Calculation!$E$3,CCData[[#This Row],[Date]]&lt;Calculation!$E$3+7)</f>
        <v>0</v>
      </c>
    </row>
    <row r="3707" spans="1:10">
      <c r="A3707" t="s">
        <v>3706</v>
      </c>
      <c r="B3707" s="2">
        <v>42069.46</v>
      </c>
      <c r="C3707" s="3" t="s">
        <v>5007</v>
      </c>
      <c r="D3707" t="s">
        <v>5012</v>
      </c>
      <c r="E3707" t="s">
        <v>5018</v>
      </c>
      <c r="F3707" t="s">
        <v>5018</v>
      </c>
      <c r="G3707">
        <v>52</v>
      </c>
      <c r="H3707" s="5">
        <v>4.7016363578349244E-3</v>
      </c>
      <c r="I3707">
        <v>4</v>
      </c>
      <c r="J3707" t="b">
        <f>AND(CCData[[#This Row],[Date]]&gt;=Calculation!$E$3,CCData[[#This Row],[Date]]&lt;Calculation!$E$3+7)</f>
        <v>0</v>
      </c>
    </row>
    <row r="3708" spans="1:10">
      <c r="A3708" t="s">
        <v>3707</v>
      </c>
      <c r="B3708" s="2">
        <v>42069.472999999998</v>
      </c>
      <c r="C3708" s="3" t="s">
        <v>5009</v>
      </c>
      <c r="D3708" t="s">
        <v>5015</v>
      </c>
      <c r="E3708" t="s">
        <v>5018</v>
      </c>
      <c r="F3708" t="s">
        <v>5018</v>
      </c>
      <c r="G3708">
        <v>106</v>
      </c>
      <c r="H3708" s="5">
        <v>1.2941831150589712E-3</v>
      </c>
      <c r="I3708">
        <v>5</v>
      </c>
      <c r="J3708" t="b">
        <f>AND(CCData[[#This Row],[Date]]&gt;=Calculation!$E$3,CCData[[#This Row],[Date]]&lt;Calculation!$E$3+7)</f>
        <v>0</v>
      </c>
    </row>
    <row r="3709" spans="1:10">
      <c r="A3709" t="s">
        <v>3708</v>
      </c>
      <c r="B3709" s="2">
        <v>42069.472999999998</v>
      </c>
      <c r="C3709" s="3" t="s">
        <v>5008</v>
      </c>
      <c r="D3709" t="s">
        <v>5012</v>
      </c>
      <c r="E3709" t="s">
        <v>5019</v>
      </c>
      <c r="F3709" t="s">
        <v>5019</v>
      </c>
      <c r="G3709" t="s">
        <v>5022</v>
      </c>
      <c r="H3709" s="5" t="s">
        <v>5022</v>
      </c>
      <c r="I3709" t="s">
        <v>5022</v>
      </c>
      <c r="J3709" t="b">
        <f>AND(CCData[[#This Row],[Date]]&gt;=Calculation!$E$3,CCData[[#This Row],[Date]]&lt;Calculation!$E$3+7)</f>
        <v>0</v>
      </c>
    </row>
    <row r="3710" spans="1:10">
      <c r="A3710" t="s">
        <v>3709</v>
      </c>
      <c r="B3710" s="2">
        <v>42069.476000000002</v>
      </c>
      <c r="C3710" s="3" t="s">
        <v>5009</v>
      </c>
      <c r="D3710" t="s">
        <v>5015</v>
      </c>
      <c r="E3710" t="s">
        <v>5018</v>
      </c>
      <c r="F3710" t="s">
        <v>5018</v>
      </c>
      <c r="G3710">
        <v>48</v>
      </c>
      <c r="H3710" s="5">
        <v>2.3244416976343557E-3</v>
      </c>
      <c r="I3710">
        <v>1</v>
      </c>
      <c r="J3710" t="b">
        <f>AND(CCData[[#This Row],[Date]]&gt;=Calculation!$E$3,CCData[[#This Row],[Date]]&lt;Calculation!$E$3+7)</f>
        <v>0</v>
      </c>
    </row>
    <row r="3711" spans="1:10">
      <c r="A3711" t="s">
        <v>3710</v>
      </c>
      <c r="B3711" s="2">
        <v>42069.476000000002</v>
      </c>
      <c r="C3711" s="3" t="s">
        <v>5010</v>
      </c>
      <c r="D3711" t="s">
        <v>5014</v>
      </c>
      <c r="E3711" t="s">
        <v>5018</v>
      </c>
      <c r="F3711" t="s">
        <v>5018</v>
      </c>
      <c r="G3711">
        <v>93</v>
      </c>
      <c r="H3711" s="5">
        <v>4.6118676487624721E-3</v>
      </c>
      <c r="I3711">
        <v>2</v>
      </c>
      <c r="J3711" t="b">
        <f>AND(CCData[[#This Row],[Date]]&gt;=Calculation!$E$3,CCData[[#This Row],[Date]]&lt;Calculation!$E$3+7)</f>
        <v>0</v>
      </c>
    </row>
    <row r="3712" spans="1:10">
      <c r="A3712" t="s">
        <v>3711</v>
      </c>
      <c r="B3712" s="2">
        <v>42069.478000000003</v>
      </c>
      <c r="C3712" s="3" t="s">
        <v>5009</v>
      </c>
      <c r="D3712" t="s">
        <v>5014</v>
      </c>
      <c r="E3712" t="s">
        <v>5018</v>
      </c>
      <c r="F3712" t="s">
        <v>5018</v>
      </c>
      <c r="G3712">
        <v>106</v>
      </c>
      <c r="H3712" s="5">
        <v>6.2650662046607032E-4</v>
      </c>
      <c r="I3712">
        <v>5</v>
      </c>
      <c r="J3712" t="b">
        <f>AND(CCData[[#This Row],[Date]]&gt;=Calculation!$E$3,CCData[[#This Row],[Date]]&lt;Calculation!$E$3+7)</f>
        <v>0</v>
      </c>
    </row>
    <row r="3713" spans="1:10">
      <c r="A3713" t="s">
        <v>3712</v>
      </c>
      <c r="B3713" s="2">
        <v>42069.478000000003</v>
      </c>
      <c r="C3713" s="3" t="s">
        <v>5008</v>
      </c>
      <c r="D3713" t="s">
        <v>5016</v>
      </c>
      <c r="E3713" t="s">
        <v>5019</v>
      </c>
      <c r="F3713" t="s">
        <v>5019</v>
      </c>
      <c r="G3713" t="s">
        <v>5022</v>
      </c>
      <c r="H3713" s="5" t="s">
        <v>5022</v>
      </c>
      <c r="I3713" t="s">
        <v>5022</v>
      </c>
      <c r="J3713" t="b">
        <f>AND(CCData[[#This Row],[Date]]&gt;=Calculation!$E$3,CCData[[#This Row],[Date]]&lt;Calculation!$E$3+7)</f>
        <v>0</v>
      </c>
    </row>
    <row r="3714" spans="1:10">
      <c r="A3714" t="s">
        <v>3713</v>
      </c>
      <c r="B3714" s="2">
        <v>42069.504999999997</v>
      </c>
      <c r="C3714" s="3" t="s">
        <v>5004</v>
      </c>
      <c r="D3714" t="s">
        <v>5015</v>
      </c>
      <c r="E3714" t="s">
        <v>5018</v>
      </c>
      <c r="F3714" t="s">
        <v>5018</v>
      </c>
      <c r="G3714">
        <v>33</v>
      </c>
      <c r="H3714" s="5">
        <v>3.3764064373823098E-3</v>
      </c>
      <c r="I3714">
        <v>4</v>
      </c>
      <c r="J3714" t="b">
        <f>AND(CCData[[#This Row],[Date]]&gt;=Calculation!$E$3,CCData[[#This Row],[Date]]&lt;Calculation!$E$3+7)</f>
        <v>0</v>
      </c>
    </row>
    <row r="3715" spans="1:10">
      <c r="A3715" t="s">
        <v>3714</v>
      </c>
      <c r="B3715" s="2">
        <v>42069.504999999997</v>
      </c>
      <c r="C3715" s="3" t="s">
        <v>5008</v>
      </c>
      <c r="D3715" t="s">
        <v>5015</v>
      </c>
      <c r="E3715" t="s">
        <v>5018</v>
      </c>
      <c r="F3715" t="s">
        <v>5018</v>
      </c>
      <c r="G3715">
        <v>18</v>
      </c>
      <c r="H3715" s="5">
        <v>1.7317811474218017E-3</v>
      </c>
      <c r="I3715">
        <v>5</v>
      </c>
      <c r="J3715" t="b">
        <f>AND(CCData[[#This Row],[Date]]&gt;=Calculation!$E$3,CCData[[#This Row],[Date]]&lt;Calculation!$E$3+7)</f>
        <v>0</v>
      </c>
    </row>
    <row r="3716" spans="1:10">
      <c r="A3716" t="s">
        <v>3715</v>
      </c>
      <c r="B3716" s="2">
        <v>42069.512999999999</v>
      </c>
      <c r="C3716" s="3" t="s">
        <v>5008</v>
      </c>
      <c r="D3716" t="s">
        <v>5013</v>
      </c>
      <c r="E3716" t="s">
        <v>5018</v>
      </c>
      <c r="F3716" t="s">
        <v>5018</v>
      </c>
      <c r="G3716">
        <v>118</v>
      </c>
      <c r="H3716" s="5">
        <v>3.8885487556370008E-3</v>
      </c>
      <c r="I3716">
        <v>4</v>
      </c>
      <c r="J3716" t="b">
        <f>AND(CCData[[#This Row],[Date]]&gt;=Calculation!$E$3,CCData[[#This Row],[Date]]&lt;Calculation!$E$3+7)</f>
        <v>0</v>
      </c>
    </row>
    <row r="3717" spans="1:10">
      <c r="A3717" t="s">
        <v>3716</v>
      </c>
      <c r="B3717" s="2">
        <v>42069.512999999999</v>
      </c>
      <c r="C3717" s="3" t="s">
        <v>5009</v>
      </c>
      <c r="D3717" t="s">
        <v>5014</v>
      </c>
      <c r="E3717" t="s">
        <v>5019</v>
      </c>
      <c r="F3717" t="s">
        <v>5019</v>
      </c>
      <c r="G3717" t="s">
        <v>5022</v>
      </c>
      <c r="H3717" s="5" t="s">
        <v>5022</v>
      </c>
      <c r="I3717" t="s">
        <v>5022</v>
      </c>
      <c r="J3717" t="b">
        <f>AND(CCData[[#This Row],[Date]]&gt;=Calculation!$E$3,CCData[[#This Row],[Date]]&lt;Calculation!$E$3+7)</f>
        <v>0</v>
      </c>
    </row>
    <row r="3718" spans="1:10">
      <c r="A3718" t="s">
        <v>3717</v>
      </c>
      <c r="B3718" s="2">
        <v>42069.531999999999</v>
      </c>
      <c r="C3718" s="3" t="s">
        <v>5005</v>
      </c>
      <c r="D3718" t="s">
        <v>5015</v>
      </c>
      <c r="E3718" t="s">
        <v>5018</v>
      </c>
      <c r="F3718" t="s">
        <v>5018</v>
      </c>
      <c r="G3718">
        <v>55</v>
      </c>
      <c r="H3718" s="5">
        <v>2.4423820255011918E-3</v>
      </c>
      <c r="I3718">
        <v>3</v>
      </c>
      <c r="J3718" t="b">
        <f>AND(CCData[[#This Row],[Date]]&gt;=Calculation!$E$3,CCData[[#This Row],[Date]]&lt;Calculation!$E$3+7)</f>
        <v>0</v>
      </c>
    </row>
    <row r="3719" spans="1:10">
      <c r="A3719" t="s">
        <v>3718</v>
      </c>
      <c r="B3719" s="2">
        <v>42069.531999999999</v>
      </c>
      <c r="C3719" s="3" t="s">
        <v>5006</v>
      </c>
      <c r="D3719" t="s">
        <v>5012</v>
      </c>
      <c r="E3719" t="s">
        <v>5019</v>
      </c>
      <c r="F3719" t="s">
        <v>5019</v>
      </c>
      <c r="G3719" t="s">
        <v>5022</v>
      </c>
      <c r="H3719" s="5" t="s">
        <v>5022</v>
      </c>
      <c r="I3719" t="s">
        <v>5022</v>
      </c>
      <c r="J3719" t="b">
        <f>AND(CCData[[#This Row],[Date]]&gt;=Calculation!$E$3,CCData[[#This Row],[Date]]&lt;Calculation!$E$3+7)</f>
        <v>0</v>
      </c>
    </row>
    <row r="3720" spans="1:10">
      <c r="A3720" t="s">
        <v>3719</v>
      </c>
      <c r="B3720" s="2">
        <v>42069.557000000001</v>
      </c>
      <c r="C3720" s="3" t="s">
        <v>5007</v>
      </c>
      <c r="D3720" t="s">
        <v>5015</v>
      </c>
      <c r="E3720" t="s">
        <v>5018</v>
      </c>
      <c r="F3720" t="s">
        <v>5018</v>
      </c>
      <c r="G3720">
        <v>35</v>
      </c>
      <c r="H3720" s="5">
        <v>2.5661891339005013E-3</v>
      </c>
      <c r="I3720">
        <v>3</v>
      </c>
      <c r="J3720" t="b">
        <f>AND(CCData[[#This Row],[Date]]&gt;=Calculation!$E$3,CCData[[#This Row],[Date]]&lt;Calculation!$E$3+7)</f>
        <v>0</v>
      </c>
    </row>
    <row r="3721" spans="1:10">
      <c r="A3721" t="s">
        <v>3720</v>
      </c>
      <c r="B3721" s="2">
        <v>42069.557000000001</v>
      </c>
      <c r="C3721" s="3" t="s">
        <v>5008</v>
      </c>
      <c r="D3721" t="s">
        <v>5016</v>
      </c>
      <c r="E3721" t="s">
        <v>5018</v>
      </c>
      <c r="F3721" t="s">
        <v>5018</v>
      </c>
      <c r="G3721">
        <v>10</v>
      </c>
      <c r="H3721" s="5">
        <v>3.0334576592709293E-3</v>
      </c>
      <c r="I3721">
        <v>2</v>
      </c>
      <c r="J3721" t="b">
        <f>AND(CCData[[#This Row],[Date]]&gt;=Calculation!$E$3,CCData[[#This Row],[Date]]&lt;Calculation!$E$3+7)</f>
        <v>0</v>
      </c>
    </row>
    <row r="3722" spans="1:10">
      <c r="A3722" t="s">
        <v>3721</v>
      </c>
      <c r="B3722" s="2">
        <v>42069.563999999998</v>
      </c>
      <c r="C3722" s="3" t="s">
        <v>5007</v>
      </c>
      <c r="D3722" t="s">
        <v>5012</v>
      </c>
      <c r="E3722" t="s">
        <v>5018</v>
      </c>
      <c r="F3722" t="s">
        <v>5018</v>
      </c>
      <c r="G3722">
        <v>114</v>
      </c>
      <c r="H3722" s="5">
        <v>2.2681501828813624E-3</v>
      </c>
      <c r="I3722">
        <v>3</v>
      </c>
      <c r="J3722" t="b">
        <f>AND(CCData[[#This Row],[Date]]&gt;=Calculation!$E$3,CCData[[#This Row],[Date]]&lt;Calculation!$E$3+7)</f>
        <v>0</v>
      </c>
    </row>
    <row r="3723" spans="1:10">
      <c r="A3723" t="s">
        <v>3722</v>
      </c>
      <c r="B3723" s="2">
        <v>42069.563999999998</v>
      </c>
      <c r="C3723" s="3" t="s">
        <v>5007</v>
      </c>
      <c r="D3723" t="s">
        <v>5016</v>
      </c>
      <c r="E3723" t="s">
        <v>5018</v>
      </c>
      <c r="F3723" t="s">
        <v>5018</v>
      </c>
      <c r="G3723">
        <v>85</v>
      </c>
      <c r="H3723" s="5">
        <v>1.4028057085841749E-3</v>
      </c>
      <c r="I3723">
        <v>4</v>
      </c>
      <c r="J3723" t="b">
        <f>AND(CCData[[#This Row],[Date]]&gt;=Calculation!$E$3,CCData[[#This Row],[Date]]&lt;Calculation!$E$3+7)</f>
        <v>0</v>
      </c>
    </row>
    <row r="3724" spans="1:10">
      <c r="A3724" t="s">
        <v>3723</v>
      </c>
      <c r="B3724" s="2">
        <v>42069.571000000004</v>
      </c>
      <c r="C3724" s="3" t="s">
        <v>5006</v>
      </c>
      <c r="D3724" t="s">
        <v>5012</v>
      </c>
      <c r="E3724" t="s">
        <v>5019</v>
      </c>
      <c r="F3724" t="s">
        <v>5019</v>
      </c>
      <c r="G3724" t="s">
        <v>5022</v>
      </c>
      <c r="H3724" s="5" t="s">
        <v>5022</v>
      </c>
      <c r="I3724" t="s">
        <v>5022</v>
      </c>
      <c r="J3724" t="b">
        <f>AND(CCData[[#This Row],[Date]]&gt;=Calculation!$E$3,CCData[[#This Row],[Date]]&lt;Calculation!$E$3+7)</f>
        <v>0</v>
      </c>
    </row>
    <row r="3725" spans="1:10">
      <c r="A3725" t="s">
        <v>3724</v>
      </c>
      <c r="B3725" s="2">
        <v>42069.571000000004</v>
      </c>
      <c r="C3725" s="3" t="s">
        <v>5004</v>
      </c>
      <c r="D3725" t="s">
        <v>5015</v>
      </c>
      <c r="E3725" t="s">
        <v>5018</v>
      </c>
      <c r="F3725" t="s">
        <v>5018</v>
      </c>
      <c r="G3725">
        <v>84</v>
      </c>
      <c r="H3725" s="5">
        <v>4.2396318970827828E-3</v>
      </c>
      <c r="I3725">
        <v>3</v>
      </c>
      <c r="J3725" t="b">
        <f>AND(CCData[[#This Row],[Date]]&gt;=Calculation!$E$3,CCData[[#This Row],[Date]]&lt;Calculation!$E$3+7)</f>
        <v>0</v>
      </c>
    </row>
    <row r="3726" spans="1:10">
      <c r="A3726" t="s">
        <v>3725</v>
      </c>
      <c r="B3726" s="2">
        <v>42069.574000000001</v>
      </c>
      <c r="C3726" s="3" t="s">
        <v>5007</v>
      </c>
      <c r="D3726" t="s">
        <v>5013</v>
      </c>
      <c r="E3726" t="s">
        <v>5019</v>
      </c>
      <c r="F3726" t="s">
        <v>5019</v>
      </c>
      <c r="G3726" t="s">
        <v>5022</v>
      </c>
      <c r="H3726" s="5" t="s">
        <v>5022</v>
      </c>
      <c r="I3726" t="s">
        <v>5022</v>
      </c>
      <c r="J3726" t="b">
        <f>AND(CCData[[#This Row],[Date]]&gt;=Calculation!$E$3,CCData[[#This Row],[Date]]&lt;Calculation!$E$3+7)</f>
        <v>0</v>
      </c>
    </row>
    <row r="3727" spans="1:10">
      <c r="A3727" t="s">
        <v>3726</v>
      </c>
      <c r="B3727" s="2">
        <v>42069.574000000001</v>
      </c>
      <c r="C3727" s="3" t="s">
        <v>5006</v>
      </c>
      <c r="D3727" t="s">
        <v>5016</v>
      </c>
      <c r="E3727" t="s">
        <v>5018</v>
      </c>
      <c r="F3727" t="s">
        <v>5018</v>
      </c>
      <c r="G3727">
        <v>73</v>
      </c>
      <c r="H3727" s="5">
        <v>1.5290115910037553E-3</v>
      </c>
      <c r="I3727">
        <v>3</v>
      </c>
      <c r="J3727" t="b">
        <f>AND(CCData[[#This Row],[Date]]&gt;=Calculation!$E$3,CCData[[#This Row],[Date]]&lt;Calculation!$E$3+7)</f>
        <v>0</v>
      </c>
    </row>
    <row r="3728" spans="1:10">
      <c r="A3728" t="s">
        <v>3727</v>
      </c>
      <c r="B3728" s="2">
        <v>42069.576000000001</v>
      </c>
      <c r="C3728" s="3" t="s">
        <v>5004</v>
      </c>
      <c r="D3728" t="s">
        <v>5015</v>
      </c>
      <c r="E3728" t="s">
        <v>5018</v>
      </c>
      <c r="F3728" t="s">
        <v>5018</v>
      </c>
      <c r="G3728">
        <v>22</v>
      </c>
      <c r="H3728" s="5">
        <v>3.297635639273518E-3</v>
      </c>
      <c r="I3728">
        <v>4</v>
      </c>
      <c r="J3728" t="b">
        <f>AND(CCData[[#This Row],[Date]]&gt;=Calculation!$E$3,CCData[[#This Row],[Date]]&lt;Calculation!$E$3+7)</f>
        <v>0</v>
      </c>
    </row>
    <row r="3729" spans="1:10">
      <c r="A3729" t="s">
        <v>3728</v>
      </c>
      <c r="B3729" s="2">
        <v>42069.576000000001</v>
      </c>
      <c r="C3729" s="3" t="s">
        <v>5003</v>
      </c>
      <c r="D3729" t="s">
        <v>5015</v>
      </c>
      <c r="E3729" t="s">
        <v>5018</v>
      </c>
      <c r="F3729" t="s">
        <v>5018</v>
      </c>
      <c r="G3729">
        <v>102</v>
      </c>
      <c r="H3729" s="5">
        <v>2.4194381884000069E-3</v>
      </c>
      <c r="I3729">
        <v>5</v>
      </c>
      <c r="J3729" t="b">
        <f>AND(CCData[[#This Row],[Date]]&gt;=Calculation!$E$3,CCData[[#This Row],[Date]]&lt;Calculation!$E$3+7)</f>
        <v>0</v>
      </c>
    </row>
    <row r="3730" spans="1:10">
      <c r="A3730" t="s">
        <v>3729</v>
      </c>
      <c r="B3730" s="2">
        <v>42069.601000000002</v>
      </c>
      <c r="C3730" s="3" t="s">
        <v>5003</v>
      </c>
      <c r="D3730" t="s">
        <v>5016</v>
      </c>
      <c r="E3730" t="s">
        <v>5018</v>
      </c>
      <c r="F3730" t="s">
        <v>5018</v>
      </c>
      <c r="G3730">
        <v>14</v>
      </c>
      <c r="H3730" s="5">
        <v>2.3027574383895598E-3</v>
      </c>
      <c r="I3730">
        <v>3</v>
      </c>
      <c r="J3730" t="b">
        <f>AND(CCData[[#This Row],[Date]]&gt;=Calculation!$E$3,CCData[[#This Row],[Date]]&lt;Calculation!$E$3+7)</f>
        <v>0</v>
      </c>
    </row>
    <row r="3731" spans="1:10">
      <c r="A3731" t="s">
        <v>3730</v>
      </c>
      <c r="B3731" s="2">
        <v>42069.601000000002</v>
      </c>
      <c r="C3731" s="3" t="s">
        <v>5006</v>
      </c>
      <c r="D3731" t="s">
        <v>5015</v>
      </c>
      <c r="E3731" t="s">
        <v>5019</v>
      </c>
      <c r="F3731" t="s">
        <v>5019</v>
      </c>
      <c r="G3731" t="s">
        <v>5022</v>
      </c>
      <c r="H3731" s="5" t="s">
        <v>5022</v>
      </c>
      <c r="I3731" t="s">
        <v>5022</v>
      </c>
      <c r="J3731" t="b">
        <f>AND(CCData[[#This Row],[Date]]&gt;=Calculation!$E$3,CCData[[#This Row],[Date]]&lt;Calculation!$E$3+7)</f>
        <v>0</v>
      </c>
    </row>
    <row r="3732" spans="1:10">
      <c r="A3732" t="s">
        <v>3731</v>
      </c>
      <c r="B3732" s="2">
        <v>42069.603000000003</v>
      </c>
      <c r="C3732" s="3" t="s">
        <v>5004</v>
      </c>
      <c r="D3732" t="s">
        <v>5016</v>
      </c>
      <c r="E3732" t="s">
        <v>5019</v>
      </c>
      <c r="F3732" t="s">
        <v>5019</v>
      </c>
      <c r="G3732" t="s">
        <v>5022</v>
      </c>
      <c r="H3732" s="5" t="s">
        <v>5022</v>
      </c>
      <c r="I3732" t="s">
        <v>5022</v>
      </c>
      <c r="J3732" t="b">
        <f>AND(CCData[[#This Row],[Date]]&gt;=Calculation!$E$3,CCData[[#This Row],[Date]]&lt;Calculation!$E$3+7)</f>
        <v>0</v>
      </c>
    </row>
    <row r="3733" spans="1:10">
      <c r="A3733" t="s">
        <v>3732</v>
      </c>
      <c r="B3733" s="2">
        <v>42069.603000000003</v>
      </c>
      <c r="C3733" s="3" t="s">
        <v>5007</v>
      </c>
      <c r="D3733" t="s">
        <v>5014</v>
      </c>
      <c r="E3733" t="s">
        <v>5018</v>
      </c>
      <c r="F3733" t="s">
        <v>5018</v>
      </c>
      <c r="G3733">
        <v>66</v>
      </c>
      <c r="H3733" s="5">
        <v>2.1951384364128326E-3</v>
      </c>
      <c r="I3733">
        <v>1</v>
      </c>
      <c r="J3733" t="b">
        <f>AND(CCData[[#This Row],[Date]]&gt;=Calculation!$E$3,CCData[[#This Row],[Date]]&lt;Calculation!$E$3+7)</f>
        <v>0</v>
      </c>
    </row>
    <row r="3734" spans="1:10">
      <c r="A3734" t="s">
        <v>3733</v>
      </c>
      <c r="B3734" s="2">
        <v>42069.673999999999</v>
      </c>
      <c r="C3734" s="3" t="s">
        <v>5004</v>
      </c>
      <c r="D3734" t="s">
        <v>5012</v>
      </c>
      <c r="E3734" t="s">
        <v>5018</v>
      </c>
      <c r="F3734" t="s">
        <v>5018</v>
      </c>
      <c r="G3734">
        <v>57</v>
      </c>
      <c r="H3734" s="5">
        <v>2.3536102253969063E-3</v>
      </c>
      <c r="I3734">
        <v>5</v>
      </c>
      <c r="J3734" t="b">
        <f>AND(CCData[[#This Row],[Date]]&gt;=Calculation!$E$3,CCData[[#This Row],[Date]]&lt;Calculation!$E$3+7)</f>
        <v>0</v>
      </c>
    </row>
    <row r="3735" spans="1:10">
      <c r="A3735" t="s">
        <v>3734</v>
      </c>
      <c r="B3735" s="2">
        <v>42069.673999999999</v>
      </c>
      <c r="C3735" s="3" t="s">
        <v>5010</v>
      </c>
      <c r="D3735" t="s">
        <v>5014</v>
      </c>
      <c r="E3735" t="s">
        <v>5018</v>
      </c>
      <c r="F3735" t="s">
        <v>5018</v>
      </c>
      <c r="G3735">
        <v>40</v>
      </c>
      <c r="H3735" s="5">
        <v>3.665093229226115E-3</v>
      </c>
      <c r="I3735">
        <v>4</v>
      </c>
      <c r="J3735" t="b">
        <f>AND(CCData[[#This Row],[Date]]&gt;=Calculation!$E$3,CCData[[#This Row],[Date]]&lt;Calculation!$E$3+7)</f>
        <v>0</v>
      </c>
    </row>
    <row r="3736" spans="1:10">
      <c r="A3736" t="s">
        <v>3735</v>
      </c>
      <c r="B3736" s="2">
        <v>42069.686000000002</v>
      </c>
      <c r="C3736" s="3" t="s">
        <v>5007</v>
      </c>
      <c r="D3736" t="s">
        <v>5012</v>
      </c>
      <c r="E3736" t="s">
        <v>5018</v>
      </c>
      <c r="F3736" t="s">
        <v>5018</v>
      </c>
      <c r="G3736">
        <v>90</v>
      </c>
      <c r="H3736" s="5">
        <v>1.9463475815965324E-3</v>
      </c>
      <c r="I3736">
        <v>4</v>
      </c>
      <c r="J3736" t="b">
        <f>AND(CCData[[#This Row],[Date]]&gt;=Calculation!$E$3,CCData[[#This Row],[Date]]&lt;Calculation!$E$3+7)</f>
        <v>0</v>
      </c>
    </row>
    <row r="3737" spans="1:10">
      <c r="A3737" t="s">
        <v>3736</v>
      </c>
      <c r="B3737" s="2">
        <v>42069.686000000002</v>
      </c>
      <c r="C3737" s="3" t="s">
        <v>5003</v>
      </c>
      <c r="D3737" t="s">
        <v>5013</v>
      </c>
      <c r="E3737" t="s">
        <v>5018</v>
      </c>
      <c r="F3737" t="s">
        <v>5018</v>
      </c>
      <c r="G3737">
        <v>74</v>
      </c>
      <c r="H3737" s="5">
        <v>9.6964496502665741E-4</v>
      </c>
      <c r="I3737">
        <v>4</v>
      </c>
      <c r="J3737" t="b">
        <f>AND(CCData[[#This Row],[Date]]&gt;=Calculation!$E$3,CCData[[#This Row],[Date]]&lt;Calculation!$E$3+7)</f>
        <v>0</v>
      </c>
    </row>
    <row r="3738" spans="1:10">
      <c r="A3738" t="s">
        <v>3737</v>
      </c>
      <c r="B3738" s="2">
        <v>42069.688999999998</v>
      </c>
      <c r="C3738" s="3" t="s">
        <v>5003</v>
      </c>
      <c r="D3738" t="s">
        <v>5016</v>
      </c>
      <c r="E3738" t="s">
        <v>5018</v>
      </c>
      <c r="F3738" t="s">
        <v>5018</v>
      </c>
      <c r="G3738">
        <v>65</v>
      </c>
      <c r="H3738" s="5">
        <v>4.5045506253406694E-3</v>
      </c>
      <c r="I3738">
        <v>3</v>
      </c>
      <c r="J3738" t="b">
        <f>AND(CCData[[#This Row],[Date]]&gt;=Calculation!$E$3,CCData[[#This Row],[Date]]&lt;Calculation!$E$3+7)</f>
        <v>0</v>
      </c>
    </row>
    <row r="3739" spans="1:10">
      <c r="A3739" t="s">
        <v>3738</v>
      </c>
      <c r="B3739" s="2">
        <v>42069.688999999998</v>
      </c>
      <c r="C3739" s="3" t="s">
        <v>5007</v>
      </c>
      <c r="D3739" t="s">
        <v>5014</v>
      </c>
      <c r="E3739" t="s">
        <v>5018</v>
      </c>
      <c r="F3739" t="s">
        <v>5018</v>
      </c>
      <c r="G3739">
        <v>125</v>
      </c>
      <c r="H3739" s="5">
        <v>4.9004507577150977E-4</v>
      </c>
      <c r="I3739">
        <v>5</v>
      </c>
      <c r="J3739" t="b">
        <f>AND(CCData[[#This Row],[Date]]&gt;=Calculation!$E$3,CCData[[#This Row],[Date]]&lt;Calculation!$E$3+7)</f>
        <v>0</v>
      </c>
    </row>
    <row r="3740" spans="1:10">
      <c r="A3740" t="s">
        <v>3739</v>
      </c>
      <c r="B3740" s="2">
        <v>42069.690999999999</v>
      </c>
      <c r="C3740" s="3" t="s">
        <v>5003</v>
      </c>
      <c r="D3740" t="s">
        <v>5012</v>
      </c>
      <c r="E3740" t="s">
        <v>5019</v>
      </c>
      <c r="F3740" t="s">
        <v>5019</v>
      </c>
      <c r="G3740" t="s">
        <v>5022</v>
      </c>
      <c r="H3740" s="5" t="s">
        <v>5022</v>
      </c>
      <c r="I3740" t="s">
        <v>5022</v>
      </c>
      <c r="J3740" t="b">
        <f>AND(CCData[[#This Row],[Date]]&gt;=Calculation!$E$3,CCData[[#This Row],[Date]]&lt;Calculation!$E$3+7)</f>
        <v>0</v>
      </c>
    </row>
    <row r="3741" spans="1:10">
      <c r="A3741" t="s">
        <v>3740</v>
      </c>
      <c r="B3741" s="2">
        <v>42069.690999999999</v>
      </c>
      <c r="C3741" s="3" t="s">
        <v>5010</v>
      </c>
      <c r="D3741" t="s">
        <v>5013</v>
      </c>
      <c r="E3741" t="s">
        <v>5018</v>
      </c>
      <c r="F3741" t="s">
        <v>5019</v>
      </c>
      <c r="G3741">
        <v>71</v>
      </c>
      <c r="H3741" s="5">
        <v>4.1932248590885362E-3</v>
      </c>
      <c r="I3741">
        <v>5</v>
      </c>
      <c r="J3741" t="b">
        <f>AND(CCData[[#This Row],[Date]]&gt;=Calculation!$E$3,CCData[[#This Row],[Date]]&lt;Calculation!$E$3+7)</f>
        <v>0</v>
      </c>
    </row>
    <row r="3742" spans="1:10">
      <c r="A3742" t="s">
        <v>3741</v>
      </c>
      <c r="B3742" s="2">
        <v>42069.695</v>
      </c>
      <c r="C3742" s="3" t="s">
        <v>5005</v>
      </c>
      <c r="D3742" t="s">
        <v>5012</v>
      </c>
      <c r="E3742" t="s">
        <v>5018</v>
      </c>
      <c r="F3742" t="s">
        <v>5018</v>
      </c>
      <c r="G3742">
        <v>37</v>
      </c>
      <c r="H3742" s="5">
        <v>1.4000421857960005E-3</v>
      </c>
      <c r="I3742">
        <v>1</v>
      </c>
      <c r="J3742" t="b">
        <f>AND(CCData[[#This Row],[Date]]&gt;=Calculation!$E$3,CCData[[#This Row],[Date]]&lt;Calculation!$E$3+7)</f>
        <v>0</v>
      </c>
    </row>
    <row r="3743" spans="1:10">
      <c r="A3743" t="s">
        <v>3742</v>
      </c>
      <c r="B3743" s="2">
        <v>42069.695</v>
      </c>
      <c r="C3743" s="3" t="s">
        <v>5006</v>
      </c>
      <c r="D3743" t="s">
        <v>5013</v>
      </c>
      <c r="E3743" t="s">
        <v>5018</v>
      </c>
      <c r="F3743" t="s">
        <v>5018</v>
      </c>
      <c r="G3743">
        <v>119</v>
      </c>
      <c r="H3743" s="5">
        <v>4.3840301070779426E-3</v>
      </c>
      <c r="I3743">
        <v>4</v>
      </c>
      <c r="J3743" t="b">
        <f>AND(CCData[[#This Row],[Date]]&gt;=Calculation!$E$3,CCData[[#This Row],[Date]]&lt;Calculation!$E$3+7)</f>
        <v>0</v>
      </c>
    </row>
    <row r="3744" spans="1:10">
      <c r="A3744" t="s">
        <v>3743</v>
      </c>
      <c r="B3744" s="2">
        <v>42069.701000000001</v>
      </c>
      <c r="C3744" s="3" t="s">
        <v>5009</v>
      </c>
      <c r="D3744" t="s">
        <v>5015</v>
      </c>
      <c r="E3744" t="s">
        <v>5018</v>
      </c>
      <c r="F3744" t="s">
        <v>5018</v>
      </c>
      <c r="G3744">
        <v>22</v>
      </c>
      <c r="H3744" s="5">
        <v>9.5569113512653458E-4</v>
      </c>
      <c r="I3744">
        <v>4</v>
      </c>
      <c r="J3744" t="b">
        <f>AND(CCData[[#This Row],[Date]]&gt;=Calculation!$E$3,CCData[[#This Row],[Date]]&lt;Calculation!$E$3+7)</f>
        <v>0</v>
      </c>
    </row>
    <row r="3745" spans="1:10">
      <c r="A3745" t="s">
        <v>3744</v>
      </c>
      <c r="B3745" s="2">
        <v>42069.701000000001</v>
      </c>
      <c r="C3745" s="3" t="s">
        <v>5010</v>
      </c>
      <c r="D3745" t="s">
        <v>5013</v>
      </c>
      <c r="E3745" t="s">
        <v>5018</v>
      </c>
      <c r="F3745" t="s">
        <v>5018</v>
      </c>
      <c r="G3745">
        <v>76</v>
      </c>
      <c r="H3745" s="5">
        <v>8.2784794461931391E-4</v>
      </c>
      <c r="I3745">
        <v>5</v>
      </c>
      <c r="J3745" t="b">
        <f>AND(CCData[[#This Row],[Date]]&gt;=Calculation!$E$3,CCData[[#This Row],[Date]]&lt;Calculation!$E$3+7)</f>
        <v>0</v>
      </c>
    </row>
    <row r="3746" spans="1:10">
      <c r="A3746" t="s">
        <v>3745</v>
      </c>
      <c r="B3746" s="2">
        <v>42069.718999999997</v>
      </c>
      <c r="C3746" s="3" t="s">
        <v>5006</v>
      </c>
      <c r="D3746" t="s">
        <v>5015</v>
      </c>
      <c r="E3746" t="s">
        <v>5019</v>
      </c>
      <c r="F3746" t="s">
        <v>5019</v>
      </c>
      <c r="G3746" t="s">
        <v>5022</v>
      </c>
      <c r="H3746" s="5" t="s">
        <v>5022</v>
      </c>
      <c r="I3746" t="s">
        <v>5022</v>
      </c>
      <c r="J3746" t="b">
        <f>AND(CCData[[#This Row],[Date]]&gt;=Calculation!$E$3,CCData[[#This Row],[Date]]&lt;Calculation!$E$3+7)</f>
        <v>0</v>
      </c>
    </row>
    <row r="3747" spans="1:10">
      <c r="A3747" t="s">
        <v>3746</v>
      </c>
      <c r="B3747" s="2">
        <v>42069.718999999997</v>
      </c>
      <c r="C3747" s="3" t="s">
        <v>5009</v>
      </c>
      <c r="D3747" t="s">
        <v>5016</v>
      </c>
      <c r="E3747" t="s">
        <v>5018</v>
      </c>
      <c r="F3747" t="s">
        <v>5019</v>
      </c>
      <c r="G3747">
        <v>125</v>
      </c>
      <c r="H3747" s="5">
        <v>3.4286552405583919E-3</v>
      </c>
      <c r="I3747">
        <v>5</v>
      </c>
      <c r="J3747" t="b">
        <f>AND(CCData[[#This Row],[Date]]&gt;=Calculation!$E$3,CCData[[#This Row],[Date]]&lt;Calculation!$E$3+7)</f>
        <v>0</v>
      </c>
    </row>
    <row r="3748" spans="1:10">
      <c r="A3748" t="s">
        <v>3747</v>
      </c>
      <c r="B3748" s="2">
        <v>42069.720999999998</v>
      </c>
      <c r="C3748" s="3" t="s">
        <v>5003</v>
      </c>
      <c r="D3748" t="s">
        <v>5014</v>
      </c>
      <c r="E3748" t="s">
        <v>5018</v>
      </c>
      <c r="F3748" t="s">
        <v>5019</v>
      </c>
      <c r="G3748">
        <v>34</v>
      </c>
      <c r="H3748" s="5">
        <v>2.6921912584562803E-3</v>
      </c>
      <c r="I3748">
        <v>1</v>
      </c>
      <c r="J3748" t="b">
        <f>AND(CCData[[#This Row],[Date]]&gt;=Calculation!$E$3,CCData[[#This Row],[Date]]&lt;Calculation!$E$3+7)</f>
        <v>0</v>
      </c>
    </row>
    <row r="3749" spans="1:10">
      <c r="A3749" t="s">
        <v>3748</v>
      </c>
      <c r="B3749" s="2">
        <v>42069.720999999998</v>
      </c>
      <c r="C3749" s="3" t="s">
        <v>5003</v>
      </c>
      <c r="D3749" t="s">
        <v>5015</v>
      </c>
      <c r="E3749" t="s">
        <v>5018</v>
      </c>
      <c r="F3749" t="s">
        <v>5018</v>
      </c>
      <c r="G3749">
        <v>121</v>
      </c>
      <c r="H3749" s="5">
        <v>4.485616244912575E-3</v>
      </c>
      <c r="I3749">
        <v>3</v>
      </c>
      <c r="J3749" t="b">
        <f>AND(CCData[[#This Row],[Date]]&gt;=Calculation!$E$3,CCData[[#This Row],[Date]]&lt;Calculation!$E$3+7)</f>
        <v>0</v>
      </c>
    </row>
    <row r="3750" spans="1:10">
      <c r="A3750" t="s">
        <v>3749</v>
      </c>
      <c r="B3750" s="2">
        <v>42069.724000000002</v>
      </c>
      <c r="C3750" s="3" t="s">
        <v>5003</v>
      </c>
      <c r="D3750" t="s">
        <v>5013</v>
      </c>
      <c r="E3750" t="s">
        <v>5019</v>
      </c>
      <c r="F3750" t="s">
        <v>5019</v>
      </c>
      <c r="G3750" t="s">
        <v>5022</v>
      </c>
      <c r="H3750" s="5" t="s">
        <v>5022</v>
      </c>
      <c r="I3750" t="s">
        <v>5022</v>
      </c>
      <c r="J3750" t="b">
        <f>AND(CCData[[#This Row],[Date]]&gt;=Calculation!$E$3,CCData[[#This Row],[Date]]&lt;Calculation!$E$3+7)</f>
        <v>0</v>
      </c>
    </row>
    <row r="3751" spans="1:10">
      <c r="A3751" t="s">
        <v>3750</v>
      </c>
      <c r="B3751" s="2">
        <v>42069.724000000002</v>
      </c>
      <c r="C3751" s="3" t="s">
        <v>5006</v>
      </c>
      <c r="D3751" t="s">
        <v>5014</v>
      </c>
      <c r="E3751" t="s">
        <v>5019</v>
      </c>
      <c r="F3751" t="s">
        <v>5019</v>
      </c>
      <c r="G3751" t="s">
        <v>5022</v>
      </c>
      <c r="H3751" s="5" t="s">
        <v>5022</v>
      </c>
      <c r="I3751" t="s">
        <v>5022</v>
      </c>
      <c r="J3751" t="b">
        <f>AND(CCData[[#This Row],[Date]]&gt;=Calculation!$E$3,CCData[[#This Row],[Date]]&lt;Calculation!$E$3+7)</f>
        <v>0</v>
      </c>
    </row>
    <row r="3752" spans="1:10">
      <c r="A3752" t="s">
        <v>3751</v>
      </c>
      <c r="B3752" s="2">
        <v>42069.724000000002</v>
      </c>
      <c r="C3752" s="3" t="s">
        <v>5009</v>
      </c>
      <c r="D3752" t="s">
        <v>5016</v>
      </c>
      <c r="E3752" t="s">
        <v>5018</v>
      </c>
      <c r="F3752" t="s">
        <v>5018</v>
      </c>
      <c r="G3752">
        <v>17</v>
      </c>
      <c r="H3752" s="5">
        <v>1.4094425290236269E-3</v>
      </c>
      <c r="I3752">
        <v>1</v>
      </c>
      <c r="J3752" t="b">
        <f>AND(CCData[[#This Row],[Date]]&gt;=Calculation!$E$3,CCData[[#This Row],[Date]]&lt;Calculation!$E$3+7)</f>
        <v>0</v>
      </c>
    </row>
    <row r="3753" spans="1:10">
      <c r="A3753" t="s">
        <v>3752</v>
      </c>
      <c r="B3753" s="2">
        <v>42069.724000000002</v>
      </c>
      <c r="C3753" s="3" t="s">
        <v>5010</v>
      </c>
      <c r="D3753" t="s">
        <v>5012</v>
      </c>
      <c r="E3753" t="s">
        <v>5018</v>
      </c>
      <c r="F3753" t="s">
        <v>5018</v>
      </c>
      <c r="G3753">
        <v>65</v>
      </c>
      <c r="H3753" s="5">
        <v>3.7398558056284783E-3</v>
      </c>
      <c r="I3753">
        <v>1</v>
      </c>
      <c r="J3753" t="b">
        <f>AND(CCData[[#This Row],[Date]]&gt;=Calculation!$E$3,CCData[[#This Row],[Date]]&lt;Calculation!$E$3+7)</f>
        <v>0</v>
      </c>
    </row>
    <row r="3754" spans="1:10">
      <c r="A3754" t="s">
        <v>3753</v>
      </c>
      <c r="B3754" s="2">
        <v>42070.415999999997</v>
      </c>
      <c r="C3754" s="3" t="s">
        <v>5005</v>
      </c>
      <c r="D3754" t="s">
        <v>5013</v>
      </c>
      <c r="E3754" t="s">
        <v>5018</v>
      </c>
      <c r="F3754" t="s">
        <v>5018</v>
      </c>
      <c r="G3754">
        <v>65</v>
      </c>
      <c r="H3754" s="5">
        <v>3.0888083443371865E-3</v>
      </c>
      <c r="I3754">
        <v>5</v>
      </c>
      <c r="J3754" t="b">
        <f>AND(CCData[[#This Row],[Date]]&gt;=Calculation!$E$3,CCData[[#This Row],[Date]]&lt;Calculation!$E$3+7)</f>
        <v>0</v>
      </c>
    </row>
    <row r="3755" spans="1:10">
      <c r="A3755" t="s">
        <v>3754</v>
      </c>
      <c r="B3755" s="2">
        <v>42070.415999999997</v>
      </c>
      <c r="C3755" s="3" t="s">
        <v>5007</v>
      </c>
      <c r="D3755" t="s">
        <v>5014</v>
      </c>
      <c r="E3755" t="s">
        <v>5019</v>
      </c>
      <c r="F3755" t="s">
        <v>5019</v>
      </c>
      <c r="G3755" t="s">
        <v>5022</v>
      </c>
      <c r="H3755" s="5" t="s">
        <v>5022</v>
      </c>
      <c r="I3755" t="s">
        <v>5022</v>
      </c>
      <c r="J3755" t="b">
        <f>AND(CCData[[#This Row],[Date]]&gt;=Calculation!$E$3,CCData[[#This Row],[Date]]&lt;Calculation!$E$3+7)</f>
        <v>0</v>
      </c>
    </row>
    <row r="3756" spans="1:10">
      <c r="A3756" t="s">
        <v>3755</v>
      </c>
      <c r="B3756" s="2">
        <v>42070.417999999998</v>
      </c>
      <c r="C3756" s="3" t="s">
        <v>5009</v>
      </c>
      <c r="D3756" t="s">
        <v>5014</v>
      </c>
      <c r="E3756" t="s">
        <v>5018</v>
      </c>
      <c r="F3756" t="s">
        <v>5018</v>
      </c>
      <c r="G3756">
        <v>96</v>
      </c>
      <c r="H3756" s="5">
        <v>4.699047130617238E-3</v>
      </c>
      <c r="I3756">
        <v>1</v>
      </c>
      <c r="J3756" t="b">
        <f>AND(CCData[[#This Row],[Date]]&gt;=Calculation!$E$3,CCData[[#This Row],[Date]]&lt;Calculation!$E$3+7)</f>
        <v>0</v>
      </c>
    </row>
    <row r="3757" spans="1:10">
      <c r="A3757" t="s">
        <v>3756</v>
      </c>
      <c r="B3757" s="2">
        <v>42070.417999999998</v>
      </c>
      <c r="C3757" s="3" t="s">
        <v>5003</v>
      </c>
      <c r="D3757" t="s">
        <v>5012</v>
      </c>
      <c r="E3757" t="s">
        <v>5018</v>
      </c>
      <c r="F3757" t="s">
        <v>5018</v>
      </c>
      <c r="G3757">
        <v>23</v>
      </c>
      <c r="H3757" s="5">
        <v>4.788172211451289E-3</v>
      </c>
      <c r="I3757">
        <v>4</v>
      </c>
      <c r="J3757" t="b">
        <f>AND(CCData[[#This Row],[Date]]&gt;=Calculation!$E$3,CCData[[#This Row],[Date]]&lt;Calculation!$E$3+7)</f>
        <v>0</v>
      </c>
    </row>
    <row r="3758" spans="1:10">
      <c r="A3758" t="s">
        <v>3757</v>
      </c>
      <c r="B3758" s="2">
        <v>42070.457000000002</v>
      </c>
      <c r="C3758" s="3" t="s">
        <v>5009</v>
      </c>
      <c r="D3758" t="s">
        <v>5013</v>
      </c>
      <c r="E3758" t="s">
        <v>5019</v>
      </c>
      <c r="F3758" t="s">
        <v>5019</v>
      </c>
      <c r="G3758" t="s">
        <v>5022</v>
      </c>
      <c r="H3758" s="5" t="s">
        <v>5022</v>
      </c>
      <c r="I3758" t="s">
        <v>5022</v>
      </c>
      <c r="J3758" t="b">
        <f>AND(CCData[[#This Row],[Date]]&gt;=Calculation!$E$3,CCData[[#This Row],[Date]]&lt;Calculation!$E$3+7)</f>
        <v>0</v>
      </c>
    </row>
    <row r="3759" spans="1:10">
      <c r="A3759" t="s">
        <v>3758</v>
      </c>
      <c r="B3759" s="2">
        <v>42070.457000000002</v>
      </c>
      <c r="C3759" s="3" t="s">
        <v>5008</v>
      </c>
      <c r="D3759" t="s">
        <v>5015</v>
      </c>
      <c r="E3759" t="s">
        <v>5019</v>
      </c>
      <c r="F3759" t="s">
        <v>5019</v>
      </c>
      <c r="G3759" t="s">
        <v>5022</v>
      </c>
      <c r="H3759" s="5" t="s">
        <v>5022</v>
      </c>
      <c r="I3759" t="s">
        <v>5022</v>
      </c>
      <c r="J3759" t="b">
        <f>AND(CCData[[#This Row],[Date]]&gt;=Calculation!$E$3,CCData[[#This Row],[Date]]&lt;Calculation!$E$3+7)</f>
        <v>0</v>
      </c>
    </row>
    <row r="3760" spans="1:10">
      <c r="A3760" t="s">
        <v>3759</v>
      </c>
      <c r="B3760" s="2">
        <v>42070.500999999997</v>
      </c>
      <c r="C3760" s="3" t="s">
        <v>5007</v>
      </c>
      <c r="D3760" t="s">
        <v>5014</v>
      </c>
      <c r="E3760" t="s">
        <v>5018</v>
      </c>
      <c r="F3760" t="s">
        <v>5018</v>
      </c>
      <c r="G3760">
        <v>105</v>
      </c>
      <c r="H3760" s="5">
        <v>1.3834458099663903E-3</v>
      </c>
      <c r="I3760">
        <v>4</v>
      </c>
      <c r="J3760" t="b">
        <f>AND(CCData[[#This Row],[Date]]&gt;=Calculation!$E$3,CCData[[#This Row],[Date]]&lt;Calculation!$E$3+7)</f>
        <v>0</v>
      </c>
    </row>
    <row r="3761" spans="1:10">
      <c r="A3761" t="s">
        <v>3760</v>
      </c>
      <c r="B3761" s="2">
        <v>42070.500999999997</v>
      </c>
      <c r="C3761" s="3" t="s">
        <v>5010</v>
      </c>
      <c r="D3761" t="s">
        <v>5015</v>
      </c>
      <c r="E3761" t="s">
        <v>5019</v>
      </c>
      <c r="F3761" t="s">
        <v>5019</v>
      </c>
      <c r="G3761" t="s">
        <v>5022</v>
      </c>
      <c r="H3761" s="5" t="s">
        <v>5022</v>
      </c>
      <c r="I3761" t="s">
        <v>5022</v>
      </c>
      <c r="J3761" t="b">
        <f>AND(CCData[[#This Row],[Date]]&gt;=Calculation!$E$3,CCData[[#This Row],[Date]]&lt;Calculation!$E$3+7)</f>
        <v>0</v>
      </c>
    </row>
    <row r="3762" spans="1:10">
      <c r="A3762" t="s">
        <v>3761</v>
      </c>
      <c r="B3762" s="2">
        <v>42070.504999999997</v>
      </c>
      <c r="C3762" s="3" t="s">
        <v>5007</v>
      </c>
      <c r="D3762" t="s">
        <v>5016</v>
      </c>
      <c r="E3762" t="s">
        <v>5018</v>
      </c>
      <c r="F3762" t="s">
        <v>5018</v>
      </c>
      <c r="G3762">
        <v>42</v>
      </c>
      <c r="H3762" s="5">
        <v>1.3429853084820466E-3</v>
      </c>
      <c r="I3762">
        <v>5</v>
      </c>
      <c r="J3762" t="b">
        <f>AND(CCData[[#This Row],[Date]]&gt;=Calculation!$E$3,CCData[[#This Row],[Date]]&lt;Calculation!$E$3+7)</f>
        <v>0</v>
      </c>
    </row>
    <row r="3763" spans="1:10">
      <c r="A3763" t="s">
        <v>3762</v>
      </c>
      <c r="B3763" s="2">
        <v>42070.504999999997</v>
      </c>
      <c r="C3763" s="3" t="s">
        <v>5007</v>
      </c>
      <c r="D3763" t="s">
        <v>5015</v>
      </c>
      <c r="E3763" t="s">
        <v>5018</v>
      </c>
      <c r="F3763" t="s">
        <v>5018</v>
      </c>
      <c r="G3763">
        <v>79</v>
      </c>
      <c r="H3763" s="5">
        <v>1.4720611426952666E-3</v>
      </c>
      <c r="I3763">
        <v>4</v>
      </c>
      <c r="J3763" t="b">
        <f>AND(CCData[[#This Row],[Date]]&gt;=Calculation!$E$3,CCData[[#This Row],[Date]]&lt;Calculation!$E$3+7)</f>
        <v>0</v>
      </c>
    </row>
    <row r="3764" spans="1:10">
      <c r="A3764" t="s">
        <v>3763</v>
      </c>
      <c r="B3764" s="2">
        <v>42070.514999999999</v>
      </c>
      <c r="C3764" s="3" t="s">
        <v>5003</v>
      </c>
      <c r="D3764" t="s">
        <v>5012</v>
      </c>
      <c r="E3764" t="s">
        <v>5019</v>
      </c>
      <c r="F3764" t="s">
        <v>5019</v>
      </c>
      <c r="G3764" t="s">
        <v>5022</v>
      </c>
      <c r="H3764" s="5" t="s">
        <v>5022</v>
      </c>
      <c r="I3764" t="s">
        <v>5022</v>
      </c>
      <c r="J3764" t="b">
        <f>AND(CCData[[#This Row],[Date]]&gt;=Calculation!$E$3,CCData[[#This Row],[Date]]&lt;Calculation!$E$3+7)</f>
        <v>0</v>
      </c>
    </row>
    <row r="3765" spans="1:10">
      <c r="A3765" t="s">
        <v>3764</v>
      </c>
      <c r="B3765" s="2">
        <v>42070.514999999999</v>
      </c>
      <c r="C3765" s="3" t="s">
        <v>5009</v>
      </c>
      <c r="D3765" t="s">
        <v>5014</v>
      </c>
      <c r="E3765" t="s">
        <v>5018</v>
      </c>
      <c r="F3765" t="s">
        <v>5018</v>
      </c>
      <c r="G3765">
        <v>35</v>
      </c>
      <c r="H3765" s="5">
        <v>7.1372114838771884E-4</v>
      </c>
      <c r="I3765">
        <v>5</v>
      </c>
      <c r="J3765" t="b">
        <f>AND(CCData[[#This Row],[Date]]&gt;=Calculation!$E$3,CCData[[#This Row],[Date]]&lt;Calculation!$E$3+7)</f>
        <v>0</v>
      </c>
    </row>
    <row r="3766" spans="1:10">
      <c r="A3766" t="s">
        <v>3765</v>
      </c>
      <c r="B3766" s="2">
        <v>42070.523000000001</v>
      </c>
      <c r="C3766" s="3" t="s">
        <v>5009</v>
      </c>
      <c r="D3766" t="s">
        <v>5014</v>
      </c>
      <c r="E3766" t="s">
        <v>5018</v>
      </c>
      <c r="F3766" t="s">
        <v>5018</v>
      </c>
      <c r="G3766">
        <v>70</v>
      </c>
      <c r="H3766" s="5">
        <v>4.6813721610768199E-3</v>
      </c>
      <c r="I3766">
        <v>4</v>
      </c>
      <c r="J3766" t="b">
        <f>AND(CCData[[#This Row],[Date]]&gt;=Calculation!$E$3,CCData[[#This Row],[Date]]&lt;Calculation!$E$3+7)</f>
        <v>0</v>
      </c>
    </row>
    <row r="3767" spans="1:10">
      <c r="A3767" t="s">
        <v>3766</v>
      </c>
      <c r="B3767" s="2">
        <v>42070.523000000001</v>
      </c>
      <c r="C3767" s="3" t="s">
        <v>5004</v>
      </c>
      <c r="D3767" t="s">
        <v>5015</v>
      </c>
      <c r="E3767" t="s">
        <v>5018</v>
      </c>
      <c r="F3767" t="s">
        <v>5018</v>
      </c>
      <c r="G3767">
        <v>104</v>
      </c>
      <c r="H3767" s="5">
        <v>4.4874363627615882E-3</v>
      </c>
      <c r="I3767">
        <v>4</v>
      </c>
      <c r="J3767" t="b">
        <f>AND(CCData[[#This Row],[Date]]&gt;=Calculation!$E$3,CCData[[#This Row],[Date]]&lt;Calculation!$E$3+7)</f>
        <v>0</v>
      </c>
    </row>
    <row r="3768" spans="1:10">
      <c r="A3768" t="s">
        <v>3767</v>
      </c>
      <c r="B3768" s="2">
        <v>42070.546000000002</v>
      </c>
      <c r="C3768" s="3" t="s">
        <v>5006</v>
      </c>
      <c r="D3768" t="s">
        <v>5015</v>
      </c>
      <c r="E3768" t="s">
        <v>5018</v>
      </c>
      <c r="F3768" t="s">
        <v>5018</v>
      </c>
      <c r="G3768">
        <v>103</v>
      </c>
      <c r="H3768" s="5">
        <v>1.5212022112078445E-3</v>
      </c>
      <c r="I3768">
        <v>3</v>
      </c>
      <c r="J3768" t="b">
        <f>AND(CCData[[#This Row],[Date]]&gt;=Calculation!$E$3,CCData[[#This Row],[Date]]&lt;Calculation!$E$3+7)</f>
        <v>0</v>
      </c>
    </row>
    <row r="3769" spans="1:10">
      <c r="A3769" t="s">
        <v>3768</v>
      </c>
      <c r="B3769" s="2">
        <v>42070.546000000002</v>
      </c>
      <c r="C3769" s="3" t="s">
        <v>5006</v>
      </c>
      <c r="D3769" t="s">
        <v>5016</v>
      </c>
      <c r="E3769" t="s">
        <v>5019</v>
      </c>
      <c r="F3769" t="s">
        <v>5019</v>
      </c>
      <c r="G3769" t="s">
        <v>5022</v>
      </c>
      <c r="H3769" s="5" t="s">
        <v>5022</v>
      </c>
      <c r="I3769" t="s">
        <v>5022</v>
      </c>
      <c r="J3769" t="b">
        <f>AND(CCData[[#This Row],[Date]]&gt;=Calculation!$E$3,CCData[[#This Row],[Date]]&lt;Calculation!$E$3+7)</f>
        <v>0</v>
      </c>
    </row>
    <row r="3770" spans="1:10">
      <c r="A3770" t="s">
        <v>3769</v>
      </c>
      <c r="B3770" s="2">
        <v>42070.555999999997</v>
      </c>
      <c r="C3770" s="3" t="s">
        <v>5004</v>
      </c>
      <c r="D3770" t="s">
        <v>5014</v>
      </c>
      <c r="E3770" t="s">
        <v>5018</v>
      </c>
      <c r="F3770" t="s">
        <v>5018</v>
      </c>
      <c r="G3770">
        <v>22</v>
      </c>
      <c r="H3770" s="5">
        <v>4.3864629944841242E-3</v>
      </c>
      <c r="I3770">
        <v>3</v>
      </c>
      <c r="J3770" t="b">
        <f>AND(CCData[[#This Row],[Date]]&gt;=Calculation!$E$3,CCData[[#This Row],[Date]]&lt;Calculation!$E$3+7)</f>
        <v>0</v>
      </c>
    </row>
    <row r="3771" spans="1:10">
      <c r="A3771" t="s">
        <v>3770</v>
      </c>
      <c r="B3771" s="2">
        <v>42070.555999999997</v>
      </c>
      <c r="C3771" s="3" t="s">
        <v>5005</v>
      </c>
      <c r="D3771" t="s">
        <v>5012</v>
      </c>
      <c r="E3771" t="s">
        <v>5018</v>
      </c>
      <c r="F3771" t="s">
        <v>5018</v>
      </c>
      <c r="G3771">
        <v>48</v>
      </c>
      <c r="H3771" s="5">
        <v>4.0507468090193021E-3</v>
      </c>
      <c r="I3771">
        <v>2</v>
      </c>
      <c r="J3771" t="b">
        <f>AND(CCData[[#This Row],[Date]]&gt;=Calculation!$E$3,CCData[[#This Row],[Date]]&lt;Calculation!$E$3+7)</f>
        <v>0</v>
      </c>
    </row>
    <row r="3772" spans="1:10">
      <c r="A3772" t="s">
        <v>3771</v>
      </c>
      <c r="B3772" s="2">
        <v>42070.57</v>
      </c>
      <c r="C3772" s="3" t="s">
        <v>5004</v>
      </c>
      <c r="D3772" t="s">
        <v>5014</v>
      </c>
      <c r="E3772" t="s">
        <v>5019</v>
      </c>
      <c r="F3772" t="s">
        <v>5019</v>
      </c>
      <c r="G3772" t="s">
        <v>5022</v>
      </c>
      <c r="H3772" s="5" t="s">
        <v>5022</v>
      </c>
      <c r="I3772" t="s">
        <v>5022</v>
      </c>
      <c r="J3772" t="b">
        <f>AND(CCData[[#This Row],[Date]]&gt;=Calculation!$E$3,CCData[[#This Row],[Date]]&lt;Calculation!$E$3+7)</f>
        <v>0</v>
      </c>
    </row>
    <row r="3773" spans="1:10">
      <c r="A3773" t="s">
        <v>3772</v>
      </c>
      <c r="B3773" s="2">
        <v>42070.57</v>
      </c>
      <c r="C3773" s="3" t="s">
        <v>5005</v>
      </c>
      <c r="D3773" t="s">
        <v>5013</v>
      </c>
      <c r="E3773" t="s">
        <v>5018</v>
      </c>
      <c r="F3773" t="s">
        <v>5018</v>
      </c>
      <c r="G3773">
        <v>12</v>
      </c>
      <c r="H3773" s="5">
        <v>1.7577110457432173E-3</v>
      </c>
      <c r="I3773">
        <v>3</v>
      </c>
      <c r="J3773" t="b">
        <f>AND(CCData[[#This Row],[Date]]&gt;=Calculation!$E$3,CCData[[#This Row],[Date]]&lt;Calculation!$E$3+7)</f>
        <v>0</v>
      </c>
    </row>
    <row r="3774" spans="1:10">
      <c r="A3774" t="s">
        <v>3773</v>
      </c>
      <c r="B3774" s="2">
        <v>42070.574000000001</v>
      </c>
      <c r="C3774" s="3" t="s">
        <v>5008</v>
      </c>
      <c r="D3774" t="s">
        <v>5013</v>
      </c>
      <c r="E3774" t="s">
        <v>5018</v>
      </c>
      <c r="F3774" t="s">
        <v>5018</v>
      </c>
      <c r="G3774">
        <v>16</v>
      </c>
      <c r="H3774" s="5">
        <v>3.1894664206975321E-3</v>
      </c>
      <c r="I3774">
        <v>3</v>
      </c>
      <c r="J3774" t="b">
        <f>AND(CCData[[#This Row],[Date]]&gt;=Calculation!$E$3,CCData[[#This Row],[Date]]&lt;Calculation!$E$3+7)</f>
        <v>0</v>
      </c>
    </row>
    <row r="3775" spans="1:10">
      <c r="A3775" t="s">
        <v>3774</v>
      </c>
      <c r="B3775" s="2">
        <v>42070.574000000001</v>
      </c>
      <c r="C3775" s="3" t="s">
        <v>5008</v>
      </c>
      <c r="D3775" t="s">
        <v>5012</v>
      </c>
      <c r="E3775" t="s">
        <v>5018</v>
      </c>
      <c r="F3775" t="s">
        <v>5018</v>
      </c>
      <c r="G3775">
        <v>116</v>
      </c>
      <c r="H3775" s="5">
        <v>2.791645611774789E-3</v>
      </c>
      <c r="I3775">
        <v>2</v>
      </c>
      <c r="J3775" t="b">
        <f>AND(CCData[[#This Row],[Date]]&gt;=Calculation!$E$3,CCData[[#This Row],[Date]]&lt;Calculation!$E$3+7)</f>
        <v>0</v>
      </c>
    </row>
    <row r="3776" spans="1:10">
      <c r="A3776" t="s">
        <v>3775</v>
      </c>
      <c r="B3776" s="2">
        <v>42070.578000000001</v>
      </c>
      <c r="C3776" s="3" t="s">
        <v>5006</v>
      </c>
      <c r="D3776" t="s">
        <v>5015</v>
      </c>
      <c r="E3776" t="s">
        <v>5019</v>
      </c>
      <c r="F3776" t="s">
        <v>5019</v>
      </c>
      <c r="G3776" t="s">
        <v>5022</v>
      </c>
      <c r="H3776" s="5" t="s">
        <v>5022</v>
      </c>
      <c r="I3776" t="s">
        <v>5022</v>
      </c>
      <c r="J3776" t="b">
        <f>AND(CCData[[#This Row],[Date]]&gt;=Calculation!$E$3,CCData[[#This Row],[Date]]&lt;Calculation!$E$3+7)</f>
        <v>0</v>
      </c>
    </row>
    <row r="3777" spans="1:10">
      <c r="A3777" t="s">
        <v>3776</v>
      </c>
      <c r="B3777" s="2">
        <v>42070.578000000001</v>
      </c>
      <c r="C3777" s="3" t="s">
        <v>5006</v>
      </c>
      <c r="D3777" t="s">
        <v>5015</v>
      </c>
      <c r="E3777" t="s">
        <v>5018</v>
      </c>
      <c r="F3777" t="s">
        <v>5018</v>
      </c>
      <c r="G3777">
        <v>25</v>
      </c>
      <c r="H3777" s="5">
        <v>1.6559014262431978E-3</v>
      </c>
      <c r="I3777">
        <v>2</v>
      </c>
      <c r="J3777" t="b">
        <f>AND(CCData[[#This Row],[Date]]&gt;=Calculation!$E$3,CCData[[#This Row],[Date]]&lt;Calculation!$E$3+7)</f>
        <v>0</v>
      </c>
    </row>
    <row r="3778" spans="1:10">
      <c r="A3778" t="s">
        <v>3777</v>
      </c>
      <c r="B3778" s="2">
        <v>42070.578999999998</v>
      </c>
      <c r="C3778" s="3" t="s">
        <v>5006</v>
      </c>
      <c r="D3778" t="s">
        <v>5015</v>
      </c>
      <c r="E3778" t="s">
        <v>5018</v>
      </c>
      <c r="F3778" t="s">
        <v>5018</v>
      </c>
      <c r="G3778">
        <v>30</v>
      </c>
      <c r="H3778" s="5">
        <v>3.1857746331599634E-3</v>
      </c>
      <c r="I3778">
        <v>4</v>
      </c>
      <c r="J3778" t="b">
        <f>AND(CCData[[#This Row],[Date]]&gt;=Calculation!$E$3,CCData[[#This Row],[Date]]&lt;Calculation!$E$3+7)</f>
        <v>0</v>
      </c>
    </row>
    <row r="3779" spans="1:10">
      <c r="A3779" t="s">
        <v>3778</v>
      </c>
      <c r="B3779" s="2">
        <v>42070.578999999998</v>
      </c>
      <c r="C3779" s="3" t="s">
        <v>5008</v>
      </c>
      <c r="D3779" t="s">
        <v>5013</v>
      </c>
      <c r="E3779" t="s">
        <v>5019</v>
      </c>
      <c r="F3779" t="s">
        <v>5019</v>
      </c>
      <c r="G3779" t="s">
        <v>5022</v>
      </c>
      <c r="H3779" s="5" t="s">
        <v>5022</v>
      </c>
      <c r="I3779" t="s">
        <v>5022</v>
      </c>
      <c r="J3779" t="b">
        <f>AND(CCData[[#This Row],[Date]]&gt;=Calculation!$E$3,CCData[[#This Row],[Date]]&lt;Calculation!$E$3+7)</f>
        <v>0</v>
      </c>
    </row>
    <row r="3780" spans="1:10">
      <c r="A3780" t="s">
        <v>3779</v>
      </c>
      <c r="B3780" s="2">
        <v>42070.608</v>
      </c>
      <c r="C3780" s="3" t="s">
        <v>5007</v>
      </c>
      <c r="D3780" t="s">
        <v>5013</v>
      </c>
      <c r="E3780" t="s">
        <v>5018</v>
      </c>
      <c r="F3780" t="s">
        <v>5018</v>
      </c>
      <c r="G3780">
        <v>29</v>
      </c>
      <c r="H3780" s="5">
        <v>2.7237814570443409E-3</v>
      </c>
      <c r="I3780">
        <v>2</v>
      </c>
      <c r="J3780" t="b">
        <f>AND(CCData[[#This Row],[Date]]&gt;=Calculation!$E$3,CCData[[#This Row],[Date]]&lt;Calculation!$E$3+7)</f>
        <v>0</v>
      </c>
    </row>
    <row r="3781" spans="1:10">
      <c r="A3781" t="s">
        <v>3780</v>
      </c>
      <c r="B3781" s="2">
        <v>42070.608</v>
      </c>
      <c r="C3781" s="3" t="s">
        <v>5007</v>
      </c>
      <c r="D3781" t="s">
        <v>5014</v>
      </c>
      <c r="E3781" t="s">
        <v>5018</v>
      </c>
      <c r="F3781" t="s">
        <v>5018</v>
      </c>
      <c r="G3781">
        <v>23</v>
      </c>
      <c r="H3781" s="5">
        <v>2.2725616441013384E-3</v>
      </c>
      <c r="I3781">
        <v>4</v>
      </c>
      <c r="J3781" t="b">
        <f>AND(CCData[[#This Row],[Date]]&gt;=Calculation!$E$3,CCData[[#This Row],[Date]]&lt;Calculation!$E$3+7)</f>
        <v>0</v>
      </c>
    </row>
    <row r="3782" spans="1:10">
      <c r="A3782" t="s">
        <v>3781</v>
      </c>
      <c r="B3782" s="2">
        <v>42070.612999999998</v>
      </c>
      <c r="C3782" s="3" t="s">
        <v>5005</v>
      </c>
      <c r="D3782" t="s">
        <v>5012</v>
      </c>
      <c r="E3782" t="s">
        <v>5018</v>
      </c>
      <c r="F3782" t="s">
        <v>5018</v>
      </c>
      <c r="G3782">
        <v>11</v>
      </c>
      <c r="H3782" s="5">
        <v>3.5872695878947634E-3</v>
      </c>
      <c r="I3782">
        <v>5</v>
      </c>
      <c r="J3782" t="b">
        <f>AND(CCData[[#This Row],[Date]]&gt;=Calculation!$E$3,CCData[[#This Row],[Date]]&lt;Calculation!$E$3+7)</f>
        <v>0</v>
      </c>
    </row>
    <row r="3783" spans="1:10">
      <c r="A3783" t="s">
        <v>3782</v>
      </c>
      <c r="B3783" s="2">
        <v>42070.612999999998</v>
      </c>
      <c r="C3783" s="3" t="s">
        <v>5009</v>
      </c>
      <c r="D3783" t="s">
        <v>5012</v>
      </c>
      <c r="E3783" t="s">
        <v>5018</v>
      </c>
      <c r="F3783" t="s">
        <v>5018</v>
      </c>
      <c r="G3783">
        <v>114</v>
      </c>
      <c r="H3783" s="5">
        <v>1.811094370812841E-3</v>
      </c>
      <c r="I3783">
        <v>3</v>
      </c>
      <c r="J3783" t="b">
        <f>AND(CCData[[#This Row],[Date]]&gt;=Calculation!$E$3,CCData[[#This Row],[Date]]&lt;Calculation!$E$3+7)</f>
        <v>0</v>
      </c>
    </row>
    <row r="3784" spans="1:10">
      <c r="A3784" t="s">
        <v>3783</v>
      </c>
      <c r="B3784" s="2">
        <v>42070.642999999996</v>
      </c>
      <c r="C3784" s="3" t="s">
        <v>5007</v>
      </c>
      <c r="D3784" t="s">
        <v>5016</v>
      </c>
      <c r="E3784" t="s">
        <v>5018</v>
      </c>
      <c r="F3784" t="s">
        <v>5018</v>
      </c>
      <c r="G3784">
        <v>27</v>
      </c>
      <c r="H3784" s="5">
        <v>6.1298822092238051E-4</v>
      </c>
      <c r="I3784">
        <v>3</v>
      </c>
      <c r="J3784" t="b">
        <f>AND(CCData[[#This Row],[Date]]&gt;=Calculation!$E$3,CCData[[#This Row],[Date]]&lt;Calculation!$E$3+7)</f>
        <v>0</v>
      </c>
    </row>
    <row r="3785" spans="1:10">
      <c r="A3785" t="s">
        <v>3784</v>
      </c>
      <c r="B3785" s="2">
        <v>42070.642999999996</v>
      </c>
      <c r="C3785" s="3" t="s">
        <v>5010</v>
      </c>
      <c r="D3785" t="s">
        <v>5016</v>
      </c>
      <c r="E3785" t="s">
        <v>5018</v>
      </c>
      <c r="F3785" t="s">
        <v>5018</v>
      </c>
      <c r="G3785">
        <v>64</v>
      </c>
      <c r="H3785" s="5">
        <v>2.391834014414459E-3</v>
      </c>
      <c r="I3785">
        <v>3</v>
      </c>
      <c r="J3785" t="b">
        <f>AND(CCData[[#This Row],[Date]]&gt;=Calculation!$E$3,CCData[[#This Row],[Date]]&lt;Calculation!$E$3+7)</f>
        <v>0</v>
      </c>
    </row>
    <row r="3786" spans="1:10">
      <c r="A3786" t="s">
        <v>3785</v>
      </c>
      <c r="B3786" s="2">
        <v>42070.646000000001</v>
      </c>
      <c r="C3786" s="3" t="s">
        <v>5004</v>
      </c>
      <c r="D3786" t="s">
        <v>5015</v>
      </c>
      <c r="E3786" t="s">
        <v>5018</v>
      </c>
      <c r="F3786" t="s">
        <v>5018</v>
      </c>
      <c r="G3786">
        <v>59</v>
      </c>
      <c r="H3786" s="5">
        <v>2.5496458394492498E-3</v>
      </c>
      <c r="I3786">
        <v>2</v>
      </c>
      <c r="J3786" t="b">
        <f>AND(CCData[[#This Row],[Date]]&gt;=Calculation!$E$3,CCData[[#This Row],[Date]]&lt;Calculation!$E$3+7)</f>
        <v>0</v>
      </c>
    </row>
    <row r="3787" spans="1:10">
      <c r="A3787" t="s">
        <v>3786</v>
      </c>
      <c r="B3787" s="2">
        <v>42070.646000000001</v>
      </c>
      <c r="C3787" s="3" t="s">
        <v>5009</v>
      </c>
      <c r="D3787" t="s">
        <v>5013</v>
      </c>
      <c r="E3787" t="s">
        <v>5019</v>
      </c>
      <c r="F3787" t="s">
        <v>5019</v>
      </c>
      <c r="G3787" t="s">
        <v>5022</v>
      </c>
      <c r="H3787" s="5" t="s">
        <v>5022</v>
      </c>
      <c r="I3787" t="s">
        <v>5022</v>
      </c>
      <c r="J3787" t="b">
        <f>AND(CCData[[#This Row],[Date]]&gt;=Calculation!$E$3,CCData[[#This Row],[Date]]&lt;Calculation!$E$3+7)</f>
        <v>0</v>
      </c>
    </row>
    <row r="3788" spans="1:10">
      <c r="A3788" t="s">
        <v>3787</v>
      </c>
      <c r="B3788" s="2">
        <v>42070.65</v>
      </c>
      <c r="C3788" s="3" t="s">
        <v>5008</v>
      </c>
      <c r="D3788" t="s">
        <v>5014</v>
      </c>
      <c r="E3788" t="s">
        <v>5018</v>
      </c>
      <c r="F3788" t="s">
        <v>5018</v>
      </c>
      <c r="G3788">
        <v>10</v>
      </c>
      <c r="H3788" s="5">
        <v>2.3798042808991777E-3</v>
      </c>
      <c r="I3788">
        <v>5</v>
      </c>
      <c r="J3788" t="b">
        <f>AND(CCData[[#This Row],[Date]]&gt;=Calculation!$E$3,CCData[[#This Row],[Date]]&lt;Calculation!$E$3+7)</f>
        <v>0</v>
      </c>
    </row>
    <row r="3789" spans="1:10">
      <c r="A3789" t="s">
        <v>3788</v>
      </c>
      <c r="B3789" s="2">
        <v>42070.65</v>
      </c>
      <c r="C3789" s="3" t="s">
        <v>5009</v>
      </c>
      <c r="D3789" t="s">
        <v>5015</v>
      </c>
      <c r="E3789" t="s">
        <v>5018</v>
      </c>
      <c r="F3789" t="s">
        <v>5018</v>
      </c>
      <c r="G3789">
        <v>84</v>
      </c>
      <c r="H3789" s="5">
        <v>1.162212840091101E-3</v>
      </c>
      <c r="I3789">
        <v>2</v>
      </c>
      <c r="J3789" t="b">
        <f>AND(CCData[[#This Row],[Date]]&gt;=Calculation!$E$3,CCData[[#This Row],[Date]]&lt;Calculation!$E$3+7)</f>
        <v>0</v>
      </c>
    </row>
    <row r="3790" spans="1:10">
      <c r="A3790" t="s">
        <v>3789</v>
      </c>
      <c r="B3790" s="2">
        <v>42070.665999999997</v>
      </c>
      <c r="C3790" s="3" t="s">
        <v>5003</v>
      </c>
      <c r="D3790" t="s">
        <v>5012</v>
      </c>
      <c r="E3790" t="s">
        <v>5019</v>
      </c>
      <c r="F3790" t="s">
        <v>5019</v>
      </c>
      <c r="G3790" t="s">
        <v>5022</v>
      </c>
      <c r="H3790" s="5" t="s">
        <v>5022</v>
      </c>
      <c r="I3790" t="s">
        <v>5022</v>
      </c>
      <c r="J3790" t="b">
        <f>AND(CCData[[#This Row],[Date]]&gt;=Calculation!$E$3,CCData[[#This Row],[Date]]&lt;Calculation!$E$3+7)</f>
        <v>0</v>
      </c>
    </row>
    <row r="3791" spans="1:10">
      <c r="A3791" t="s">
        <v>3790</v>
      </c>
      <c r="B3791" s="2">
        <v>42070.665999999997</v>
      </c>
      <c r="C3791" s="3" t="s">
        <v>5007</v>
      </c>
      <c r="D3791" t="s">
        <v>5015</v>
      </c>
      <c r="E3791" t="s">
        <v>5019</v>
      </c>
      <c r="F3791" t="s">
        <v>5019</v>
      </c>
      <c r="G3791" t="s">
        <v>5022</v>
      </c>
      <c r="H3791" s="5" t="s">
        <v>5022</v>
      </c>
      <c r="I3791" t="s">
        <v>5022</v>
      </c>
      <c r="J3791" t="b">
        <f>AND(CCData[[#This Row],[Date]]&gt;=Calculation!$E$3,CCData[[#This Row],[Date]]&lt;Calculation!$E$3+7)</f>
        <v>0</v>
      </c>
    </row>
    <row r="3792" spans="1:10">
      <c r="A3792" t="s">
        <v>3791</v>
      </c>
      <c r="B3792" s="2">
        <v>42070.684000000001</v>
      </c>
      <c r="C3792" s="3" t="s">
        <v>5010</v>
      </c>
      <c r="D3792" t="s">
        <v>5015</v>
      </c>
      <c r="E3792" t="s">
        <v>5019</v>
      </c>
      <c r="F3792" t="s">
        <v>5019</v>
      </c>
      <c r="G3792" t="s">
        <v>5022</v>
      </c>
      <c r="H3792" s="5" t="s">
        <v>5022</v>
      </c>
      <c r="I3792" t="s">
        <v>5022</v>
      </c>
      <c r="J3792" t="b">
        <f>AND(CCData[[#This Row],[Date]]&gt;=Calculation!$E$3,CCData[[#This Row],[Date]]&lt;Calculation!$E$3+7)</f>
        <v>0</v>
      </c>
    </row>
    <row r="3793" spans="1:10">
      <c r="A3793" t="s">
        <v>3792</v>
      </c>
      <c r="B3793" s="2">
        <v>42070.684000000001</v>
      </c>
      <c r="C3793" s="3" t="s">
        <v>5006</v>
      </c>
      <c r="D3793" t="s">
        <v>5015</v>
      </c>
      <c r="E3793" t="s">
        <v>5018</v>
      </c>
      <c r="F3793" t="s">
        <v>5019</v>
      </c>
      <c r="G3793">
        <v>56</v>
      </c>
      <c r="H3793" s="5">
        <v>7.7609075531526075E-4</v>
      </c>
      <c r="I3793">
        <v>5</v>
      </c>
      <c r="J3793" t="b">
        <f>AND(CCData[[#This Row],[Date]]&gt;=Calculation!$E$3,CCData[[#This Row],[Date]]&lt;Calculation!$E$3+7)</f>
        <v>0</v>
      </c>
    </row>
    <row r="3794" spans="1:10">
      <c r="A3794" t="s">
        <v>3793</v>
      </c>
      <c r="B3794" s="2">
        <v>42070.697</v>
      </c>
      <c r="C3794" s="3" t="s">
        <v>5003</v>
      </c>
      <c r="D3794" t="s">
        <v>5013</v>
      </c>
      <c r="E3794" t="s">
        <v>5019</v>
      </c>
      <c r="F3794" t="s">
        <v>5019</v>
      </c>
      <c r="G3794" t="s">
        <v>5022</v>
      </c>
      <c r="H3794" s="5" t="s">
        <v>5022</v>
      </c>
      <c r="I3794" t="s">
        <v>5022</v>
      </c>
      <c r="J3794" t="b">
        <f>AND(CCData[[#This Row],[Date]]&gt;=Calculation!$E$3,CCData[[#This Row],[Date]]&lt;Calculation!$E$3+7)</f>
        <v>0</v>
      </c>
    </row>
    <row r="3795" spans="1:10">
      <c r="A3795" t="s">
        <v>3794</v>
      </c>
      <c r="B3795" s="2">
        <v>42070.697</v>
      </c>
      <c r="C3795" s="3" t="s">
        <v>5007</v>
      </c>
      <c r="D3795" t="s">
        <v>5014</v>
      </c>
      <c r="E3795" t="s">
        <v>5018</v>
      </c>
      <c r="F3795" t="s">
        <v>5018</v>
      </c>
      <c r="G3795">
        <v>119</v>
      </c>
      <c r="H3795" s="5">
        <v>4.5058288474487404E-3</v>
      </c>
      <c r="I3795">
        <v>4</v>
      </c>
      <c r="J3795" t="b">
        <f>AND(CCData[[#This Row],[Date]]&gt;=Calculation!$E$3,CCData[[#This Row],[Date]]&lt;Calculation!$E$3+7)</f>
        <v>0</v>
      </c>
    </row>
    <row r="3796" spans="1:10">
      <c r="A3796" t="s">
        <v>3795</v>
      </c>
      <c r="B3796" s="2">
        <v>42070.699000000001</v>
      </c>
      <c r="C3796" s="3" t="s">
        <v>5003</v>
      </c>
      <c r="D3796" t="s">
        <v>5016</v>
      </c>
      <c r="E3796" t="s">
        <v>5018</v>
      </c>
      <c r="F3796" t="s">
        <v>5018</v>
      </c>
      <c r="G3796">
        <v>19</v>
      </c>
      <c r="H3796" s="5">
        <v>1.6602028429859681E-3</v>
      </c>
      <c r="I3796">
        <v>3</v>
      </c>
      <c r="J3796" t="b">
        <f>AND(CCData[[#This Row],[Date]]&gt;=Calculation!$E$3,CCData[[#This Row],[Date]]&lt;Calculation!$E$3+7)</f>
        <v>0</v>
      </c>
    </row>
    <row r="3797" spans="1:10">
      <c r="A3797" t="s">
        <v>3796</v>
      </c>
      <c r="B3797" s="2">
        <v>42070.699000000001</v>
      </c>
      <c r="C3797" s="3" t="s">
        <v>5007</v>
      </c>
      <c r="D3797" t="s">
        <v>5012</v>
      </c>
      <c r="E3797" t="s">
        <v>5018</v>
      </c>
      <c r="F3797" t="s">
        <v>5018</v>
      </c>
      <c r="G3797">
        <v>96</v>
      </c>
      <c r="H3797" s="5">
        <v>3.7125691215899917E-3</v>
      </c>
      <c r="I3797">
        <v>4</v>
      </c>
      <c r="J3797" t="b">
        <f>AND(CCData[[#This Row],[Date]]&gt;=Calculation!$E$3,CCData[[#This Row],[Date]]&lt;Calculation!$E$3+7)</f>
        <v>0</v>
      </c>
    </row>
    <row r="3798" spans="1:10">
      <c r="A3798" t="s">
        <v>3797</v>
      </c>
      <c r="B3798" s="2">
        <v>42070.707000000002</v>
      </c>
      <c r="C3798" s="3" t="s">
        <v>5008</v>
      </c>
      <c r="D3798" t="s">
        <v>5015</v>
      </c>
      <c r="E3798" t="s">
        <v>5018</v>
      </c>
      <c r="F3798" t="s">
        <v>5018</v>
      </c>
      <c r="G3798">
        <v>13</v>
      </c>
      <c r="H3798" s="5">
        <v>1.1231840122128231E-3</v>
      </c>
      <c r="I3798">
        <v>5</v>
      </c>
      <c r="J3798" t="b">
        <f>AND(CCData[[#This Row],[Date]]&gt;=Calculation!$E$3,CCData[[#This Row],[Date]]&lt;Calculation!$E$3+7)</f>
        <v>0</v>
      </c>
    </row>
    <row r="3799" spans="1:10">
      <c r="A3799" t="s">
        <v>3798</v>
      </c>
      <c r="B3799" s="2">
        <v>42070.707000000002</v>
      </c>
      <c r="C3799" s="3" t="s">
        <v>5004</v>
      </c>
      <c r="D3799" t="s">
        <v>5015</v>
      </c>
      <c r="E3799" t="s">
        <v>5018</v>
      </c>
      <c r="F3799" t="s">
        <v>5019</v>
      </c>
      <c r="G3799">
        <v>22</v>
      </c>
      <c r="H3799" s="5">
        <v>4.0411802960708659E-3</v>
      </c>
      <c r="I3799">
        <v>5</v>
      </c>
      <c r="J3799" t="b">
        <f>AND(CCData[[#This Row],[Date]]&gt;=Calculation!$E$3,CCData[[#This Row],[Date]]&lt;Calculation!$E$3+7)</f>
        <v>0</v>
      </c>
    </row>
    <row r="3800" spans="1:10">
      <c r="A3800" t="s">
        <v>3799</v>
      </c>
      <c r="B3800" s="2">
        <v>42070.718999999997</v>
      </c>
      <c r="C3800" s="3" t="s">
        <v>5005</v>
      </c>
      <c r="D3800" t="s">
        <v>5016</v>
      </c>
      <c r="E3800" t="s">
        <v>5019</v>
      </c>
      <c r="F3800" t="s">
        <v>5019</v>
      </c>
      <c r="G3800" t="s">
        <v>5022</v>
      </c>
      <c r="H3800" s="5" t="s">
        <v>5022</v>
      </c>
      <c r="I3800" t="s">
        <v>5022</v>
      </c>
      <c r="J3800" t="b">
        <f>AND(CCData[[#This Row],[Date]]&gt;=Calculation!$E$3,CCData[[#This Row],[Date]]&lt;Calculation!$E$3+7)</f>
        <v>0</v>
      </c>
    </row>
    <row r="3801" spans="1:10">
      <c r="A3801" t="s">
        <v>3800</v>
      </c>
      <c r="B3801" s="2">
        <v>42070.718999999997</v>
      </c>
      <c r="C3801" s="3" t="s">
        <v>5010</v>
      </c>
      <c r="D3801" t="s">
        <v>5013</v>
      </c>
      <c r="E3801" t="s">
        <v>5019</v>
      </c>
      <c r="F3801" t="s">
        <v>5019</v>
      </c>
      <c r="G3801" t="s">
        <v>5022</v>
      </c>
      <c r="H3801" s="5" t="s">
        <v>5022</v>
      </c>
      <c r="I3801" t="s">
        <v>5022</v>
      </c>
      <c r="J3801" t="b">
        <f>AND(CCData[[#This Row],[Date]]&gt;=Calculation!$E$3,CCData[[#This Row],[Date]]&lt;Calculation!$E$3+7)</f>
        <v>0</v>
      </c>
    </row>
    <row r="3802" spans="1:10">
      <c r="A3802" t="s">
        <v>3801</v>
      </c>
      <c r="B3802" s="2">
        <v>42071.38</v>
      </c>
      <c r="C3802" s="3" t="s">
        <v>5010</v>
      </c>
      <c r="D3802" t="s">
        <v>5015</v>
      </c>
      <c r="E3802" t="s">
        <v>5018</v>
      </c>
      <c r="F3802" t="s">
        <v>5018</v>
      </c>
      <c r="G3802">
        <v>43</v>
      </c>
      <c r="H3802" s="5">
        <v>2.3649501314246574E-3</v>
      </c>
      <c r="I3802">
        <v>3</v>
      </c>
      <c r="J3802" t="b">
        <f>AND(CCData[[#This Row],[Date]]&gt;=Calculation!$E$3,CCData[[#This Row],[Date]]&lt;Calculation!$E$3+7)</f>
        <v>0</v>
      </c>
    </row>
    <row r="3803" spans="1:10">
      <c r="A3803" t="s">
        <v>3802</v>
      </c>
      <c r="B3803" s="2">
        <v>42071.38</v>
      </c>
      <c r="C3803" s="3" t="s">
        <v>5009</v>
      </c>
      <c r="D3803" t="s">
        <v>5012</v>
      </c>
      <c r="E3803" t="s">
        <v>5018</v>
      </c>
      <c r="F3803" t="s">
        <v>5018</v>
      </c>
      <c r="G3803">
        <v>39</v>
      </c>
      <c r="H3803" s="5">
        <v>2.7604492721398349E-3</v>
      </c>
      <c r="I3803">
        <v>2</v>
      </c>
      <c r="J3803" t="b">
        <f>AND(CCData[[#This Row],[Date]]&gt;=Calculation!$E$3,CCData[[#This Row],[Date]]&lt;Calculation!$E$3+7)</f>
        <v>0</v>
      </c>
    </row>
    <row r="3804" spans="1:10">
      <c r="A3804" t="s">
        <v>3803</v>
      </c>
      <c r="B3804" s="2">
        <v>42071.415000000001</v>
      </c>
      <c r="C3804" s="3" t="s">
        <v>5003</v>
      </c>
      <c r="D3804" t="s">
        <v>5013</v>
      </c>
      <c r="E3804" t="s">
        <v>5018</v>
      </c>
      <c r="F3804" t="s">
        <v>5018</v>
      </c>
      <c r="G3804">
        <v>26</v>
      </c>
      <c r="H3804" s="5">
        <v>1.1419148654960879E-3</v>
      </c>
      <c r="I3804">
        <v>5</v>
      </c>
      <c r="J3804" t="b">
        <f>AND(CCData[[#This Row],[Date]]&gt;=Calculation!$E$3,CCData[[#This Row],[Date]]&lt;Calculation!$E$3+7)</f>
        <v>0</v>
      </c>
    </row>
    <row r="3805" spans="1:10">
      <c r="A3805" t="s">
        <v>3804</v>
      </c>
      <c r="B3805" s="2">
        <v>42071.415000000001</v>
      </c>
      <c r="C3805" s="3" t="s">
        <v>5004</v>
      </c>
      <c r="D3805" t="s">
        <v>5016</v>
      </c>
      <c r="E3805" t="s">
        <v>5018</v>
      </c>
      <c r="F3805" t="s">
        <v>5018</v>
      </c>
      <c r="G3805">
        <v>27</v>
      </c>
      <c r="H3805" s="5">
        <v>2.9422587383183488E-3</v>
      </c>
      <c r="I3805">
        <v>2</v>
      </c>
      <c r="J3805" t="b">
        <f>AND(CCData[[#This Row],[Date]]&gt;=Calculation!$E$3,CCData[[#This Row],[Date]]&lt;Calculation!$E$3+7)</f>
        <v>0</v>
      </c>
    </row>
    <row r="3806" spans="1:10">
      <c r="A3806" t="s">
        <v>3805</v>
      </c>
      <c r="B3806" s="2">
        <v>42071.434000000001</v>
      </c>
      <c r="C3806" s="3" t="s">
        <v>5003</v>
      </c>
      <c r="D3806" t="s">
        <v>5014</v>
      </c>
      <c r="E3806" t="s">
        <v>5018</v>
      </c>
      <c r="F3806" t="s">
        <v>5018</v>
      </c>
      <c r="G3806">
        <v>72</v>
      </c>
      <c r="H3806" s="5">
        <v>4.8565362649093122E-3</v>
      </c>
      <c r="I3806">
        <v>5</v>
      </c>
      <c r="J3806" t="b">
        <f>AND(CCData[[#This Row],[Date]]&gt;=Calculation!$E$3,CCData[[#This Row],[Date]]&lt;Calculation!$E$3+7)</f>
        <v>0</v>
      </c>
    </row>
    <row r="3807" spans="1:10">
      <c r="A3807" t="s">
        <v>3806</v>
      </c>
      <c r="B3807" s="2">
        <v>42071.434000000001</v>
      </c>
      <c r="C3807" s="3" t="s">
        <v>5010</v>
      </c>
      <c r="D3807" t="s">
        <v>5012</v>
      </c>
      <c r="E3807" t="s">
        <v>5018</v>
      </c>
      <c r="F3807" t="s">
        <v>5018</v>
      </c>
      <c r="G3807">
        <v>77</v>
      </c>
      <c r="H3807" s="5">
        <v>3.5415067890046933E-4</v>
      </c>
      <c r="I3807">
        <v>4</v>
      </c>
      <c r="J3807" t="b">
        <f>AND(CCData[[#This Row],[Date]]&gt;=Calculation!$E$3,CCData[[#This Row],[Date]]&lt;Calculation!$E$3+7)</f>
        <v>0</v>
      </c>
    </row>
    <row r="3808" spans="1:10">
      <c r="A3808" t="s">
        <v>3807</v>
      </c>
      <c r="B3808" s="2">
        <v>42071.436999999998</v>
      </c>
      <c r="C3808" s="3" t="s">
        <v>5009</v>
      </c>
      <c r="D3808" t="s">
        <v>5015</v>
      </c>
      <c r="E3808" t="s">
        <v>5018</v>
      </c>
      <c r="F3808" t="s">
        <v>5018</v>
      </c>
      <c r="G3808">
        <v>119</v>
      </c>
      <c r="H3808" s="5">
        <v>5.9125131453509371E-4</v>
      </c>
      <c r="I3808">
        <v>3</v>
      </c>
      <c r="J3808" t="b">
        <f>AND(CCData[[#This Row],[Date]]&gt;=Calculation!$E$3,CCData[[#This Row],[Date]]&lt;Calculation!$E$3+7)</f>
        <v>0</v>
      </c>
    </row>
    <row r="3809" spans="1:10">
      <c r="A3809" t="s">
        <v>3808</v>
      </c>
      <c r="B3809" s="2">
        <v>42071.436999999998</v>
      </c>
      <c r="C3809" s="3" t="s">
        <v>5003</v>
      </c>
      <c r="D3809" t="s">
        <v>5012</v>
      </c>
      <c r="E3809" t="s">
        <v>5018</v>
      </c>
      <c r="F3809" t="s">
        <v>5018</v>
      </c>
      <c r="G3809">
        <v>30</v>
      </c>
      <c r="H3809" s="5">
        <v>1.3090777399353906E-3</v>
      </c>
      <c r="I3809">
        <v>4</v>
      </c>
      <c r="J3809" t="b">
        <f>AND(CCData[[#This Row],[Date]]&gt;=Calculation!$E$3,CCData[[#This Row],[Date]]&lt;Calculation!$E$3+7)</f>
        <v>0</v>
      </c>
    </row>
    <row r="3810" spans="1:10">
      <c r="A3810" t="s">
        <v>3809</v>
      </c>
      <c r="B3810" s="2">
        <v>42071.442000000003</v>
      </c>
      <c r="C3810" s="3" t="s">
        <v>5004</v>
      </c>
      <c r="D3810" t="s">
        <v>5014</v>
      </c>
      <c r="E3810" t="s">
        <v>5018</v>
      </c>
      <c r="F3810" t="s">
        <v>5018</v>
      </c>
      <c r="G3810">
        <v>112</v>
      </c>
      <c r="H3810" s="5">
        <v>2.6163613128638171E-3</v>
      </c>
      <c r="I3810">
        <v>4</v>
      </c>
      <c r="J3810" t="b">
        <f>AND(CCData[[#This Row],[Date]]&gt;=Calculation!$E$3,CCData[[#This Row],[Date]]&lt;Calculation!$E$3+7)</f>
        <v>0</v>
      </c>
    </row>
    <row r="3811" spans="1:10">
      <c r="A3811" t="s">
        <v>3810</v>
      </c>
      <c r="B3811" s="2">
        <v>42071.442000000003</v>
      </c>
      <c r="C3811" s="3" t="s">
        <v>5007</v>
      </c>
      <c r="D3811" t="s">
        <v>5015</v>
      </c>
      <c r="E3811" t="s">
        <v>5018</v>
      </c>
      <c r="F3811" t="s">
        <v>5018</v>
      </c>
      <c r="G3811">
        <v>34</v>
      </c>
      <c r="H3811" s="5">
        <v>3.669984397810187E-3</v>
      </c>
      <c r="I3811">
        <v>2</v>
      </c>
      <c r="J3811" t="b">
        <f>AND(CCData[[#This Row],[Date]]&gt;=Calculation!$E$3,CCData[[#This Row],[Date]]&lt;Calculation!$E$3+7)</f>
        <v>0</v>
      </c>
    </row>
    <row r="3812" spans="1:10">
      <c r="A3812" t="s">
        <v>3811</v>
      </c>
      <c r="B3812" s="2">
        <v>42071.472000000002</v>
      </c>
      <c r="C3812" s="3" t="s">
        <v>5006</v>
      </c>
      <c r="D3812" t="s">
        <v>5013</v>
      </c>
      <c r="E3812" t="s">
        <v>5018</v>
      </c>
      <c r="F3812" t="s">
        <v>5018</v>
      </c>
      <c r="G3812">
        <v>99</v>
      </c>
      <c r="H3812" s="5">
        <v>9.8794521682135455E-4</v>
      </c>
      <c r="I3812">
        <v>3</v>
      </c>
      <c r="J3812" t="b">
        <f>AND(CCData[[#This Row],[Date]]&gt;=Calculation!$E$3,CCData[[#This Row],[Date]]&lt;Calculation!$E$3+7)</f>
        <v>0</v>
      </c>
    </row>
    <row r="3813" spans="1:10">
      <c r="A3813" t="s">
        <v>3812</v>
      </c>
      <c r="B3813" s="2">
        <v>42071.472000000002</v>
      </c>
      <c r="C3813" s="3" t="s">
        <v>5006</v>
      </c>
      <c r="D3813" t="s">
        <v>5015</v>
      </c>
      <c r="E3813" t="s">
        <v>5019</v>
      </c>
      <c r="F3813" t="s">
        <v>5019</v>
      </c>
      <c r="G3813" t="s">
        <v>5022</v>
      </c>
      <c r="H3813" s="5" t="s">
        <v>5022</v>
      </c>
      <c r="I3813" t="s">
        <v>5022</v>
      </c>
      <c r="J3813" t="b">
        <f>AND(CCData[[#This Row],[Date]]&gt;=Calculation!$E$3,CCData[[#This Row],[Date]]&lt;Calculation!$E$3+7)</f>
        <v>0</v>
      </c>
    </row>
    <row r="3814" spans="1:10">
      <c r="A3814" t="s">
        <v>3813</v>
      </c>
      <c r="B3814" s="2">
        <v>42071.474000000002</v>
      </c>
      <c r="C3814" s="3" t="s">
        <v>5007</v>
      </c>
      <c r="D3814" t="s">
        <v>5015</v>
      </c>
      <c r="E3814" t="s">
        <v>5018</v>
      </c>
      <c r="F3814" t="s">
        <v>5018</v>
      </c>
      <c r="G3814">
        <v>40</v>
      </c>
      <c r="H3814" s="5">
        <v>1.9407556580930477E-3</v>
      </c>
      <c r="I3814">
        <v>4</v>
      </c>
      <c r="J3814" t="b">
        <f>AND(CCData[[#This Row],[Date]]&gt;=Calculation!$E$3,CCData[[#This Row],[Date]]&lt;Calculation!$E$3+7)</f>
        <v>0</v>
      </c>
    </row>
    <row r="3815" spans="1:10">
      <c r="A3815" t="s">
        <v>3814</v>
      </c>
      <c r="B3815" s="2">
        <v>42071.474000000002</v>
      </c>
      <c r="C3815" s="3" t="s">
        <v>5009</v>
      </c>
      <c r="D3815" t="s">
        <v>5016</v>
      </c>
      <c r="E3815" t="s">
        <v>5018</v>
      </c>
      <c r="F3815" t="s">
        <v>5018</v>
      </c>
      <c r="G3815">
        <v>55</v>
      </c>
      <c r="H3815" s="5">
        <v>2.2959002749951976E-3</v>
      </c>
      <c r="I3815">
        <v>3</v>
      </c>
      <c r="J3815" t="b">
        <f>AND(CCData[[#This Row],[Date]]&gt;=Calculation!$E$3,CCData[[#This Row],[Date]]&lt;Calculation!$E$3+7)</f>
        <v>0</v>
      </c>
    </row>
    <row r="3816" spans="1:10">
      <c r="A3816" t="s">
        <v>3815</v>
      </c>
      <c r="B3816" s="2">
        <v>42071.516000000003</v>
      </c>
      <c r="C3816" s="3" t="s">
        <v>5006</v>
      </c>
      <c r="D3816" t="s">
        <v>5015</v>
      </c>
      <c r="E3816" t="s">
        <v>5018</v>
      </c>
      <c r="F3816" t="s">
        <v>5018</v>
      </c>
      <c r="G3816">
        <v>79</v>
      </c>
      <c r="H3816" s="5">
        <v>9.8108609026908728E-4</v>
      </c>
      <c r="I3816">
        <v>3</v>
      </c>
      <c r="J3816" t="b">
        <f>AND(CCData[[#This Row],[Date]]&gt;=Calculation!$E$3,CCData[[#This Row],[Date]]&lt;Calculation!$E$3+7)</f>
        <v>0</v>
      </c>
    </row>
    <row r="3817" spans="1:10">
      <c r="A3817" t="s">
        <v>3816</v>
      </c>
      <c r="B3817" s="2">
        <v>42071.516000000003</v>
      </c>
      <c r="C3817" s="3" t="s">
        <v>5006</v>
      </c>
      <c r="D3817" t="s">
        <v>5013</v>
      </c>
      <c r="E3817" t="s">
        <v>5018</v>
      </c>
      <c r="F3817" t="s">
        <v>5018</v>
      </c>
      <c r="G3817">
        <v>67</v>
      </c>
      <c r="H3817" s="5">
        <v>2.6760753630065406E-3</v>
      </c>
      <c r="I3817">
        <v>3</v>
      </c>
      <c r="J3817" t="b">
        <f>AND(CCData[[#This Row],[Date]]&gt;=Calculation!$E$3,CCData[[#This Row],[Date]]&lt;Calculation!$E$3+7)</f>
        <v>0</v>
      </c>
    </row>
    <row r="3818" spans="1:10">
      <c r="A3818" t="s">
        <v>3817</v>
      </c>
      <c r="B3818" s="2">
        <v>42071.517999999996</v>
      </c>
      <c r="C3818" s="3" t="s">
        <v>5005</v>
      </c>
      <c r="D3818" t="s">
        <v>5015</v>
      </c>
      <c r="E3818" t="s">
        <v>5018</v>
      </c>
      <c r="F3818" t="s">
        <v>5018</v>
      </c>
      <c r="G3818">
        <v>68</v>
      </c>
      <c r="H3818" s="5">
        <v>7.7977489992885312E-4</v>
      </c>
      <c r="I3818">
        <v>4</v>
      </c>
      <c r="J3818" t="b">
        <f>AND(CCData[[#This Row],[Date]]&gt;=Calculation!$E$3,CCData[[#This Row],[Date]]&lt;Calculation!$E$3+7)</f>
        <v>0</v>
      </c>
    </row>
    <row r="3819" spans="1:10">
      <c r="A3819" t="s">
        <v>3818</v>
      </c>
      <c r="B3819" s="2">
        <v>42071.517999999996</v>
      </c>
      <c r="C3819" s="3" t="s">
        <v>5008</v>
      </c>
      <c r="D3819" t="s">
        <v>5016</v>
      </c>
      <c r="E3819" t="s">
        <v>5018</v>
      </c>
      <c r="F3819" t="s">
        <v>5019</v>
      </c>
      <c r="G3819">
        <v>69</v>
      </c>
      <c r="H3819" s="5">
        <v>4.4861322165248548E-3</v>
      </c>
      <c r="I3819">
        <v>5</v>
      </c>
      <c r="J3819" t="b">
        <f>AND(CCData[[#This Row],[Date]]&gt;=Calculation!$E$3,CCData[[#This Row],[Date]]&lt;Calculation!$E$3+7)</f>
        <v>0</v>
      </c>
    </row>
    <row r="3820" spans="1:10">
      <c r="A3820" t="s">
        <v>3819</v>
      </c>
      <c r="B3820" s="2">
        <v>42071.546999999999</v>
      </c>
      <c r="C3820" s="3" t="s">
        <v>5010</v>
      </c>
      <c r="D3820" t="s">
        <v>5013</v>
      </c>
      <c r="E3820" t="s">
        <v>5019</v>
      </c>
      <c r="F3820" t="s">
        <v>5019</v>
      </c>
      <c r="G3820" t="s">
        <v>5022</v>
      </c>
      <c r="H3820" s="5" t="s">
        <v>5022</v>
      </c>
      <c r="I3820" t="s">
        <v>5022</v>
      </c>
      <c r="J3820" t="b">
        <f>AND(CCData[[#This Row],[Date]]&gt;=Calculation!$E$3,CCData[[#This Row],[Date]]&lt;Calculation!$E$3+7)</f>
        <v>0</v>
      </c>
    </row>
    <row r="3821" spans="1:10">
      <c r="A3821" t="s">
        <v>3820</v>
      </c>
      <c r="B3821" s="2">
        <v>42071.546999999999</v>
      </c>
      <c r="C3821" s="3" t="s">
        <v>5010</v>
      </c>
      <c r="D3821" t="s">
        <v>5014</v>
      </c>
      <c r="E3821" t="s">
        <v>5018</v>
      </c>
      <c r="F3821" t="s">
        <v>5018</v>
      </c>
      <c r="G3821">
        <v>29</v>
      </c>
      <c r="H3821" s="5">
        <v>1.7986073622721754E-3</v>
      </c>
      <c r="I3821">
        <v>3</v>
      </c>
      <c r="J3821" t="b">
        <f>AND(CCData[[#This Row],[Date]]&gt;=Calculation!$E$3,CCData[[#This Row],[Date]]&lt;Calculation!$E$3+7)</f>
        <v>0</v>
      </c>
    </row>
    <row r="3822" spans="1:10">
      <c r="A3822" t="s">
        <v>3821</v>
      </c>
      <c r="B3822" s="2">
        <v>42071.548999999999</v>
      </c>
      <c r="C3822" s="3" t="s">
        <v>5010</v>
      </c>
      <c r="D3822" t="s">
        <v>5013</v>
      </c>
      <c r="E3822" t="s">
        <v>5018</v>
      </c>
      <c r="F3822" t="s">
        <v>5019</v>
      </c>
      <c r="G3822">
        <v>62</v>
      </c>
      <c r="H3822" s="5">
        <v>3.7222986407864449E-3</v>
      </c>
      <c r="I3822">
        <v>3</v>
      </c>
      <c r="J3822" t="b">
        <f>AND(CCData[[#This Row],[Date]]&gt;=Calculation!$E$3,CCData[[#This Row],[Date]]&lt;Calculation!$E$3+7)</f>
        <v>0</v>
      </c>
    </row>
    <row r="3823" spans="1:10">
      <c r="A3823" t="s">
        <v>3822</v>
      </c>
      <c r="B3823" s="2">
        <v>42071.548999999999</v>
      </c>
      <c r="C3823" s="3" t="s">
        <v>5005</v>
      </c>
      <c r="D3823" t="s">
        <v>5014</v>
      </c>
      <c r="E3823" t="s">
        <v>5018</v>
      </c>
      <c r="F3823" t="s">
        <v>5018</v>
      </c>
      <c r="G3823">
        <v>109</v>
      </c>
      <c r="H3823" s="5">
        <v>3.6970668367749824E-3</v>
      </c>
      <c r="I3823">
        <v>4</v>
      </c>
      <c r="J3823" t="b">
        <f>AND(CCData[[#This Row],[Date]]&gt;=Calculation!$E$3,CCData[[#This Row],[Date]]&lt;Calculation!$E$3+7)</f>
        <v>0</v>
      </c>
    </row>
    <row r="3824" spans="1:10">
      <c r="A3824" t="s">
        <v>3823</v>
      </c>
      <c r="B3824" s="2">
        <v>42071.565000000002</v>
      </c>
      <c r="C3824" s="3" t="s">
        <v>5009</v>
      </c>
      <c r="D3824" t="s">
        <v>5014</v>
      </c>
      <c r="E3824" t="s">
        <v>5018</v>
      </c>
      <c r="F3824" t="s">
        <v>5018</v>
      </c>
      <c r="G3824">
        <v>59</v>
      </c>
      <c r="H3824" s="5">
        <v>3.1274240602386693E-3</v>
      </c>
      <c r="I3824">
        <v>3</v>
      </c>
      <c r="J3824" t="b">
        <f>AND(CCData[[#This Row],[Date]]&gt;=Calculation!$E$3,CCData[[#This Row],[Date]]&lt;Calculation!$E$3+7)</f>
        <v>0</v>
      </c>
    </row>
    <row r="3825" spans="1:10">
      <c r="A3825" t="s">
        <v>3824</v>
      </c>
      <c r="B3825" s="2">
        <v>42071.565000000002</v>
      </c>
      <c r="C3825" s="3" t="s">
        <v>5008</v>
      </c>
      <c r="D3825" t="s">
        <v>5013</v>
      </c>
      <c r="E3825" t="s">
        <v>5018</v>
      </c>
      <c r="F3825" t="s">
        <v>5018</v>
      </c>
      <c r="G3825">
        <v>51</v>
      </c>
      <c r="H3825" s="5">
        <v>2.0928709946734609E-3</v>
      </c>
      <c r="I3825">
        <v>4</v>
      </c>
      <c r="J3825" t="b">
        <f>AND(CCData[[#This Row],[Date]]&gt;=Calculation!$E$3,CCData[[#This Row],[Date]]&lt;Calculation!$E$3+7)</f>
        <v>0</v>
      </c>
    </row>
    <row r="3826" spans="1:10">
      <c r="A3826" t="s">
        <v>3825</v>
      </c>
      <c r="B3826" s="2">
        <v>42071.574000000001</v>
      </c>
      <c r="C3826" s="3" t="s">
        <v>5006</v>
      </c>
      <c r="D3826" t="s">
        <v>5016</v>
      </c>
      <c r="E3826" t="s">
        <v>5018</v>
      </c>
      <c r="F3826" t="s">
        <v>5018</v>
      </c>
      <c r="G3826">
        <v>11</v>
      </c>
      <c r="H3826" s="5">
        <v>3.7229187009547686E-3</v>
      </c>
      <c r="I3826">
        <v>4</v>
      </c>
      <c r="J3826" t="b">
        <f>AND(CCData[[#This Row],[Date]]&gt;=Calculation!$E$3,CCData[[#This Row],[Date]]&lt;Calculation!$E$3+7)</f>
        <v>0</v>
      </c>
    </row>
    <row r="3827" spans="1:10">
      <c r="A3827" t="s">
        <v>3826</v>
      </c>
      <c r="B3827" s="2">
        <v>42071.574000000001</v>
      </c>
      <c r="C3827" s="3" t="s">
        <v>5005</v>
      </c>
      <c r="D3827" t="s">
        <v>5015</v>
      </c>
      <c r="E3827" t="s">
        <v>5019</v>
      </c>
      <c r="F3827" t="s">
        <v>5019</v>
      </c>
      <c r="G3827" t="s">
        <v>5022</v>
      </c>
      <c r="H3827" s="5" t="s">
        <v>5022</v>
      </c>
      <c r="I3827" t="s">
        <v>5022</v>
      </c>
      <c r="J3827" t="b">
        <f>AND(CCData[[#This Row],[Date]]&gt;=Calculation!$E$3,CCData[[#This Row],[Date]]&lt;Calculation!$E$3+7)</f>
        <v>0</v>
      </c>
    </row>
    <row r="3828" spans="1:10">
      <c r="A3828" t="s">
        <v>3827</v>
      </c>
      <c r="B3828" s="2">
        <v>42071.576999999997</v>
      </c>
      <c r="C3828" s="3" t="s">
        <v>5008</v>
      </c>
      <c r="D3828" t="s">
        <v>5014</v>
      </c>
      <c r="E3828" t="s">
        <v>5018</v>
      </c>
      <c r="F3828" t="s">
        <v>5018</v>
      </c>
      <c r="G3828">
        <v>44</v>
      </c>
      <c r="H3828" s="5">
        <v>2.3792330322791083E-3</v>
      </c>
      <c r="I3828">
        <v>4</v>
      </c>
      <c r="J3828" t="b">
        <f>AND(CCData[[#This Row],[Date]]&gt;=Calculation!$E$3,CCData[[#This Row],[Date]]&lt;Calculation!$E$3+7)</f>
        <v>0</v>
      </c>
    </row>
    <row r="3829" spans="1:10">
      <c r="A3829" t="s">
        <v>3828</v>
      </c>
      <c r="B3829" s="2">
        <v>42071.576999999997</v>
      </c>
      <c r="C3829" s="3" t="s">
        <v>5005</v>
      </c>
      <c r="D3829" t="s">
        <v>5014</v>
      </c>
      <c r="E3829" t="s">
        <v>5018</v>
      </c>
      <c r="F3829" t="s">
        <v>5018</v>
      </c>
      <c r="G3829">
        <v>35</v>
      </c>
      <c r="H3829" s="5">
        <v>2.7356971747298643E-3</v>
      </c>
      <c r="I3829">
        <v>2</v>
      </c>
      <c r="J3829" t="b">
        <f>AND(CCData[[#This Row],[Date]]&gt;=Calculation!$E$3,CCData[[#This Row],[Date]]&lt;Calculation!$E$3+7)</f>
        <v>0</v>
      </c>
    </row>
    <row r="3830" spans="1:10">
      <c r="A3830" t="s">
        <v>3829</v>
      </c>
      <c r="B3830" s="2">
        <v>42071.58</v>
      </c>
      <c r="C3830" s="3" t="s">
        <v>5004</v>
      </c>
      <c r="D3830" t="s">
        <v>5016</v>
      </c>
      <c r="E3830" t="s">
        <v>5018</v>
      </c>
      <c r="F3830" t="s">
        <v>5018</v>
      </c>
      <c r="G3830">
        <v>17</v>
      </c>
      <c r="H3830" s="5">
        <v>2.5243561258290349E-3</v>
      </c>
      <c r="I3830">
        <v>1</v>
      </c>
      <c r="J3830" t="b">
        <f>AND(CCData[[#This Row],[Date]]&gt;=Calculation!$E$3,CCData[[#This Row],[Date]]&lt;Calculation!$E$3+7)</f>
        <v>0</v>
      </c>
    </row>
    <row r="3831" spans="1:10">
      <c r="A3831" t="s">
        <v>3830</v>
      </c>
      <c r="B3831" s="2">
        <v>42071.58</v>
      </c>
      <c r="C3831" s="3" t="s">
        <v>5010</v>
      </c>
      <c r="D3831" t="s">
        <v>5016</v>
      </c>
      <c r="E3831" t="s">
        <v>5018</v>
      </c>
      <c r="F3831" t="s">
        <v>5018</v>
      </c>
      <c r="G3831">
        <v>105</v>
      </c>
      <c r="H3831" s="5">
        <v>4.2566430345907869E-3</v>
      </c>
      <c r="I3831">
        <v>4</v>
      </c>
      <c r="J3831" t="b">
        <f>AND(CCData[[#This Row],[Date]]&gt;=Calculation!$E$3,CCData[[#This Row],[Date]]&lt;Calculation!$E$3+7)</f>
        <v>0</v>
      </c>
    </row>
    <row r="3832" spans="1:10">
      <c r="A3832" t="s">
        <v>3831</v>
      </c>
      <c r="B3832" s="2">
        <v>42071.608</v>
      </c>
      <c r="C3832" s="3" t="s">
        <v>5003</v>
      </c>
      <c r="D3832" t="s">
        <v>5016</v>
      </c>
      <c r="E3832" t="s">
        <v>5019</v>
      </c>
      <c r="F3832" t="s">
        <v>5019</v>
      </c>
      <c r="G3832" t="s">
        <v>5022</v>
      </c>
      <c r="H3832" s="5" t="s">
        <v>5022</v>
      </c>
      <c r="I3832" t="s">
        <v>5022</v>
      </c>
      <c r="J3832" t="b">
        <f>AND(CCData[[#This Row],[Date]]&gt;=Calculation!$E$3,CCData[[#This Row],[Date]]&lt;Calculation!$E$3+7)</f>
        <v>0</v>
      </c>
    </row>
    <row r="3833" spans="1:10">
      <c r="A3833" t="s">
        <v>3832</v>
      </c>
      <c r="B3833" s="2">
        <v>42071.608</v>
      </c>
      <c r="C3833" s="3" t="s">
        <v>5006</v>
      </c>
      <c r="D3833" t="s">
        <v>5013</v>
      </c>
      <c r="E3833" t="s">
        <v>5019</v>
      </c>
      <c r="F3833" t="s">
        <v>5019</v>
      </c>
      <c r="G3833" t="s">
        <v>5022</v>
      </c>
      <c r="H3833" s="5" t="s">
        <v>5022</v>
      </c>
      <c r="I3833" t="s">
        <v>5022</v>
      </c>
      <c r="J3833" t="b">
        <f>AND(CCData[[#This Row],[Date]]&gt;=Calculation!$E$3,CCData[[#This Row],[Date]]&lt;Calculation!$E$3+7)</f>
        <v>0</v>
      </c>
    </row>
    <row r="3834" spans="1:10">
      <c r="A3834" t="s">
        <v>3833</v>
      </c>
      <c r="B3834" s="2">
        <v>42071.625</v>
      </c>
      <c r="C3834" s="3" t="s">
        <v>5003</v>
      </c>
      <c r="D3834" t="s">
        <v>5015</v>
      </c>
      <c r="E3834" t="s">
        <v>5018</v>
      </c>
      <c r="F3834" t="s">
        <v>5018</v>
      </c>
      <c r="G3834">
        <v>10</v>
      </c>
      <c r="H3834" s="5">
        <v>3.9057947806128766E-4</v>
      </c>
      <c r="I3834">
        <v>5</v>
      </c>
      <c r="J3834" t="b">
        <f>AND(CCData[[#This Row],[Date]]&gt;=Calculation!$E$3,CCData[[#This Row],[Date]]&lt;Calculation!$E$3+7)</f>
        <v>0</v>
      </c>
    </row>
    <row r="3835" spans="1:10">
      <c r="A3835" t="s">
        <v>3834</v>
      </c>
      <c r="B3835" s="2">
        <v>42071.625</v>
      </c>
      <c r="C3835" s="3" t="s">
        <v>5004</v>
      </c>
      <c r="D3835" t="s">
        <v>5014</v>
      </c>
      <c r="E3835" t="s">
        <v>5018</v>
      </c>
      <c r="F3835" t="s">
        <v>5018</v>
      </c>
      <c r="G3835">
        <v>110</v>
      </c>
      <c r="H3835" s="5">
        <v>1.3140577987182385E-3</v>
      </c>
      <c r="I3835">
        <v>3</v>
      </c>
      <c r="J3835" t="b">
        <f>AND(CCData[[#This Row],[Date]]&gt;=Calculation!$E$3,CCData[[#This Row],[Date]]&lt;Calculation!$E$3+7)</f>
        <v>0</v>
      </c>
    </row>
    <row r="3836" spans="1:10">
      <c r="A3836" t="s">
        <v>3835</v>
      </c>
      <c r="B3836" s="2">
        <v>42071.627999999997</v>
      </c>
      <c r="C3836" s="3" t="s">
        <v>5006</v>
      </c>
      <c r="D3836" t="s">
        <v>5014</v>
      </c>
      <c r="E3836" t="s">
        <v>5018</v>
      </c>
      <c r="F3836" t="s">
        <v>5018</v>
      </c>
      <c r="G3836">
        <v>41</v>
      </c>
      <c r="H3836" s="5">
        <v>8.3955643053616443E-4</v>
      </c>
      <c r="I3836">
        <v>5</v>
      </c>
      <c r="J3836" t="b">
        <f>AND(CCData[[#This Row],[Date]]&gt;=Calculation!$E$3,CCData[[#This Row],[Date]]&lt;Calculation!$E$3+7)</f>
        <v>0</v>
      </c>
    </row>
    <row r="3837" spans="1:10">
      <c r="A3837" t="s">
        <v>3836</v>
      </c>
      <c r="B3837" s="2">
        <v>42071.627999999997</v>
      </c>
      <c r="C3837" s="3" t="s">
        <v>5005</v>
      </c>
      <c r="D3837" t="s">
        <v>5012</v>
      </c>
      <c r="E3837" t="s">
        <v>5018</v>
      </c>
      <c r="F3837" t="s">
        <v>5018</v>
      </c>
      <c r="G3837">
        <v>46</v>
      </c>
      <c r="H3837" s="5">
        <v>1.7390302307690355E-3</v>
      </c>
      <c r="I3837">
        <v>4</v>
      </c>
      <c r="J3837" t="b">
        <f>AND(CCData[[#This Row],[Date]]&gt;=Calculation!$E$3,CCData[[#This Row],[Date]]&lt;Calculation!$E$3+7)</f>
        <v>0</v>
      </c>
    </row>
    <row r="3838" spans="1:10">
      <c r="A3838" t="s">
        <v>3837</v>
      </c>
      <c r="B3838" s="2">
        <v>42071.642999999996</v>
      </c>
      <c r="C3838" s="3" t="s">
        <v>5009</v>
      </c>
      <c r="D3838" t="s">
        <v>5015</v>
      </c>
      <c r="E3838" t="s">
        <v>5018</v>
      </c>
      <c r="F3838" t="s">
        <v>5018</v>
      </c>
      <c r="G3838">
        <v>109</v>
      </c>
      <c r="H3838" s="5">
        <v>2.1045829887188917E-3</v>
      </c>
      <c r="I3838">
        <v>3</v>
      </c>
      <c r="J3838" t="b">
        <f>AND(CCData[[#This Row],[Date]]&gt;=Calculation!$E$3,CCData[[#This Row],[Date]]&lt;Calculation!$E$3+7)</f>
        <v>0</v>
      </c>
    </row>
    <row r="3839" spans="1:10">
      <c r="A3839" t="s">
        <v>3838</v>
      </c>
      <c r="B3839" s="2">
        <v>42071.642999999996</v>
      </c>
      <c r="C3839" s="3" t="s">
        <v>5004</v>
      </c>
      <c r="D3839" t="s">
        <v>5013</v>
      </c>
      <c r="E3839" t="s">
        <v>5018</v>
      </c>
      <c r="F3839" t="s">
        <v>5018</v>
      </c>
      <c r="G3839">
        <v>18</v>
      </c>
      <c r="H3839" s="5">
        <v>2.0659734130947867E-3</v>
      </c>
      <c r="I3839">
        <v>5</v>
      </c>
      <c r="J3839" t="b">
        <f>AND(CCData[[#This Row],[Date]]&gt;=Calculation!$E$3,CCData[[#This Row],[Date]]&lt;Calculation!$E$3+7)</f>
        <v>0</v>
      </c>
    </row>
    <row r="3840" spans="1:10">
      <c r="A3840" t="s">
        <v>3839</v>
      </c>
      <c r="B3840" s="2">
        <v>42071.652999999998</v>
      </c>
      <c r="C3840" s="3" t="s">
        <v>5004</v>
      </c>
      <c r="D3840" t="s">
        <v>5014</v>
      </c>
      <c r="E3840" t="s">
        <v>5018</v>
      </c>
      <c r="F3840" t="s">
        <v>5018</v>
      </c>
      <c r="G3840">
        <v>61</v>
      </c>
      <c r="H3840" s="5">
        <v>1.6357294040848429E-3</v>
      </c>
      <c r="I3840">
        <v>4</v>
      </c>
      <c r="J3840" t="b">
        <f>AND(CCData[[#This Row],[Date]]&gt;=Calculation!$E$3,CCData[[#This Row],[Date]]&lt;Calculation!$E$3+7)</f>
        <v>0</v>
      </c>
    </row>
    <row r="3841" spans="1:10">
      <c r="A3841" t="s">
        <v>3840</v>
      </c>
      <c r="B3841" s="2">
        <v>42071.652999999998</v>
      </c>
      <c r="C3841" s="3" t="s">
        <v>5010</v>
      </c>
      <c r="D3841" t="s">
        <v>5016</v>
      </c>
      <c r="E3841" t="s">
        <v>5018</v>
      </c>
      <c r="F3841" t="s">
        <v>5019</v>
      </c>
      <c r="G3841">
        <v>42</v>
      </c>
      <c r="H3841" s="5">
        <v>2.8366008237913631E-3</v>
      </c>
      <c r="I3841">
        <v>3</v>
      </c>
      <c r="J3841" t="b">
        <f>AND(CCData[[#This Row],[Date]]&gt;=Calculation!$E$3,CCData[[#This Row],[Date]]&lt;Calculation!$E$3+7)</f>
        <v>0</v>
      </c>
    </row>
    <row r="3842" spans="1:10">
      <c r="A3842" t="s">
        <v>3841</v>
      </c>
      <c r="B3842" s="2">
        <v>42071.692999999999</v>
      </c>
      <c r="C3842" s="3" t="s">
        <v>5003</v>
      </c>
      <c r="D3842" t="s">
        <v>5014</v>
      </c>
      <c r="E3842" t="s">
        <v>5018</v>
      </c>
      <c r="F3842" t="s">
        <v>5018</v>
      </c>
      <c r="G3842">
        <v>105</v>
      </c>
      <c r="H3842" s="5">
        <v>3.650128405016309E-3</v>
      </c>
      <c r="I3842">
        <v>3</v>
      </c>
      <c r="J3842" t="b">
        <f>AND(CCData[[#This Row],[Date]]&gt;=Calculation!$E$3,CCData[[#This Row],[Date]]&lt;Calculation!$E$3+7)</f>
        <v>0</v>
      </c>
    </row>
    <row r="3843" spans="1:10">
      <c r="A3843" t="s">
        <v>3842</v>
      </c>
      <c r="B3843" s="2">
        <v>42071.692999999999</v>
      </c>
      <c r="C3843" s="3" t="s">
        <v>5009</v>
      </c>
      <c r="D3843" t="s">
        <v>5015</v>
      </c>
      <c r="E3843" t="s">
        <v>5018</v>
      </c>
      <c r="F3843" t="s">
        <v>5018</v>
      </c>
      <c r="G3843">
        <v>85</v>
      </c>
      <c r="H3843" s="5">
        <v>3.9489818180247187E-4</v>
      </c>
      <c r="I3843">
        <v>3</v>
      </c>
      <c r="J3843" t="b">
        <f>AND(CCData[[#This Row],[Date]]&gt;=Calculation!$E$3,CCData[[#This Row],[Date]]&lt;Calculation!$E$3+7)</f>
        <v>0</v>
      </c>
    </row>
    <row r="3844" spans="1:10">
      <c r="A3844" t="s">
        <v>3843</v>
      </c>
      <c r="B3844" s="2">
        <v>42071.709000000003</v>
      </c>
      <c r="C3844" s="3" t="s">
        <v>5004</v>
      </c>
      <c r="D3844" t="s">
        <v>5012</v>
      </c>
      <c r="E3844" t="s">
        <v>5018</v>
      </c>
      <c r="F3844" t="s">
        <v>5019</v>
      </c>
      <c r="G3844">
        <v>95</v>
      </c>
      <c r="H3844" s="5">
        <v>3.5273798816542784E-3</v>
      </c>
      <c r="I3844">
        <v>3</v>
      </c>
      <c r="J3844" t="b">
        <f>AND(CCData[[#This Row],[Date]]&gt;=Calculation!$E$3,CCData[[#This Row],[Date]]&lt;Calculation!$E$3+7)</f>
        <v>0</v>
      </c>
    </row>
    <row r="3845" spans="1:10">
      <c r="A3845" t="s">
        <v>3844</v>
      </c>
      <c r="B3845" s="2">
        <v>42071.709000000003</v>
      </c>
      <c r="C3845" s="3" t="s">
        <v>5010</v>
      </c>
      <c r="D3845" t="s">
        <v>5014</v>
      </c>
      <c r="E3845" t="s">
        <v>5018</v>
      </c>
      <c r="F3845" t="s">
        <v>5018</v>
      </c>
      <c r="G3845">
        <v>71</v>
      </c>
      <c r="H3845" s="5">
        <v>6.8998909049428634E-4</v>
      </c>
      <c r="I3845">
        <v>5</v>
      </c>
      <c r="J3845" t="b">
        <f>AND(CCData[[#This Row],[Date]]&gt;=Calculation!$E$3,CCData[[#This Row],[Date]]&lt;Calculation!$E$3+7)</f>
        <v>0</v>
      </c>
    </row>
    <row r="3846" spans="1:10">
      <c r="A3846" t="s">
        <v>3845</v>
      </c>
      <c r="B3846" s="2">
        <v>42071.73</v>
      </c>
      <c r="C3846" s="3" t="s">
        <v>5006</v>
      </c>
      <c r="D3846" t="s">
        <v>5014</v>
      </c>
      <c r="E3846" t="s">
        <v>5018</v>
      </c>
      <c r="F3846" t="s">
        <v>5018</v>
      </c>
      <c r="G3846">
        <v>15</v>
      </c>
      <c r="H3846" s="5">
        <v>3.3753097144406628E-3</v>
      </c>
      <c r="I3846">
        <v>3</v>
      </c>
      <c r="J3846" t="b">
        <f>AND(CCData[[#This Row],[Date]]&gt;=Calculation!$E$3,CCData[[#This Row],[Date]]&lt;Calculation!$E$3+7)</f>
        <v>0</v>
      </c>
    </row>
    <row r="3847" spans="1:10">
      <c r="A3847" t="s">
        <v>3846</v>
      </c>
      <c r="B3847" s="2">
        <v>42071.73</v>
      </c>
      <c r="C3847" s="3" t="s">
        <v>5004</v>
      </c>
      <c r="D3847" t="s">
        <v>5015</v>
      </c>
      <c r="E3847" t="s">
        <v>5018</v>
      </c>
      <c r="F3847" t="s">
        <v>5018</v>
      </c>
      <c r="G3847">
        <v>21</v>
      </c>
      <c r="H3847" s="5">
        <v>1.9816649265803673E-3</v>
      </c>
      <c r="I3847">
        <v>5</v>
      </c>
      <c r="J3847" t="b">
        <f>AND(CCData[[#This Row],[Date]]&gt;=Calculation!$E$3,CCData[[#This Row],[Date]]&lt;Calculation!$E$3+7)</f>
        <v>0</v>
      </c>
    </row>
    <row r="3848" spans="1:10">
      <c r="A3848" t="s">
        <v>3847</v>
      </c>
      <c r="B3848" s="2">
        <v>42071.735000000001</v>
      </c>
      <c r="C3848" s="3" t="s">
        <v>5003</v>
      </c>
      <c r="D3848" t="s">
        <v>5016</v>
      </c>
      <c r="E3848" t="s">
        <v>5018</v>
      </c>
      <c r="F3848" t="s">
        <v>5019</v>
      </c>
      <c r="G3848">
        <v>123</v>
      </c>
      <c r="H3848" s="5">
        <v>1.4224366557222777E-3</v>
      </c>
      <c r="I3848">
        <v>4</v>
      </c>
      <c r="J3848" t="b">
        <f>AND(CCData[[#This Row],[Date]]&gt;=Calculation!$E$3,CCData[[#This Row],[Date]]&lt;Calculation!$E$3+7)</f>
        <v>0</v>
      </c>
    </row>
    <row r="3849" spans="1:10">
      <c r="A3849" t="s">
        <v>3848</v>
      </c>
      <c r="B3849" s="2">
        <v>42071.735000000001</v>
      </c>
      <c r="C3849" s="3" t="s">
        <v>5007</v>
      </c>
      <c r="D3849" t="s">
        <v>5015</v>
      </c>
      <c r="E3849" t="s">
        <v>5018</v>
      </c>
      <c r="F3849" t="s">
        <v>5018</v>
      </c>
      <c r="G3849">
        <v>107</v>
      </c>
      <c r="H3849" s="5">
        <v>2.7608881493774982E-3</v>
      </c>
      <c r="I3849">
        <v>1</v>
      </c>
      <c r="J3849" t="b">
        <f>AND(CCData[[#This Row],[Date]]&gt;=Calculation!$E$3,CCData[[#This Row],[Date]]&lt;Calculation!$E$3+7)</f>
        <v>0</v>
      </c>
    </row>
    <row r="3850" spans="1:10">
      <c r="A3850" t="s">
        <v>3849</v>
      </c>
      <c r="B3850" s="2">
        <v>42071.741999999998</v>
      </c>
      <c r="C3850" s="3" t="s">
        <v>5008</v>
      </c>
      <c r="D3850" t="s">
        <v>5016</v>
      </c>
      <c r="E3850" t="s">
        <v>5018</v>
      </c>
      <c r="F3850" t="s">
        <v>5018</v>
      </c>
      <c r="G3850">
        <v>93</v>
      </c>
      <c r="H3850" s="5">
        <v>4.7470734595248245E-3</v>
      </c>
      <c r="I3850">
        <v>3</v>
      </c>
      <c r="J3850" t="b">
        <f>AND(CCData[[#This Row],[Date]]&gt;=Calculation!$E$3,CCData[[#This Row],[Date]]&lt;Calculation!$E$3+7)</f>
        <v>0</v>
      </c>
    </row>
    <row r="3851" spans="1:10">
      <c r="A3851" t="s">
        <v>3850</v>
      </c>
      <c r="B3851" s="2">
        <v>42071.741999999998</v>
      </c>
      <c r="C3851" s="3" t="s">
        <v>5010</v>
      </c>
      <c r="D3851" t="s">
        <v>5014</v>
      </c>
      <c r="E3851" t="s">
        <v>5018</v>
      </c>
      <c r="F3851" t="s">
        <v>5018</v>
      </c>
      <c r="G3851">
        <v>110</v>
      </c>
      <c r="H3851" s="5">
        <v>3.636068529393488E-4</v>
      </c>
      <c r="I3851">
        <v>4</v>
      </c>
      <c r="J3851" t="b">
        <f>AND(CCData[[#This Row],[Date]]&gt;=Calculation!$E$3,CCData[[#This Row],[Date]]&lt;Calculation!$E$3+7)</f>
        <v>0</v>
      </c>
    </row>
    <row r="3852" spans="1:10">
      <c r="A3852" t="s">
        <v>3851</v>
      </c>
      <c r="B3852" s="2">
        <v>42071.741999999998</v>
      </c>
      <c r="C3852" s="3" t="s">
        <v>5003</v>
      </c>
      <c r="D3852" t="s">
        <v>5016</v>
      </c>
      <c r="E3852" t="s">
        <v>5018</v>
      </c>
      <c r="F3852" t="s">
        <v>5018</v>
      </c>
      <c r="G3852">
        <v>18</v>
      </c>
      <c r="H3852" s="5">
        <v>1.4643149957515142E-3</v>
      </c>
      <c r="I3852">
        <v>5</v>
      </c>
      <c r="J3852" t="b">
        <f>AND(CCData[[#This Row],[Date]]&gt;=Calculation!$E$3,CCData[[#This Row],[Date]]&lt;Calculation!$E$3+7)</f>
        <v>0</v>
      </c>
    </row>
    <row r="3853" spans="1:10">
      <c r="A3853" t="s">
        <v>3852</v>
      </c>
      <c r="B3853" s="2">
        <v>42071.741999999998</v>
      </c>
      <c r="C3853" s="3" t="s">
        <v>5007</v>
      </c>
      <c r="D3853" t="s">
        <v>5012</v>
      </c>
      <c r="E3853" t="s">
        <v>5018</v>
      </c>
      <c r="F3853" t="s">
        <v>5018</v>
      </c>
      <c r="G3853">
        <v>33</v>
      </c>
      <c r="H3853" s="5">
        <v>3.2734835841445901E-3</v>
      </c>
      <c r="I3853">
        <v>3</v>
      </c>
      <c r="J3853" t="b">
        <f>AND(CCData[[#This Row],[Date]]&gt;=Calculation!$E$3,CCData[[#This Row],[Date]]&lt;Calculation!$E$3+7)</f>
        <v>0</v>
      </c>
    </row>
    <row r="3854" spans="1:10">
      <c r="A3854" t="s">
        <v>3853</v>
      </c>
      <c r="B3854" s="2">
        <v>42071.743999999999</v>
      </c>
      <c r="C3854" s="3" t="s">
        <v>5007</v>
      </c>
      <c r="D3854" t="s">
        <v>5012</v>
      </c>
      <c r="E3854" t="s">
        <v>5018</v>
      </c>
      <c r="F3854" t="s">
        <v>5018</v>
      </c>
      <c r="G3854">
        <v>71</v>
      </c>
      <c r="H3854" s="5">
        <v>3.1983108395821909E-3</v>
      </c>
      <c r="I3854">
        <v>4</v>
      </c>
      <c r="J3854" t="b">
        <f>AND(CCData[[#This Row],[Date]]&gt;=Calculation!$E$3,CCData[[#This Row],[Date]]&lt;Calculation!$E$3+7)</f>
        <v>0</v>
      </c>
    </row>
    <row r="3855" spans="1:10">
      <c r="A3855" t="s">
        <v>3854</v>
      </c>
      <c r="B3855" s="2">
        <v>42071.743999999999</v>
      </c>
      <c r="C3855" s="3" t="s">
        <v>5010</v>
      </c>
      <c r="D3855" t="s">
        <v>5015</v>
      </c>
      <c r="E3855" t="s">
        <v>5018</v>
      </c>
      <c r="F3855" t="s">
        <v>5018</v>
      </c>
      <c r="G3855">
        <v>19</v>
      </c>
      <c r="H3855" s="5">
        <v>3.5520630517817601E-3</v>
      </c>
      <c r="I3855">
        <v>4</v>
      </c>
      <c r="J3855" t="b">
        <f>AND(CCData[[#This Row],[Date]]&gt;=Calculation!$E$3,CCData[[#This Row],[Date]]&lt;Calculation!$E$3+7)</f>
        <v>0</v>
      </c>
    </row>
    <row r="3856" spans="1:10">
      <c r="A3856" t="s">
        <v>3855</v>
      </c>
      <c r="B3856" s="2">
        <v>42071.745000000003</v>
      </c>
      <c r="C3856" s="3" t="s">
        <v>5010</v>
      </c>
      <c r="D3856" t="s">
        <v>5014</v>
      </c>
      <c r="E3856" t="s">
        <v>5018</v>
      </c>
      <c r="F3856" t="s">
        <v>5018</v>
      </c>
      <c r="G3856">
        <v>93</v>
      </c>
      <c r="H3856" s="5">
        <v>4.6373512252478877E-3</v>
      </c>
      <c r="I3856">
        <v>4</v>
      </c>
      <c r="J3856" t="b">
        <f>AND(CCData[[#This Row],[Date]]&gt;=Calculation!$E$3,CCData[[#This Row],[Date]]&lt;Calculation!$E$3+7)</f>
        <v>0</v>
      </c>
    </row>
    <row r="3857" spans="1:10">
      <c r="A3857" t="s">
        <v>3856</v>
      </c>
      <c r="B3857" s="2">
        <v>42071.745000000003</v>
      </c>
      <c r="C3857" s="3" t="s">
        <v>5003</v>
      </c>
      <c r="D3857" t="s">
        <v>5013</v>
      </c>
      <c r="E3857" t="s">
        <v>5018</v>
      </c>
      <c r="F3857" t="s">
        <v>5018</v>
      </c>
      <c r="G3857">
        <v>43</v>
      </c>
      <c r="H3857" s="5">
        <v>2.5324590654193231E-3</v>
      </c>
      <c r="I3857">
        <v>1</v>
      </c>
      <c r="J3857" t="b">
        <f>AND(CCData[[#This Row],[Date]]&gt;=Calculation!$E$3,CCData[[#This Row],[Date]]&lt;Calculation!$E$3+7)</f>
        <v>0</v>
      </c>
    </row>
    <row r="3858" spans="1:10">
      <c r="A3858" t="s">
        <v>3857</v>
      </c>
      <c r="B3858" s="2">
        <v>42072.387999999999</v>
      </c>
      <c r="C3858" s="3" t="s">
        <v>5003</v>
      </c>
      <c r="D3858" t="s">
        <v>5013</v>
      </c>
      <c r="E3858" t="s">
        <v>5018</v>
      </c>
      <c r="F3858" t="s">
        <v>5019</v>
      </c>
      <c r="G3858">
        <v>92</v>
      </c>
      <c r="H3858" s="5">
        <v>3.395467984098764E-3</v>
      </c>
      <c r="I3858">
        <v>5</v>
      </c>
      <c r="J3858" t="b">
        <f>AND(CCData[[#This Row],[Date]]&gt;=Calculation!$E$3,CCData[[#This Row],[Date]]&lt;Calculation!$E$3+7)</f>
        <v>0</v>
      </c>
    </row>
    <row r="3859" spans="1:10">
      <c r="A3859" t="s">
        <v>3858</v>
      </c>
      <c r="B3859" s="2">
        <v>42072.387999999999</v>
      </c>
      <c r="C3859" s="3" t="s">
        <v>5009</v>
      </c>
      <c r="D3859" t="s">
        <v>5012</v>
      </c>
      <c r="E3859" t="s">
        <v>5018</v>
      </c>
      <c r="F3859" t="s">
        <v>5018</v>
      </c>
      <c r="G3859">
        <v>19</v>
      </c>
      <c r="H3859" s="5">
        <v>3.631822112999449E-3</v>
      </c>
      <c r="I3859">
        <v>3</v>
      </c>
      <c r="J3859" t="b">
        <f>AND(CCData[[#This Row],[Date]]&gt;=Calculation!$E$3,CCData[[#This Row],[Date]]&lt;Calculation!$E$3+7)</f>
        <v>0</v>
      </c>
    </row>
    <row r="3860" spans="1:10">
      <c r="A3860" t="s">
        <v>3859</v>
      </c>
      <c r="B3860" s="2">
        <v>42072.402999999998</v>
      </c>
      <c r="C3860" s="3" t="s">
        <v>5010</v>
      </c>
      <c r="D3860" t="s">
        <v>5012</v>
      </c>
      <c r="E3860" t="s">
        <v>5019</v>
      </c>
      <c r="F3860" t="s">
        <v>5019</v>
      </c>
      <c r="G3860" t="s">
        <v>5022</v>
      </c>
      <c r="H3860" s="5" t="s">
        <v>5022</v>
      </c>
      <c r="I3860" t="s">
        <v>5022</v>
      </c>
      <c r="J3860" t="b">
        <f>AND(CCData[[#This Row],[Date]]&gt;=Calculation!$E$3,CCData[[#This Row],[Date]]&lt;Calculation!$E$3+7)</f>
        <v>0</v>
      </c>
    </row>
    <row r="3861" spans="1:10">
      <c r="A3861" t="s">
        <v>3860</v>
      </c>
      <c r="B3861" s="2">
        <v>42072.402999999998</v>
      </c>
      <c r="C3861" s="3" t="s">
        <v>5004</v>
      </c>
      <c r="D3861" t="s">
        <v>5012</v>
      </c>
      <c r="E3861" t="s">
        <v>5018</v>
      </c>
      <c r="F3861" t="s">
        <v>5018</v>
      </c>
      <c r="G3861">
        <v>66</v>
      </c>
      <c r="H3861" s="5">
        <v>1.5662330630401332E-3</v>
      </c>
      <c r="I3861">
        <v>1</v>
      </c>
      <c r="J3861" t="b">
        <f>AND(CCData[[#This Row],[Date]]&gt;=Calculation!$E$3,CCData[[#This Row],[Date]]&lt;Calculation!$E$3+7)</f>
        <v>0</v>
      </c>
    </row>
    <row r="3862" spans="1:10">
      <c r="A3862" t="s">
        <v>3861</v>
      </c>
      <c r="B3862" s="2">
        <v>42072.425999999999</v>
      </c>
      <c r="C3862" s="3" t="s">
        <v>5006</v>
      </c>
      <c r="D3862" t="s">
        <v>5012</v>
      </c>
      <c r="E3862" t="s">
        <v>5018</v>
      </c>
      <c r="F3862" t="s">
        <v>5018</v>
      </c>
      <c r="G3862">
        <v>47</v>
      </c>
      <c r="H3862" s="5">
        <v>1.5753281910792227E-3</v>
      </c>
      <c r="I3862">
        <v>4</v>
      </c>
      <c r="J3862" t="b">
        <f>AND(CCData[[#This Row],[Date]]&gt;=Calculation!$E$3,CCData[[#This Row],[Date]]&lt;Calculation!$E$3+7)</f>
        <v>0</v>
      </c>
    </row>
    <row r="3863" spans="1:10">
      <c r="A3863" t="s">
        <v>3862</v>
      </c>
      <c r="B3863" s="2">
        <v>42072.425999999999</v>
      </c>
      <c r="C3863" s="3" t="s">
        <v>5010</v>
      </c>
      <c r="D3863" t="s">
        <v>5013</v>
      </c>
      <c r="E3863" t="s">
        <v>5018</v>
      </c>
      <c r="F3863" t="s">
        <v>5018</v>
      </c>
      <c r="G3863">
        <v>80</v>
      </c>
      <c r="H3863" s="5">
        <v>3.7386311158079553E-3</v>
      </c>
      <c r="I3863">
        <v>3</v>
      </c>
      <c r="J3863" t="b">
        <f>AND(CCData[[#This Row],[Date]]&gt;=Calculation!$E$3,CCData[[#This Row],[Date]]&lt;Calculation!$E$3+7)</f>
        <v>0</v>
      </c>
    </row>
    <row r="3864" spans="1:10">
      <c r="A3864" t="s">
        <v>3863</v>
      </c>
      <c r="B3864" s="2">
        <v>42072.436000000002</v>
      </c>
      <c r="C3864" s="3" t="s">
        <v>5006</v>
      </c>
      <c r="D3864" t="s">
        <v>5016</v>
      </c>
      <c r="E3864" t="s">
        <v>5018</v>
      </c>
      <c r="F3864" t="s">
        <v>5018</v>
      </c>
      <c r="G3864">
        <v>82</v>
      </c>
      <c r="H3864" s="5">
        <v>2.5136209574769669E-3</v>
      </c>
      <c r="I3864">
        <v>2</v>
      </c>
      <c r="J3864" t="b">
        <f>AND(CCData[[#This Row],[Date]]&gt;=Calculation!$E$3,CCData[[#This Row],[Date]]&lt;Calculation!$E$3+7)</f>
        <v>0</v>
      </c>
    </row>
    <row r="3865" spans="1:10">
      <c r="A3865" t="s">
        <v>3864</v>
      </c>
      <c r="B3865" s="2">
        <v>42072.436000000002</v>
      </c>
      <c r="C3865" s="3" t="s">
        <v>5009</v>
      </c>
      <c r="D3865" t="s">
        <v>5013</v>
      </c>
      <c r="E3865" t="s">
        <v>5018</v>
      </c>
      <c r="F3865" t="s">
        <v>5018</v>
      </c>
      <c r="G3865">
        <v>88</v>
      </c>
      <c r="H3865" s="5">
        <v>1.9743841241996788E-3</v>
      </c>
      <c r="I3865">
        <v>1</v>
      </c>
      <c r="J3865" t="b">
        <f>AND(CCData[[#This Row],[Date]]&gt;=Calculation!$E$3,CCData[[#This Row],[Date]]&lt;Calculation!$E$3+7)</f>
        <v>0</v>
      </c>
    </row>
    <row r="3866" spans="1:10">
      <c r="A3866" t="s">
        <v>3865</v>
      </c>
      <c r="B3866" s="2">
        <v>42072.436999999998</v>
      </c>
      <c r="C3866" s="3" t="s">
        <v>5009</v>
      </c>
      <c r="D3866" t="s">
        <v>5013</v>
      </c>
      <c r="E3866" t="s">
        <v>5018</v>
      </c>
      <c r="F3866" t="s">
        <v>5018</v>
      </c>
      <c r="G3866">
        <v>51</v>
      </c>
      <c r="H3866" s="5">
        <v>9.9512810549710722E-4</v>
      </c>
      <c r="I3866">
        <v>4</v>
      </c>
      <c r="J3866" t="b">
        <f>AND(CCData[[#This Row],[Date]]&gt;=Calculation!$E$3,CCData[[#This Row],[Date]]&lt;Calculation!$E$3+7)</f>
        <v>0</v>
      </c>
    </row>
    <row r="3867" spans="1:10">
      <c r="A3867" t="s">
        <v>3866</v>
      </c>
      <c r="B3867" s="2">
        <v>42072.436999999998</v>
      </c>
      <c r="C3867" s="3" t="s">
        <v>5004</v>
      </c>
      <c r="D3867" t="s">
        <v>5012</v>
      </c>
      <c r="E3867" t="s">
        <v>5018</v>
      </c>
      <c r="F3867" t="s">
        <v>5019</v>
      </c>
      <c r="G3867">
        <v>41</v>
      </c>
      <c r="H3867" s="5">
        <v>3.7484906321173989E-3</v>
      </c>
      <c r="I3867">
        <v>3</v>
      </c>
      <c r="J3867" t="b">
        <f>AND(CCData[[#This Row],[Date]]&gt;=Calculation!$E$3,CCData[[#This Row],[Date]]&lt;Calculation!$E$3+7)</f>
        <v>0</v>
      </c>
    </row>
    <row r="3868" spans="1:10">
      <c r="A3868" t="s">
        <v>3867</v>
      </c>
      <c r="B3868" s="2">
        <v>42072.438000000002</v>
      </c>
      <c r="C3868" s="3" t="s">
        <v>5003</v>
      </c>
      <c r="D3868" t="s">
        <v>5014</v>
      </c>
      <c r="E3868" t="s">
        <v>5018</v>
      </c>
      <c r="F3868" t="s">
        <v>5018</v>
      </c>
      <c r="G3868">
        <v>46</v>
      </c>
      <c r="H3868" s="5">
        <v>2.015477942799175E-3</v>
      </c>
      <c r="I3868">
        <v>1</v>
      </c>
      <c r="J3868" t="b">
        <f>AND(CCData[[#This Row],[Date]]&gt;=Calculation!$E$3,CCData[[#This Row],[Date]]&lt;Calculation!$E$3+7)</f>
        <v>0</v>
      </c>
    </row>
    <row r="3869" spans="1:10">
      <c r="A3869" t="s">
        <v>3868</v>
      </c>
      <c r="B3869" s="2">
        <v>42072.438000000002</v>
      </c>
      <c r="C3869" s="3" t="s">
        <v>5009</v>
      </c>
      <c r="D3869" t="s">
        <v>5013</v>
      </c>
      <c r="E3869" t="s">
        <v>5018</v>
      </c>
      <c r="F3869" t="s">
        <v>5018</v>
      </c>
      <c r="G3869">
        <v>113</v>
      </c>
      <c r="H3869" s="5">
        <v>4.6421034764804843E-3</v>
      </c>
      <c r="I3869">
        <v>4</v>
      </c>
      <c r="J3869" t="b">
        <f>AND(CCData[[#This Row],[Date]]&gt;=Calculation!$E$3,CCData[[#This Row],[Date]]&lt;Calculation!$E$3+7)</f>
        <v>0</v>
      </c>
    </row>
    <row r="3870" spans="1:10">
      <c r="A3870" t="s">
        <v>3869</v>
      </c>
      <c r="B3870" s="2">
        <v>42072.46</v>
      </c>
      <c r="C3870" s="3" t="s">
        <v>5003</v>
      </c>
      <c r="D3870" t="s">
        <v>5015</v>
      </c>
      <c r="E3870" t="s">
        <v>5018</v>
      </c>
      <c r="F3870" t="s">
        <v>5018</v>
      </c>
      <c r="G3870">
        <v>52</v>
      </c>
      <c r="H3870" s="5">
        <v>2.0317790917456073E-3</v>
      </c>
      <c r="I3870">
        <v>4</v>
      </c>
      <c r="J3870" t="b">
        <f>AND(CCData[[#This Row],[Date]]&gt;=Calculation!$E$3,CCData[[#This Row],[Date]]&lt;Calculation!$E$3+7)</f>
        <v>0</v>
      </c>
    </row>
    <row r="3871" spans="1:10">
      <c r="A3871" t="s">
        <v>3870</v>
      </c>
      <c r="B3871" s="2">
        <v>42072.46</v>
      </c>
      <c r="C3871" s="3" t="s">
        <v>5003</v>
      </c>
      <c r="D3871" t="s">
        <v>5013</v>
      </c>
      <c r="E3871" t="s">
        <v>5018</v>
      </c>
      <c r="F3871" t="s">
        <v>5018</v>
      </c>
      <c r="G3871">
        <v>77</v>
      </c>
      <c r="H3871" s="5">
        <v>3.4891004071619111E-3</v>
      </c>
      <c r="I3871">
        <v>3</v>
      </c>
      <c r="J3871" t="b">
        <f>AND(CCData[[#This Row],[Date]]&gt;=Calculation!$E$3,CCData[[#This Row],[Date]]&lt;Calculation!$E$3+7)</f>
        <v>0</v>
      </c>
    </row>
    <row r="3872" spans="1:10">
      <c r="A3872" t="s">
        <v>3871</v>
      </c>
      <c r="B3872" s="2">
        <v>42072.461000000003</v>
      </c>
      <c r="C3872" s="3" t="s">
        <v>5006</v>
      </c>
      <c r="D3872" t="s">
        <v>5016</v>
      </c>
      <c r="E3872" t="s">
        <v>5018</v>
      </c>
      <c r="F3872" t="s">
        <v>5018</v>
      </c>
      <c r="G3872">
        <v>119</v>
      </c>
      <c r="H3872" s="5">
        <v>1.347884014655007E-3</v>
      </c>
      <c r="I3872">
        <v>1</v>
      </c>
      <c r="J3872" t="b">
        <f>AND(CCData[[#This Row],[Date]]&gt;=Calculation!$E$3,CCData[[#This Row],[Date]]&lt;Calculation!$E$3+7)</f>
        <v>0</v>
      </c>
    </row>
    <row r="3873" spans="1:10">
      <c r="A3873" t="s">
        <v>3872</v>
      </c>
      <c r="B3873" s="2">
        <v>42072.461000000003</v>
      </c>
      <c r="C3873" s="3" t="s">
        <v>5003</v>
      </c>
      <c r="D3873" t="s">
        <v>5014</v>
      </c>
      <c r="E3873" t="s">
        <v>5019</v>
      </c>
      <c r="F3873" t="s">
        <v>5019</v>
      </c>
      <c r="G3873" t="s">
        <v>5022</v>
      </c>
      <c r="H3873" s="5" t="s">
        <v>5022</v>
      </c>
      <c r="I3873" t="s">
        <v>5022</v>
      </c>
      <c r="J3873" t="b">
        <f>AND(CCData[[#This Row],[Date]]&gt;=Calculation!$E$3,CCData[[#This Row],[Date]]&lt;Calculation!$E$3+7)</f>
        <v>0</v>
      </c>
    </row>
    <row r="3874" spans="1:10">
      <c r="A3874" t="s">
        <v>3873</v>
      </c>
      <c r="B3874" s="2">
        <v>42072.474000000002</v>
      </c>
      <c r="C3874" s="3" t="s">
        <v>5008</v>
      </c>
      <c r="D3874" t="s">
        <v>5015</v>
      </c>
      <c r="E3874" t="s">
        <v>5018</v>
      </c>
      <c r="F3874" t="s">
        <v>5018</v>
      </c>
      <c r="G3874">
        <v>63</v>
      </c>
      <c r="H3874" s="5">
        <v>5.7426801337293119E-4</v>
      </c>
      <c r="I3874">
        <v>3</v>
      </c>
      <c r="J3874" t="b">
        <f>AND(CCData[[#This Row],[Date]]&gt;=Calculation!$E$3,CCData[[#This Row],[Date]]&lt;Calculation!$E$3+7)</f>
        <v>0</v>
      </c>
    </row>
    <row r="3875" spans="1:10">
      <c r="A3875" t="s">
        <v>3874</v>
      </c>
      <c r="B3875" s="2">
        <v>42072.474000000002</v>
      </c>
      <c r="C3875" s="3" t="s">
        <v>5004</v>
      </c>
      <c r="D3875" t="s">
        <v>5016</v>
      </c>
      <c r="E3875" t="s">
        <v>5018</v>
      </c>
      <c r="F3875" t="s">
        <v>5019</v>
      </c>
      <c r="G3875">
        <v>41</v>
      </c>
      <c r="H3875" s="5">
        <v>4.4154227427175971E-3</v>
      </c>
      <c r="I3875">
        <v>4</v>
      </c>
      <c r="J3875" t="b">
        <f>AND(CCData[[#This Row],[Date]]&gt;=Calculation!$E$3,CCData[[#This Row],[Date]]&lt;Calculation!$E$3+7)</f>
        <v>0</v>
      </c>
    </row>
    <row r="3876" spans="1:10">
      <c r="A3876" t="s">
        <v>3875</v>
      </c>
      <c r="B3876" s="2">
        <v>42072.491999999998</v>
      </c>
      <c r="C3876" s="3" t="s">
        <v>5003</v>
      </c>
      <c r="D3876" t="s">
        <v>5012</v>
      </c>
      <c r="E3876" t="s">
        <v>5018</v>
      </c>
      <c r="F3876" t="s">
        <v>5018</v>
      </c>
      <c r="G3876">
        <v>93</v>
      </c>
      <c r="H3876" s="5">
        <v>4.6264856861245257E-3</v>
      </c>
      <c r="I3876">
        <v>5</v>
      </c>
      <c r="J3876" t="b">
        <f>AND(CCData[[#This Row],[Date]]&gt;=Calculation!$E$3,CCData[[#This Row],[Date]]&lt;Calculation!$E$3+7)</f>
        <v>0</v>
      </c>
    </row>
    <row r="3877" spans="1:10">
      <c r="A3877" t="s">
        <v>3876</v>
      </c>
      <c r="B3877" s="2">
        <v>42072.491999999998</v>
      </c>
      <c r="C3877" s="3" t="s">
        <v>5004</v>
      </c>
      <c r="D3877" t="s">
        <v>5016</v>
      </c>
      <c r="E3877" t="s">
        <v>5018</v>
      </c>
      <c r="F3877" t="s">
        <v>5019</v>
      </c>
      <c r="G3877">
        <v>63</v>
      </c>
      <c r="H3877" s="5">
        <v>3.5428496300104473E-3</v>
      </c>
      <c r="I3877">
        <v>2</v>
      </c>
      <c r="J3877" t="b">
        <f>AND(CCData[[#This Row],[Date]]&gt;=Calculation!$E$3,CCData[[#This Row],[Date]]&lt;Calculation!$E$3+7)</f>
        <v>0</v>
      </c>
    </row>
    <row r="3878" spans="1:10">
      <c r="A3878" t="s">
        <v>3877</v>
      </c>
      <c r="B3878" s="2">
        <v>42072.557000000001</v>
      </c>
      <c r="C3878" s="3" t="s">
        <v>5003</v>
      </c>
      <c r="D3878" t="s">
        <v>5012</v>
      </c>
      <c r="E3878" t="s">
        <v>5019</v>
      </c>
      <c r="F3878" t="s">
        <v>5019</v>
      </c>
      <c r="G3878" t="s">
        <v>5022</v>
      </c>
      <c r="H3878" s="5" t="s">
        <v>5022</v>
      </c>
      <c r="I3878" t="s">
        <v>5022</v>
      </c>
      <c r="J3878" t="b">
        <f>AND(CCData[[#This Row],[Date]]&gt;=Calculation!$E$3,CCData[[#This Row],[Date]]&lt;Calculation!$E$3+7)</f>
        <v>0</v>
      </c>
    </row>
    <row r="3879" spans="1:10">
      <c r="A3879" t="s">
        <v>3878</v>
      </c>
      <c r="B3879" s="2">
        <v>42072.557000000001</v>
      </c>
      <c r="C3879" s="3" t="s">
        <v>5009</v>
      </c>
      <c r="D3879" t="s">
        <v>5016</v>
      </c>
      <c r="E3879" t="s">
        <v>5018</v>
      </c>
      <c r="F3879" t="s">
        <v>5019</v>
      </c>
      <c r="G3879">
        <v>43</v>
      </c>
      <c r="H3879" s="5">
        <v>1.3564353456977387E-3</v>
      </c>
      <c r="I3879">
        <v>2</v>
      </c>
      <c r="J3879" t="b">
        <f>AND(CCData[[#This Row],[Date]]&gt;=Calculation!$E$3,CCData[[#This Row],[Date]]&lt;Calculation!$E$3+7)</f>
        <v>0</v>
      </c>
    </row>
    <row r="3880" spans="1:10">
      <c r="A3880" t="s">
        <v>3879</v>
      </c>
      <c r="B3880" s="2">
        <v>42072.56</v>
      </c>
      <c r="C3880" s="3" t="s">
        <v>5007</v>
      </c>
      <c r="D3880" t="s">
        <v>5014</v>
      </c>
      <c r="E3880" t="s">
        <v>5018</v>
      </c>
      <c r="F3880" t="s">
        <v>5018</v>
      </c>
      <c r="G3880">
        <v>88</v>
      </c>
      <c r="H3880" s="5">
        <v>1.8045490565483321E-3</v>
      </c>
      <c r="I3880">
        <v>4</v>
      </c>
      <c r="J3880" t="b">
        <f>AND(CCData[[#This Row],[Date]]&gt;=Calculation!$E$3,CCData[[#This Row],[Date]]&lt;Calculation!$E$3+7)</f>
        <v>0</v>
      </c>
    </row>
    <row r="3881" spans="1:10">
      <c r="A3881" t="s">
        <v>3880</v>
      </c>
      <c r="B3881" s="2">
        <v>42072.56</v>
      </c>
      <c r="C3881" s="3" t="s">
        <v>5005</v>
      </c>
      <c r="D3881" t="s">
        <v>5012</v>
      </c>
      <c r="E3881" t="s">
        <v>5018</v>
      </c>
      <c r="F3881" t="s">
        <v>5018</v>
      </c>
      <c r="G3881">
        <v>100</v>
      </c>
      <c r="H3881" s="5">
        <v>7.5994149951076194E-4</v>
      </c>
      <c r="I3881">
        <v>4</v>
      </c>
      <c r="J3881" t="b">
        <f>AND(CCData[[#This Row],[Date]]&gt;=Calculation!$E$3,CCData[[#This Row],[Date]]&lt;Calculation!$E$3+7)</f>
        <v>0</v>
      </c>
    </row>
    <row r="3882" spans="1:10">
      <c r="A3882" t="s">
        <v>3881</v>
      </c>
      <c r="B3882" s="2">
        <v>42072.572999999997</v>
      </c>
      <c r="C3882" s="3" t="s">
        <v>5003</v>
      </c>
      <c r="D3882" t="s">
        <v>5015</v>
      </c>
      <c r="E3882" t="s">
        <v>5019</v>
      </c>
      <c r="F3882" t="s">
        <v>5019</v>
      </c>
      <c r="G3882" t="s">
        <v>5022</v>
      </c>
      <c r="H3882" s="5" t="s">
        <v>5022</v>
      </c>
      <c r="I3882" t="s">
        <v>5022</v>
      </c>
      <c r="J3882" t="b">
        <f>AND(CCData[[#This Row],[Date]]&gt;=Calculation!$E$3,CCData[[#This Row],[Date]]&lt;Calculation!$E$3+7)</f>
        <v>0</v>
      </c>
    </row>
    <row r="3883" spans="1:10">
      <c r="A3883" t="s">
        <v>3882</v>
      </c>
      <c r="B3883" s="2">
        <v>42072.572999999997</v>
      </c>
      <c r="C3883" s="3" t="s">
        <v>5005</v>
      </c>
      <c r="D3883" t="s">
        <v>5015</v>
      </c>
      <c r="E3883" t="s">
        <v>5018</v>
      </c>
      <c r="F3883" t="s">
        <v>5018</v>
      </c>
      <c r="G3883">
        <v>108</v>
      </c>
      <c r="H3883" s="5">
        <v>7.0028581828878399E-4</v>
      </c>
      <c r="I3883">
        <v>5</v>
      </c>
      <c r="J3883" t="b">
        <f>AND(CCData[[#This Row],[Date]]&gt;=Calculation!$E$3,CCData[[#This Row],[Date]]&lt;Calculation!$E$3+7)</f>
        <v>0</v>
      </c>
    </row>
    <row r="3884" spans="1:10">
      <c r="A3884" t="s">
        <v>3883</v>
      </c>
      <c r="B3884" s="2">
        <v>42072.639999999999</v>
      </c>
      <c r="C3884" s="3" t="s">
        <v>5006</v>
      </c>
      <c r="D3884" t="s">
        <v>5014</v>
      </c>
      <c r="E3884" t="s">
        <v>5018</v>
      </c>
      <c r="F3884" t="s">
        <v>5018</v>
      </c>
      <c r="G3884">
        <v>88</v>
      </c>
      <c r="H3884" s="5">
        <v>2.7855789242172634E-3</v>
      </c>
      <c r="I3884">
        <v>3</v>
      </c>
      <c r="J3884" t="b">
        <f>AND(CCData[[#This Row],[Date]]&gt;=Calculation!$E$3,CCData[[#This Row],[Date]]&lt;Calculation!$E$3+7)</f>
        <v>0</v>
      </c>
    </row>
    <row r="3885" spans="1:10">
      <c r="A3885" t="s">
        <v>3884</v>
      </c>
      <c r="B3885" s="2">
        <v>42072.639999999999</v>
      </c>
      <c r="C3885" s="3" t="s">
        <v>5003</v>
      </c>
      <c r="D3885" t="s">
        <v>5014</v>
      </c>
      <c r="E3885" t="s">
        <v>5019</v>
      </c>
      <c r="F3885" t="s">
        <v>5019</v>
      </c>
      <c r="G3885" t="s">
        <v>5022</v>
      </c>
      <c r="H3885" s="5" t="s">
        <v>5022</v>
      </c>
      <c r="I3885" t="s">
        <v>5022</v>
      </c>
      <c r="J3885" t="b">
        <f>AND(CCData[[#This Row],[Date]]&gt;=Calculation!$E$3,CCData[[#This Row],[Date]]&lt;Calculation!$E$3+7)</f>
        <v>0</v>
      </c>
    </row>
    <row r="3886" spans="1:10">
      <c r="A3886" t="s">
        <v>3885</v>
      </c>
      <c r="B3886" s="2">
        <v>42072.641000000003</v>
      </c>
      <c r="C3886" s="3" t="s">
        <v>5004</v>
      </c>
      <c r="D3886" t="s">
        <v>5012</v>
      </c>
      <c r="E3886" t="s">
        <v>5018</v>
      </c>
      <c r="F3886" t="s">
        <v>5018</v>
      </c>
      <c r="G3886">
        <v>72</v>
      </c>
      <c r="H3886" s="5">
        <v>3.2701036086934363E-3</v>
      </c>
      <c r="I3886">
        <v>3</v>
      </c>
      <c r="J3886" t="b">
        <f>AND(CCData[[#This Row],[Date]]&gt;=Calculation!$E$3,CCData[[#This Row],[Date]]&lt;Calculation!$E$3+7)</f>
        <v>0</v>
      </c>
    </row>
    <row r="3887" spans="1:10">
      <c r="A3887" t="s">
        <v>3886</v>
      </c>
      <c r="B3887" s="2">
        <v>42072.641000000003</v>
      </c>
      <c r="C3887" s="3" t="s">
        <v>5008</v>
      </c>
      <c r="D3887" t="s">
        <v>5016</v>
      </c>
      <c r="E3887" t="s">
        <v>5018</v>
      </c>
      <c r="F3887" t="s">
        <v>5018</v>
      </c>
      <c r="G3887">
        <v>52</v>
      </c>
      <c r="H3887" s="5">
        <v>2.4396038684584473E-3</v>
      </c>
      <c r="I3887">
        <v>5</v>
      </c>
      <c r="J3887" t="b">
        <f>AND(CCData[[#This Row],[Date]]&gt;=Calculation!$E$3,CCData[[#This Row],[Date]]&lt;Calculation!$E$3+7)</f>
        <v>0</v>
      </c>
    </row>
    <row r="3888" spans="1:10">
      <c r="A3888" t="s">
        <v>3887</v>
      </c>
      <c r="B3888" s="2">
        <v>42072.644</v>
      </c>
      <c r="C3888" s="3" t="s">
        <v>5005</v>
      </c>
      <c r="D3888" t="s">
        <v>5013</v>
      </c>
      <c r="E3888" t="s">
        <v>5018</v>
      </c>
      <c r="F3888" t="s">
        <v>5018</v>
      </c>
      <c r="G3888">
        <v>15</v>
      </c>
      <c r="H3888" s="5">
        <v>3.2740563951393869E-3</v>
      </c>
      <c r="I3888">
        <v>5</v>
      </c>
      <c r="J3888" t="b">
        <f>AND(CCData[[#This Row],[Date]]&gt;=Calculation!$E$3,CCData[[#This Row],[Date]]&lt;Calculation!$E$3+7)</f>
        <v>0</v>
      </c>
    </row>
    <row r="3889" spans="1:10">
      <c r="A3889" t="s">
        <v>3888</v>
      </c>
      <c r="B3889" s="2">
        <v>42072.644</v>
      </c>
      <c r="C3889" s="3" t="s">
        <v>5010</v>
      </c>
      <c r="D3889" t="s">
        <v>5014</v>
      </c>
      <c r="E3889" t="s">
        <v>5018</v>
      </c>
      <c r="F3889" t="s">
        <v>5018</v>
      </c>
      <c r="G3889">
        <v>113</v>
      </c>
      <c r="H3889" s="5">
        <v>3.3408710828033063E-3</v>
      </c>
      <c r="I3889">
        <v>3</v>
      </c>
      <c r="J3889" t="b">
        <f>AND(CCData[[#This Row],[Date]]&gt;=Calculation!$E$3,CCData[[#This Row],[Date]]&lt;Calculation!$E$3+7)</f>
        <v>0</v>
      </c>
    </row>
    <row r="3890" spans="1:10">
      <c r="A3890" t="s">
        <v>3889</v>
      </c>
      <c r="B3890" s="2">
        <v>42072.654000000002</v>
      </c>
      <c r="C3890" s="3" t="s">
        <v>5009</v>
      </c>
      <c r="D3890" t="s">
        <v>5013</v>
      </c>
      <c r="E3890" t="s">
        <v>5018</v>
      </c>
      <c r="F3890" t="s">
        <v>5018</v>
      </c>
      <c r="G3890">
        <v>123</v>
      </c>
      <c r="H3890" s="5">
        <v>3.4992088180101286E-3</v>
      </c>
      <c r="I3890">
        <v>1</v>
      </c>
      <c r="J3890" t="b">
        <f>AND(CCData[[#This Row],[Date]]&gt;=Calculation!$E$3,CCData[[#This Row],[Date]]&lt;Calculation!$E$3+7)</f>
        <v>0</v>
      </c>
    </row>
    <row r="3891" spans="1:10">
      <c r="A3891" t="s">
        <v>3890</v>
      </c>
      <c r="B3891" s="2">
        <v>42072.654000000002</v>
      </c>
      <c r="C3891" s="3" t="s">
        <v>5006</v>
      </c>
      <c r="D3891" t="s">
        <v>5014</v>
      </c>
      <c r="E3891" t="s">
        <v>5018</v>
      </c>
      <c r="F3891" t="s">
        <v>5018</v>
      </c>
      <c r="G3891">
        <v>97</v>
      </c>
      <c r="H3891" s="5">
        <v>1.4026072335593482E-3</v>
      </c>
      <c r="I3891">
        <v>4</v>
      </c>
      <c r="J3891" t="b">
        <f>AND(CCData[[#This Row],[Date]]&gt;=Calculation!$E$3,CCData[[#This Row],[Date]]&lt;Calculation!$E$3+7)</f>
        <v>0</v>
      </c>
    </row>
    <row r="3892" spans="1:10">
      <c r="A3892" t="s">
        <v>3891</v>
      </c>
      <c r="B3892" s="2">
        <v>42072.654999999999</v>
      </c>
      <c r="C3892" s="3" t="s">
        <v>5004</v>
      </c>
      <c r="D3892" t="s">
        <v>5015</v>
      </c>
      <c r="E3892" t="s">
        <v>5018</v>
      </c>
      <c r="F3892" t="s">
        <v>5018</v>
      </c>
      <c r="G3892">
        <v>22</v>
      </c>
      <c r="H3892" s="5">
        <v>3.2452877159297928E-3</v>
      </c>
      <c r="I3892">
        <v>3</v>
      </c>
      <c r="J3892" t="b">
        <f>AND(CCData[[#This Row],[Date]]&gt;=Calculation!$E$3,CCData[[#This Row],[Date]]&lt;Calculation!$E$3+7)</f>
        <v>0</v>
      </c>
    </row>
    <row r="3893" spans="1:10">
      <c r="A3893" t="s">
        <v>3892</v>
      </c>
      <c r="B3893" s="2">
        <v>42072.654999999999</v>
      </c>
      <c r="C3893" s="3" t="s">
        <v>5006</v>
      </c>
      <c r="D3893" t="s">
        <v>5012</v>
      </c>
      <c r="E3893" t="s">
        <v>5018</v>
      </c>
      <c r="F3893" t="s">
        <v>5018</v>
      </c>
      <c r="G3893">
        <v>62</v>
      </c>
      <c r="H3893" s="5">
        <v>4.5858780926202576E-3</v>
      </c>
      <c r="I3893">
        <v>5</v>
      </c>
      <c r="J3893" t="b">
        <f>AND(CCData[[#This Row],[Date]]&gt;=Calculation!$E$3,CCData[[#This Row],[Date]]&lt;Calculation!$E$3+7)</f>
        <v>0</v>
      </c>
    </row>
    <row r="3894" spans="1:10">
      <c r="A3894" t="s">
        <v>3893</v>
      </c>
      <c r="B3894" s="2">
        <v>42072.656000000003</v>
      </c>
      <c r="C3894" s="3" t="s">
        <v>5004</v>
      </c>
      <c r="D3894" t="s">
        <v>5012</v>
      </c>
      <c r="E3894" t="s">
        <v>5018</v>
      </c>
      <c r="F3894" t="s">
        <v>5019</v>
      </c>
      <c r="G3894">
        <v>79</v>
      </c>
      <c r="H3894" s="5">
        <v>4.18678949622026E-3</v>
      </c>
      <c r="I3894">
        <v>1</v>
      </c>
      <c r="J3894" t="b">
        <f>AND(CCData[[#This Row],[Date]]&gt;=Calculation!$E$3,CCData[[#This Row],[Date]]&lt;Calculation!$E$3+7)</f>
        <v>0</v>
      </c>
    </row>
    <row r="3895" spans="1:10">
      <c r="A3895" t="s">
        <v>3894</v>
      </c>
      <c r="B3895" s="2">
        <v>42072.656000000003</v>
      </c>
      <c r="C3895" s="3" t="s">
        <v>5003</v>
      </c>
      <c r="D3895" t="s">
        <v>5014</v>
      </c>
      <c r="E3895" t="s">
        <v>5018</v>
      </c>
      <c r="F3895" t="s">
        <v>5018</v>
      </c>
      <c r="G3895">
        <v>85</v>
      </c>
      <c r="H3895" s="5">
        <v>2.1614483270465646E-3</v>
      </c>
      <c r="I3895">
        <v>4</v>
      </c>
      <c r="J3895" t="b">
        <f>AND(CCData[[#This Row],[Date]]&gt;=Calculation!$E$3,CCData[[#This Row],[Date]]&lt;Calculation!$E$3+7)</f>
        <v>0</v>
      </c>
    </row>
    <row r="3896" spans="1:10">
      <c r="A3896" t="s">
        <v>3895</v>
      </c>
      <c r="B3896" s="2">
        <v>42072.665999999997</v>
      </c>
      <c r="C3896" s="3" t="s">
        <v>5005</v>
      </c>
      <c r="D3896" t="s">
        <v>5013</v>
      </c>
      <c r="E3896" t="s">
        <v>5018</v>
      </c>
      <c r="F3896" t="s">
        <v>5018</v>
      </c>
      <c r="G3896">
        <v>74</v>
      </c>
      <c r="H3896" s="5">
        <v>5.457775064565218E-4</v>
      </c>
      <c r="I3896">
        <v>5</v>
      </c>
      <c r="J3896" t="b">
        <f>AND(CCData[[#This Row],[Date]]&gt;=Calculation!$E$3,CCData[[#This Row],[Date]]&lt;Calculation!$E$3+7)</f>
        <v>0</v>
      </c>
    </row>
    <row r="3897" spans="1:10">
      <c r="A3897" t="s">
        <v>3896</v>
      </c>
      <c r="B3897" s="2">
        <v>42072.665999999997</v>
      </c>
      <c r="C3897" s="3" t="s">
        <v>5007</v>
      </c>
      <c r="D3897" t="s">
        <v>5016</v>
      </c>
      <c r="E3897" t="s">
        <v>5018</v>
      </c>
      <c r="F3897" t="s">
        <v>5018</v>
      </c>
      <c r="G3897">
        <v>61</v>
      </c>
      <c r="H3897" s="5">
        <v>3.4766273404775974E-3</v>
      </c>
      <c r="I3897">
        <v>4</v>
      </c>
      <c r="J3897" t="b">
        <f>AND(CCData[[#This Row],[Date]]&gt;=Calculation!$E$3,CCData[[#This Row],[Date]]&lt;Calculation!$E$3+7)</f>
        <v>0</v>
      </c>
    </row>
    <row r="3898" spans="1:10">
      <c r="A3898" t="s">
        <v>3897</v>
      </c>
      <c r="B3898" s="2">
        <v>42072.703000000001</v>
      </c>
      <c r="C3898" s="3" t="s">
        <v>5003</v>
      </c>
      <c r="D3898" t="s">
        <v>5014</v>
      </c>
      <c r="E3898" t="s">
        <v>5018</v>
      </c>
      <c r="F3898" t="s">
        <v>5018</v>
      </c>
      <c r="G3898">
        <v>81</v>
      </c>
      <c r="H3898" s="5">
        <v>3.1853772719477921E-3</v>
      </c>
      <c r="I3898">
        <v>2</v>
      </c>
      <c r="J3898" t="b">
        <f>AND(CCData[[#This Row],[Date]]&gt;=Calculation!$E$3,CCData[[#This Row],[Date]]&lt;Calculation!$E$3+7)</f>
        <v>0</v>
      </c>
    </row>
    <row r="3899" spans="1:10">
      <c r="A3899" t="s">
        <v>3898</v>
      </c>
      <c r="B3899" s="2">
        <v>42072.703000000001</v>
      </c>
      <c r="C3899" s="3" t="s">
        <v>5008</v>
      </c>
      <c r="D3899" t="s">
        <v>5015</v>
      </c>
      <c r="E3899" t="s">
        <v>5019</v>
      </c>
      <c r="F3899" t="s">
        <v>5019</v>
      </c>
      <c r="G3899" t="s">
        <v>5022</v>
      </c>
      <c r="H3899" s="5" t="s">
        <v>5022</v>
      </c>
      <c r="I3899" t="s">
        <v>5022</v>
      </c>
      <c r="J3899" t="b">
        <f>AND(CCData[[#This Row],[Date]]&gt;=Calculation!$E$3,CCData[[#This Row],[Date]]&lt;Calculation!$E$3+7)</f>
        <v>0</v>
      </c>
    </row>
    <row r="3900" spans="1:10">
      <c r="A3900" t="s">
        <v>3899</v>
      </c>
      <c r="B3900" s="2">
        <v>42072.707999999999</v>
      </c>
      <c r="C3900" s="3" t="s">
        <v>5008</v>
      </c>
      <c r="D3900" t="s">
        <v>5012</v>
      </c>
      <c r="E3900" t="s">
        <v>5018</v>
      </c>
      <c r="F3900" t="s">
        <v>5018</v>
      </c>
      <c r="G3900">
        <v>74</v>
      </c>
      <c r="H3900" s="5">
        <v>4.3661822043838065E-3</v>
      </c>
      <c r="I3900">
        <v>5</v>
      </c>
      <c r="J3900" t="b">
        <f>AND(CCData[[#This Row],[Date]]&gt;=Calculation!$E$3,CCData[[#This Row],[Date]]&lt;Calculation!$E$3+7)</f>
        <v>0</v>
      </c>
    </row>
    <row r="3901" spans="1:10">
      <c r="A3901" t="s">
        <v>3900</v>
      </c>
      <c r="B3901" s="2">
        <v>42072.707999999999</v>
      </c>
      <c r="C3901" s="3" t="s">
        <v>5005</v>
      </c>
      <c r="D3901" t="s">
        <v>5012</v>
      </c>
      <c r="E3901" t="s">
        <v>5018</v>
      </c>
      <c r="F3901" t="s">
        <v>5019</v>
      </c>
      <c r="G3901">
        <v>32</v>
      </c>
      <c r="H3901" s="5">
        <v>2.994966884858809E-3</v>
      </c>
      <c r="I3901">
        <v>4</v>
      </c>
      <c r="J3901" t="b">
        <f>AND(CCData[[#This Row],[Date]]&gt;=Calculation!$E$3,CCData[[#This Row],[Date]]&lt;Calculation!$E$3+7)</f>
        <v>0</v>
      </c>
    </row>
    <row r="3902" spans="1:10">
      <c r="A3902" t="s">
        <v>3901</v>
      </c>
      <c r="B3902" s="2">
        <v>42072.713000000003</v>
      </c>
      <c r="C3902" s="3" t="s">
        <v>5006</v>
      </c>
      <c r="D3902" t="s">
        <v>5013</v>
      </c>
      <c r="E3902" t="s">
        <v>5018</v>
      </c>
      <c r="F3902" t="s">
        <v>5018</v>
      </c>
      <c r="G3902">
        <v>99</v>
      </c>
      <c r="H3902" s="5">
        <v>3.0565410637981242E-3</v>
      </c>
      <c r="I3902">
        <v>3</v>
      </c>
      <c r="J3902" t="b">
        <f>AND(CCData[[#This Row],[Date]]&gt;=Calculation!$E$3,CCData[[#This Row],[Date]]&lt;Calculation!$E$3+7)</f>
        <v>0</v>
      </c>
    </row>
    <row r="3903" spans="1:10">
      <c r="A3903" t="s">
        <v>3902</v>
      </c>
      <c r="B3903" s="2">
        <v>42072.713000000003</v>
      </c>
      <c r="C3903" s="3" t="s">
        <v>5004</v>
      </c>
      <c r="D3903" t="s">
        <v>5015</v>
      </c>
      <c r="E3903" t="s">
        <v>5019</v>
      </c>
      <c r="F3903" t="s">
        <v>5019</v>
      </c>
      <c r="G3903" t="s">
        <v>5022</v>
      </c>
      <c r="H3903" s="5" t="s">
        <v>5022</v>
      </c>
      <c r="I3903" t="s">
        <v>5022</v>
      </c>
      <c r="J3903" t="b">
        <f>AND(CCData[[#This Row],[Date]]&gt;=Calculation!$E$3,CCData[[#This Row],[Date]]&lt;Calculation!$E$3+7)</f>
        <v>0</v>
      </c>
    </row>
    <row r="3904" spans="1:10">
      <c r="A3904" t="s">
        <v>3903</v>
      </c>
      <c r="B3904" s="2">
        <v>42073.383999999998</v>
      </c>
      <c r="C3904" s="3" t="s">
        <v>5010</v>
      </c>
      <c r="D3904" t="s">
        <v>5013</v>
      </c>
      <c r="E3904" t="s">
        <v>5018</v>
      </c>
      <c r="F3904" t="s">
        <v>5018</v>
      </c>
      <c r="G3904">
        <v>75</v>
      </c>
      <c r="H3904" s="5">
        <v>1.959831229640619E-3</v>
      </c>
      <c r="I3904">
        <v>5</v>
      </c>
      <c r="J3904" t="b">
        <f>AND(CCData[[#This Row],[Date]]&gt;=Calculation!$E$3,CCData[[#This Row],[Date]]&lt;Calculation!$E$3+7)</f>
        <v>0</v>
      </c>
    </row>
    <row r="3905" spans="1:10">
      <c r="A3905" t="s">
        <v>3904</v>
      </c>
      <c r="B3905" s="2">
        <v>42073.383999999998</v>
      </c>
      <c r="C3905" s="3" t="s">
        <v>5009</v>
      </c>
      <c r="D3905" t="s">
        <v>5014</v>
      </c>
      <c r="E3905" t="s">
        <v>5019</v>
      </c>
      <c r="F3905" t="s">
        <v>5019</v>
      </c>
      <c r="G3905" t="s">
        <v>5022</v>
      </c>
      <c r="H3905" s="5" t="s">
        <v>5022</v>
      </c>
      <c r="I3905" t="s">
        <v>5022</v>
      </c>
      <c r="J3905" t="b">
        <f>AND(CCData[[#This Row],[Date]]&gt;=Calculation!$E$3,CCData[[#This Row],[Date]]&lt;Calculation!$E$3+7)</f>
        <v>0</v>
      </c>
    </row>
    <row r="3906" spans="1:10">
      <c r="A3906" t="s">
        <v>3905</v>
      </c>
      <c r="B3906" s="2">
        <v>42073.387999999999</v>
      </c>
      <c r="C3906" s="3" t="s">
        <v>5010</v>
      </c>
      <c r="D3906" t="s">
        <v>5013</v>
      </c>
      <c r="E3906" t="s">
        <v>5018</v>
      </c>
      <c r="F3906" t="s">
        <v>5018</v>
      </c>
      <c r="G3906">
        <v>114</v>
      </c>
      <c r="H3906" s="5">
        <v>3.1594911006180642E-3</v>
      </c>
      <c r="I3906">
        <v>5</v>
      </c>
      <c r="J3906" t="b">
        <f>AND(CCData[[#This Row],[Date]]&gt;=Calculation!$E$3,CCData[[#This Row],[Date]]&lt;Calculation!$E$3+7)</f>
        <v>0</v>
      </c>
    </row>
    <row r="3907" spans="1:10">
      <c r="A3907" t="s">
        <v>3906</v>
      </c>
      <c r="B3907" s="2">
        <v>42073.387999999999</v>
      </c>
      <c r="C3907" s="3" t="s">
        <v>5006</v>
      </c>
      <c r="D3907" t="s">
        <v>5013</v>
      </c>
      <c r="E3907" t="s">
        <v>5019</v>
      </c>
      <c r="F3907" t="s">
        <v>5019</v>
      </c>
      <c r="G3907" t="s">
        <v>5022</v>
      </c>
      <c r="H3907" s="5" t="s">
        <v>5022</v>
      </c>
      <c r="I3907" t="s">
        <v>5022</v>
      </c>
      <c r="J3907" t="b">
        <f>AND(CCData[[#This Row],[Date]]&gt;=Calculation!$E$3,CCData[[#This Row],[Date]]&lt;Calculation!$E$3+7)</f>
        <v>0</v>
      </c>
    </row>
    <row r="3908" spans="1:10">
      <c r="A3908" t="s">
        <v>3907</v>
      </c>
      <c r="B3908" s="2">
        <v>42073.411</v>
      </c>
      <c r="C3908" s="3" t="s">
        <v>5007</v>
      </c>
      <c r="D3908" t="s">
        <v>5015</v>
      </c>
      <c r="E3908" t="s">
        <v>5018</v>
      </c>
      <c r="F3908" t="s">
        <v>5018</v>
      </c>
      <c r="G3908">
        <v>50</v>
      </c>
      <c r="H3908" s="5">
        <v>4.3158238999387059E-3</v>
      </c>
      <c r="I3908">
        <v>3</v>
      </c>
      <c r="J3908" t="b">
        <f>AND(CCData[[#This Row],[Date]]&gt;=Calculation!$E$3,CCData[[#This Row],[Date]]&lt;Calculation!$E$3+7)</f>
        <v>0</v>
      </c>
    </row>
    <row r="3909" spans="1:10">
      <c r="A3909" t="s">
        <v>3908</v>
      </c>
      <c r="B3909" s="2">
        <v>42073.411</v>
      </c>
      <c r="C3909" s="3" t="s">
        <v>5007</v>
      </c>
      <c r="D3909" t="s">
        <v>5013</v>
      </c>
      <c r="E3909" t="s">
        <v>5019</v>
      </c>
      <c r="F3909" t="s">
        <v>5019</v>
      </c>
      <c r="G3909" t="s">
        <v>5022</v>
      </c>
      <c r="H3909" s="5" t="s">
        <v>5022</v>
      </c>
      <c r="I3909" t="s">
        <v>5022</v>
      </c>
      <c r="J3909" t="b">
        <f>AND(CCData[[#This Row],[Date]]&gt;=Calculation!$E$3,CCData[[#This Row],[Date]]&lt;Calculation!$E$3+7)</f>
        <v>0</v>
      </c>
    </row>
    <row r="3910" spans="1:10">
      <c r="A3910" t="s">
        <v>3909</v>
      </c>
      <c r="B3910" s="2">
        <v>42073.421000000002</v>
      </c>
      <c r="C3910" s="3" t="s">
        <v>5007</v>
      </c>
      <c r="D3910" t="s">
        <v>5015</v>
      </c>
      <c r="E3910" t="s">
        <v>5018</v>
      </c>
      <c r="F3910" t="s">
        <v>5019</v>
      </c>
      <c r="G3910">
        <v>115</v>
      </c>
      <c r="H3910" s="5">
        <v>2.1976147897087321E-3</v>
      </c>
      <c r="I3910">
        <v>2</v>
      </c>
      <c r="J3910" t="b">
        <f>AND(CCData[[#This Row],[Date]]&gt;=Calculation!$E$3,CCData[[#This Row],[Date]]&lt;Calculation!$E$3+7)</f>
        <v>0</v>
      </c>
    </row>
    <row r="3911" spans="1:10">
      <c r="A3911" t="s">
        <v>3910</v>
      </c>
      <c r="B3911" s="2">
        <v>42073.421000000002</v>
      </c>
      <c r="C3911" s="3" t="s">
        <v>5004</v>
      </c>
      <c r="D3911" t="s">
        <v>5015</v>
      </c>
      <c r="E3911" t="s">
        <v>5018</v>
      </c>
      <c r="F3911" t="s">
        <v>5018</v>
      </c>
      <c r="G3911">
        <v>48</v>
      </c>
      <c r="H3911" s="5">
        <v>1.0483187517066721E-3</v>
      </c>
      <c r="I3911">
        <v>4</v>
      </c>
      <c r="J3911" t="b">
        <f>AND(CCData[[#This Row],[Date]]&gt;=Calculation!$E$3,CCData[[#This Row],[Date]]&lt;Calculation!$E$3+7)</f>
        <v>0</v>
      </c>
    </row>
    <row r="3912" spans="1:10">
      <c r="A3912" t="s">
        <v>3911</v>
      </c>
      <c r="B3912" s="2">
        <v>42073.421999999999</v>
      </c>
      <c r="C3912" s="3" t="s">
        <v>5008</v>
      </c>
      <c r="D3912" t="s">
        <v>5014</v>
      </c>
      <c r="E3912" t="s">
        <v>5018</v>
      </c>
      <c r="F3912" t="s">
        <v>5018</v>
      </c>
      <c r="G3912">
        <v>16</v>
      </c>
      <c r="H3912" s="5">
        <v>1.3303572747917097E-3</v>
      </c>
      <c r="I3912">
        <v>1</v>
      </c>
      <c r="J3912" t="b">
        <f>AND(CCData[[#This Row],[Date]]&gt;=Calculation!$E$3,CCData[[#This Row],[Date]]&lt;Calculation!$E$3+7)</f>
        <v>0</v>
      </c>
    </row>
    <row r="3913" spans="1:10">
      <c r="A3913" t="s">
        <v>3912</v>
      </c>
      <c r="B3913" s="2">
        <v>42073.421999999999</v>
      </c>
      <c r="C3913" s="3" t="s">
        <v>5005</v>
      </c>
      <c r="D3913" t="s">
        <v>5013</v>
      </c>
      <c r="E3913" t="s">
        <v>5018</v>
      </c>
      <c r="F3913" t="s">
        <v>5018</v>
      </c>
      <c r="G3913">
        <v>74</v>
      </c>
      <c r="H3913" s="5">
        <v>4.5987153211892885E-3</v>
      </c>
      <c r="I3913">
        <v>5</v>
      </c>
      <c r="J3913" t="b">
        <f>AND(CCData[[#This Row],[Date]]&gt;=Calculation!$E$3,CCData[[#This Row],[Date]]&lt;Calculation!$E$3+7)</f>
        <v>0</v>
      </c>
    </row>
    <row r="3914" spans="1:10">
      <c r="A3914" t="s">
        <v>3913</v>
      </c>
      <c r="B3914" s="2">
        <v>42073.432000000001</v>
      </c>
      <c r="C3914" s="3" t="s">
        <v>5008</v>
      </c>
      <c r="D3914" t="s">
        <v>5014</v>
      </c>
      <c r="E3914" t="s">
        <v>5019</v>
      </c>
      <c r="F3914" t="s">
        <v>5019</v>
      </c>
      <c r="G3914" t="s">
        <v>5022</v>
      </c>
      <c r="H3914" s="5" t="s">
        <v>5022</v>
      </c>
      <c r="I3914" t="s">
        <v>5022</v>
      </c>
      <c r="J3914" t="b">
        <f>AND(CCData[[#This Row],[Date]]&gt;=Calculation!$E$3,CCData[[#This Row],[Date]]&lt;Calculation!$E$3+7)</f>
        <v>0</v>
      </c>
    </row>
    <row r="3915" spans="1:10">
      <c r="A3915" t="s">
        <v>3914</v>
      </c>
      <c r="B3915" s="2">
        <v>42073.432000000001</v>
      </c>
      <c r="C3915" s="3" t="s">
        <v>5006</v>
      </c>
      <c r="D3915" t="s">
        <v>5012</v>
      </c>
      <c r="E3915" t="s">
        <v>5019</v>
      </c>
      <c r="F3915" t="s">
        <v>5019</v>
      </c>
      <c r="G3915" t="s">
        <v>5022</v>
      </c>
      <c r="H3915" s="5" t="s">
        <v>5022</v>
      </c>
      <c r="I3915" t="s">
        <v>5022</v>
      </c>
      <c r="J3915" t="b">
        <f>AND(CCData[[#This Row],[Date]]&gt;=Calculation!$E$3,CCData[[#This Row],[Date]]&lt;Calculation!$E$3+7)</f>
        <v>0</v>
      </c>
    </row>
    <row r="3916" spans="1:10">
      <c r="A3916" t="s">
        <v>3915</v>
      </c>
      <c r="B3916" s="2">
        <v>42073.434999999998</v>
      </c>
      <c r="C3916" s="3" t="s">
        <v>5006</v>
      </c>
      <c r="D3916" t="s">
        <v>5016</v>
      </c>
      <c r="E3916" t="s">
        <v>5019</v>
      </c>
      <c r="F3916" t="s">
        <v>5019</v>
      </c>
      <c r="G3916" t="s">
        <v>5022</v>
      </c>
      <c r="H3916" s="5" t="s">
        <v>5022</v>
      </c>
      <c r="I3916" t="s">
        <v>5022</v>
      </c>
      <c r="J3916" t="b">
        <f>AND(CCData[[#This Row],[Date]]&gt;=Calculation!$E$3,CCData[[#This Row],[Date]]&lt;Calculation!$E$3+7)</f>
        <v>0</v>
      </c>
    </row>
    <row r="3917" spans="1:10">
      <c r="A3917" t="s">
        <v>3916</v>
      </c>
      <c r="B3917" s="2">
        <v>42073.434999999998</v>
      </c>
      <c r="C3917" s="3" t="s">
        <v>5005</v>
      </c>
      <c r="D3917" t="s">
        <v>5016</v>
      </c>
      <c r="E3917" t="s">
        <v>5018</v>
      </c>
      <c r="F3917" t="s">
        <v>5018</v>
      </c>
      <c r="G3917">
        <v>37</v>
      </c>
      <c r="H3917" s="5">
        <v>3.5350595140017376E-3</v>
      </c>
      <c r="I3917">
        <v>5</v>
      </c>
      <c r="J3917" t="b">
        <f>AND(CCData[[#This Row],[Date]]&gt;=Calculation!$E$3,CCData[[#This Row],[Date]]&lt;Calculation!$E$3+7)</f>
        <v>0</v>
      </c>
    </row>
    <row r="3918" spans="1:10">
      <c r="A3918" t="s">
        <v>3917</v>
      </c>
      <c r="B3918" s="2">
        <v>42073.502999999997</v>
      </c>
      <c r="C3918" s="3" t="s">
        <v>5009</v>
      </c>
      <c r="D3918" t="s">
        <v>5014</v>
      </c>
      <c r="E3918" t="s">
        <v>5018</v>
      </c>
      <c r="F3918" t="s">
        <v>5018</v>
      </c>
      <c r="G3918">
        <v>125</v>
      </c>
      <c r="H3918" s="5">
        <v>1.4071679291966278E-3</v>
      </c>
      <c r="I3918">
        <v>3</v>
      </c>
      <c r="J3918" t="b">
        <f>AND(CCData[[#This Row],[Date]]&gt;=Calculation!$E$3,CCData[[#This Row],[Date]]&lt;Calculation!$E$3+7)</f>
        <v>0</v>
      </c>
    </row>
    <row r="3919" spans="1:10">
      <c r="A3919" t="s">
        <v>3918</v>
      </c>
      <c r="B3919" s="2">
        <v>42073.502999999997</v>
      </c>
      <c r="C3919" s="3" t="s">
        <v>5003</v>
      </c>
      <c r="D3919" t="s">
        <v>5015</v>
      </c>
      <c r="E3919" t="s">
        <v>5018</v>
      </c>
      <c r="F3919" t="s">
        <v>5018</v>
      </c>
      <c r="G3919">
        <v>42</v>
      </c>
      <c r="H3919" s="5">
        <v>2.7234069647723764E-3</v>
      </c>
      <c r="I3919">
        <v>3</v>
      </c>
      <c r="J3919" t="b">
        <f>AND(CCData[[#This Row],[Date]]&gt;=Calculation!$E$3,CCData[[#This Row],[Date]]&lt;Calculation!$E$3+7)</f>
        <v>0</v>
      </c>
    </row>
    <row r="3920" spans="1:10">
      <c r="A3920" t="s">
        <v>3919</v>
      </c>
      <c r="B3920" s="2">
        <v>42073.534</v>
      </c>
      <c r="C3920" s="3" t="s">
        <v>5007</v>
      </c>
      <c r="D3920" t="s">
        <v>5014</v>
      </c>
      <c r="E3920" t="s">
        <v>5019</v>
      </c>
      <c r="F3920" t="s">
        <v>5019</v>
      </c>
      <c r="G3920" t="s">
        <v>5022</v>
      </c>
      <c r="H3920" s="5" t="s">
        <v>5022</v>
      </c>
      <c r="I3920" t="s">
        <v>5022</v>
      </c>
      <c r="J3920" t="b">
        <f>AND(CCData[[#This Row],[Date]]&gt;=Calculation!$E$3,CCData[[#This Row],[Date]]&lt;Calculation!$E$3+7)</f>
        <v>0</v>
      </c>
    </row>
    <row r="3921" spans="1:10">
      <c r="A3921" t="s">
        <v>3920</v>
      </c>
      <c r="B3921" s="2">
        <v>42073.534</v>
      </c>
      <c r="C3921" s="3" t="s">
        <v>5004</v>
      </c>
      <c r="D3921" t="s">
        <v>5016</v>
      </c>
      <c r="E3921" t="s">
        <v>5018</v>
      </c>
      <c r="F3921" t="s">
        <v>5018</v>
      </c>
      <c r="G3921">
        <v>43</v>
      </c>
      <c r="H3921" s="5">
        <v>4.1389132596968749E-4</v>
      </c>
      <c r="I3921">
        <v>3</v>
      </c>
      <c r="J3921" t="b">
        <f>AND(CCData[[#This Row],[Date]]&gt;=Calculation!$E$3,CCData[[#This Row],[Date]]&lt;Calculation!$E$3+7)</f>
        <v>0</v>
      </c>
    </row>
    <row r="3922" spans="1:10">
      <c r="A3922" t="s">
        <v>3921</v>
      </c>
      <c r="B3922" s="2">
        <v>42073.561999999998</v>
      </c>
      <c r="C3922" s="3" t="s">
        <v>5004</v>
      </c>
      <c r="D3922" t="s">
        <v>5016</v>
      </c>
      <c r="E3922" t="s">
        <v>5018</v>
      </c>
      <c r="F3922" t="s">
        <v>5018</v>
      </c>
      <c r="G3922">
        <v>74</v>
      </c>
      <c r="H3922" s="5">
        <v>1.8518314805488665E-3</v>
      </c>
      <c r="I3922">
        <v>4</v>
      </c>
      <c r="J3922" t="b">
        <f>AND(CCData[[#This Row],[Date]]&gt;=Calculation!$E$3,CCData[[#This Row],[Date]]&lt;Calculation!$E$3+7)</f>
        <v>0</v>
      </c>
    </row>
    <row r="3923" spans="1:10">
      <c r="A3923" t="s">
        <v>3922</v>
      </c>
      <c r="B3923" s="2">
        <v>42073.561999999998</v>
      </c>
      <c r="C3923" s="3" t="s">
        <v>5008</v>
      </c>
      <c r="D3923" t="s">
        <v>5015</v>
      </c>
      <c r="E3923" t="s">
        <v>5018</v>
      </c>
      <c r="F3923" t="s">
        <v>5018</v>
      </c>
      <c r="G3923">
        <v>90</v>
      </c>
      <c r="H3923" s="5">
        <v>3.4421312303959304E-3</v>
      </c>
      <c r="I3923">
        <v>3</v>
      </c>
      <c r="J3923" t="b">
        <f>AND(CCData[[#This Row],[Date]]&gt;=Calculation!$E$3,CCData[[#This Row],[Date]]&lt;Calculation!$E$3+7)</f>
        <v>0</v>
      </c>
    </row>
    <row r="3924" spans="1:10">
      <c r="A3924" t="s">
        <v>3923</v>
      </c>
      <c r="B3924" s="2">
        <v>42073.563999999998</v>
      </c>
      <c r="C3924" s="3" t="s">
        <v>5006</v>
      </c>
      <c r="D3924" t="s">
        <v>5012</v>
      </c>
      <c r="E3924" t="s">
        <v>5019</v>
      </c>
      <c r="F3924" t="s">
        <v>5019</v>
      </c>
      <c r="G3924" t="s">
        <v>5022</v>
      </c>
      <c r="H3924" s="5" t="s">
        <v>5022</v>
      </c>
      <c r="I3924" t="s">
        <v>5022</v>
      </c>
      <c r="J3924" t="b">
        <f>AND(CCData[[#This Row],[Date]]&gt;=Calculation!$E$3,CCData[[#This Row],[Date]]&lt;Calculation!$E$3+7)</f>
        <v>0</v>
      </c>
    </row>
    <row r="3925" spans="1:10">
      <c r="A3925" t="s">
        <v>3924</v>
      </c>
      <c r="B3925" s="2">
        <v>42073.563999999998</v>
      </c>
      <c r="C3925" s="3" t="s">
        <v>5007</v>
      </c>
      <c r="D3925" t="s">
        <v>5015</v>
      </c>
      <c r="E3925" t="s">
        <v>5018</v>
      </c>
      <c r="F3925" t="s">
        <v>5018</v>
      </c>
      <c r="G3925">
        <v>84</v>
      </c>
      <c r="H3925" s="5">
        <v>4.4192044211610179E-3</v>
      </c>
      <c r="I3925">
        <v>5</v>
      </c>
      <c r="J3925" t="b">
        <f>AND(CCData[[#This Row],[Date]]&gt;=Calculation!$E$3,CCData[[#This Row],[Date]]&lt;Calculation!$E$3+7)</f>
        <v>0</v>
      </c>
    </row>
    <row r="3926" spans="1:10">
      <c r="A3926" t="s">
        <v>3925</v>
      </c>
      <c r="B3926" s="2">
        <v>42073.571000000004</v>
      </c>
      <c r="C3926" s="3" t="s">
        <v>5008</v>
      </c>
      <c r="D3926" t="s">
        <v>5014</v>
      </c>
      <c r="E3926" t="s">
        <v>5018</v>
      </c>
      <c r="F3926" t="s">
        <v>5018</v>
      </c>
      <c r="G3926">
        <v>51</v>
      </c>
      <c r="H3926" s="5">
        <v>4.6893363121493243E-3</v>
      </c>
      <c r="I3926">
        <v>3</v>
      </c>
      <c r="J3926" t="b">
        <f>AND(CCData[[#This Row],[Date]]&gt;=Calculation!$E$3,CCData[[#This Row],[Date]]&lt;Calculation!$E$3+7)</f>
        <v>0</v>
      </c>
    </row>
    <row r="3927" spans="1:10">
      <c r="A3927" t="s">
        <v>3926</v>
      </c>
      <c r="B3927" s="2">
        <v>42073.571000000004</v>
      </c>
      <c r="C3927" s="3" t="s">
        <v>5003</v>
      </c>
      <c r="D3927" t="s">
        <v>5012</v>
      </c>
      <c r="E3927" t="s">
        <v>5019</v>
      </c>
      <c r="F3927" t="s">
        <v>5019</v>
      </c>
      <c r="G3927" t="s">
        <v>5022</v>
      </c>
      <c r="H3927" s="5" t="s">
        <v>5022</v>
      </c>
      <c r="I3927" t="s">
        <v>5022</v>
      </c>
      <c r="J3927" t="b">
        <f>AND(CCData[[#This Row],[Date]]&gt;=Calculation!$E$3,CCData[[#This Row],[Date]]&lt;Calculation!$E$3+7)</f>
        <v>0</v>
      </c>
    </row>
    <row r="3928" spans="1:10">
      <c r="A3928" t="s">
        <v>3927</v>
      </c>
      <c r="B3928" s="2">
        <v>42073.572999999997</v>
      </c>
      <c r="C3928" s="3" t="s">
        <v>5003</v>
      </c>
      <c r="D3928" t="s">
        <v>5016</v>
      </c>
      <c r="E3928" t="s">
        <v>5018</v>
      </c>
      <c r="F3928" t="s">
        <v>5019</v>
      </c>
      <c r="G3928">
        <v>90</v>
      </c>
      <c r="H3928" s="5">
        <v>3.0407615121717971E-3</v>
      </c>
      <c r="I3928">
        <v>3</v>
      </c>
      <c r="J3928" t="b">
        <f>AND(CCData[[#This Row],[Date]]&gt;=Calculation!$E$3,CCData[[#This Row],[Date]]&lt;Calculation!$E$3+7)</f>
        <v>0</v>
      </c>
    </row>
    <row r="3929" spans="1:10">
      <c r="A3929" t="s">
        <v>3928</v>
      </c>
      <c r="B3929" s="2">
        <v>42073.572999999997</v>
      </c>
      <c r="C3929" s="3" t="s">
        <v>5008</v>
      </c>
      <c r="D3929" t="s">
        <v>5015</v>
      </c>
      <c r="E3929" t="s">
        <v>5018</v>
      </c>
      <c r="F3929" t="s">
        <v>5018</v>
      </c>
      <c r="G3929">
        <v>82</v>
      </c>
      <c r="H3929" s="5">
        <v>5.6429770598460114E-4</v>
      </c>
      <c r="I3929">
        <v>3</v>
      </c>
      <c r="J3929" t="b">
        <f>AND(CCData[[#This Row],[Date]]&gt;=Calculation!$E$3,CCData[[#This Row],[Date]]&lt;Calculation!$E$3+7)</f>
        <v>0</v>
      </c>
    </row>
    <row r="3930" spans="1:10">
      <c r="A3930" t="s">
        <v>3929</v>
      </c>
      <c r="B3930" s="2">
        <v>42073.574999999997</v>
      </c>
      <c r="C3930" s="3" t="s">
        <v>5006</v>
      </c>
      <c r="D3930" t="s">
        <v>5015</v>
      </c>
      <c r="E3930" t="s">
        <v>5018</v>
      </c>
      <c r="F3930" t="s">
        <v>5018</v>
      </c>
      <c r="G3930">
        <v>77</v>
      </c>
      <c r="H3930" s="5">
        <v>2.848016602104036E-3</v>
      </c>
      <c r="I3930">
        <v>3</v>
      </c>
      <c r="J3930" t="b">
        <f>AND(CCData[[#This Row],[Date]]&gt;=Calculation!$E$3,CCData[[#This Row],[Date]]&lt;Calculation!$E$3+7)</f>
        <v>0</v>
      </c>
    </row>
    <row r="3931" spans="1:10">
      <c r="A3931" t="s">
        <v>3930</v>
      </c>
      <c r="B3931" s="2">
        <v>42073.574999999997</v>
      </c>
      <c r="C3931" s="3" t="s">
        <v>5009</v>
      </c>
      <c r="D3931" t="s">
        <v>5013</v>
      </c>
      <c r="E3931" t="s">
        <v>5019</v>
      </c>
      <c r="F3931" t="s">
        <v>5019</v>
      </c>
      <c r="G3931" t="s">
        <v>5022</v>
      </c>
      <c r="H3931" s="5" t="s">
        <v>5022</v>
      </c>
      <c r="I3931" t="s">
        <v>5022</v>
      </c>
      <c r="J3931" t="b">
        <f>AND(CCData[[#This Row],[Date]]&gt;=Calculation!$E$3,CCData[[#This Row],[Date]]&lt;Calculation!$E$3+7)</f>
        <v>0</v>
      </c>
    </row>
    <row r="3932" spans="1:10">
      <c r="A3932" t="s">
        <v>3931</v>
      </c>
      <c r="B3932" s="2">
        <v>42073.580999999998</v>
      </c>
      <c r="C3932" s="3" t="s">
        <v>5006</v>
      </c>
      <c r="D3932" t="s">
        <v>5012</v>
      </c>
      <c r="E3932" t="s">
        <v>5018</v>
      </c>
      <c r="F3932" t="s">
        <v>5018</v>
      </c>
      <c r="G3932">
        <v>116</v>
      </c>
      <c r="H3932" s="5">
        <v>3.5468149571621106E-4</v>
      </c>
      <c r="I3932">
        <v>3</v>
      </c>
      <c r="J3932" t="b">
        <f>AND(CCData[[#This Row],[Date]]&gt;=Calculation!$E$3,CCData[[#This Row],[Date]]&lt;Calculation!$E$3+7)</f>
        <v>0</v>
      </c>
    </row>
    <row r="3933" spans="1:10">
      <c r="A3933" t="s">
        <v>3932</v>
      </c>
      <c r="B3933" s="2">
        <v>42073.580999999998</v>
      </c>
      <c r="C3933" s="3" t="s">
        <v>5005</v>
      </c>
      <c r="D3933" t="s">
        <v>5014</v>
      </c>
      <c r="E3933" t="s">
        <v>5018</v>
      </c>
      <c r="F3933" t="s">
        <v>5018</v>
      </c>
      <c r="G3933">
        <v>120</v>
      </c>
      <c r="H3933" s="5">
        <v>9.6819198452551458E-4</v>
      </c>
      <c r="I3933">
        <v>3</v>
      </c>
      <c r="J3933" t="b">
        <f>AND(CCData[[#This Row],[Date]]&gt;=Calculation!$E$3,CCData[[#This Row],[Date]]&lt;Calculation!$E$3+7)</f>
        <v>0</v>
      </c>
    </row>
    <row r="3934" spans="1:10">
      <c r="A3934" t="s">
        <v>3933</v>
      </c>
      <c r="B3934" s="2">
        <v>42073.584000000003</v>
      </c>
      <c r="C3934" s="3" t="s">
        <v>5010</v>
      </c>
      <c r="D3934" t="s">
        <v>5014</v>
      </c>
      <c r="E3934" t="s">
        <v>5018</v>
      </c>
      <c r="F3934" t="s">
        <v>5018</v>
      </c>
      <c r="G3934">
        <v>13</v>
      </c>
      <c r="H3934" s="5">
        <v>3.0744631138844222E-3</v>
      </c>
      <c r="I3934">
        <v>1</v>
      </c>
      <c r="J3934" t="b">
        <f>AND(CCData[[#This Row],[Date]]&gt;=Calculation!$E$3,CCData[[#This Row],[Date]]&lt;Calculation!$E$3+7)</f>
        <v>0</v>
      </c>
    </row>
    <row r="3935" spans="1:10">
      <c r="A3935" t="s">
        <v>3934</v>
      </c>
      <c r="B3935" s="2">
        <v>42073.584000000003</v>
      </c>
      <c r="C3935" s="3" t="s">
        <v>5010</v>
      </c>
      <c r="D3935" t="s">
        <v>5016</v>
      </c>
      <c r="E3935" t="s">
        <v>5018</v>
      </c>
      <c r="F3935" t="s">
        <v>5018</v>
      </c>
      <c r="G3935">
        <v>26</v>
      </c>
      <c r="H3935" s="5">
        <v>2.1003245538138565E-3</v>
      </c>
      <c r="I3935">
        <v>3</v>
      </c>
      <c r="J3935" t="b">
        <f>AND(CCData[[#This Row],[Date]]&gt;=Calculation!$E$3,CCData[[#This Row],[Date]]&lt;Calculation!$E$3+7)</f>
        <v>0</v>
      </c>
    </row>
    <row r="3936" spans="1:10">
      <c r="A3936" t="s">
        <v>3935</v>
      </c>
      <c r="B3936" s="2">
        <v>42073.637000000002</v>
      </c>
      <c r="C3936" s="3" t="s">
        <v>5005</v>
      </c>
      <c r="D3936" t="s">
        <v>5012</v>
      </c>
      <c r="E3936" t="s">
        <v>5018</v>
      </c>
      <c r="F3936" t="s">
        <v>5018</v>
      </c>
      <c r="G3936">
        <v>93</v>
      </c>
      <c r="H3936" s="5">
        <v>1.5953580464371188E-3</v>
      </c>
      <c r="I3936">
        <v>3</v>
      </c>
      <c r="J3936" t="b">
        <f>AND(CCData[[#This Row],[Date]]&gt;=Calculation!$E$3,CCData[[#This Row],[Date]]&lt;Calculation!$E$3+7)</f>
        <v>0</v>
      </c>
    </row>
    <row r="3937" spans="1:10">
      <c r="A3937" t="s">
        <v>3936</v>
      </c>
      <c r="B3937" s="2">
        <v>42073.637000000002</v>
      </c>
      <c r="C3937" s="3" t="s">
        <v>5010</v>
      </c>
      <c r="D3937" t="s">
        <v>5012</v>
      </c>
      <c r="E3937" t="s">
        <v>5018</v>
      </c>
      <c r="F3937" t="s">
        <v>5018</v>
      </c>
      <c r="G3937">
        <v>20</v>
      </c>
      <c r="H3937" s="5">
        <v>3.8347029982362601E-4</v>
      </c>
      <c r="I3937">
        <v>3</v>
      </c>
      <c r="J3937" t="b">
        <f>AND(CCData[[#This Row],[Date]]&gt;=Calculation!$E$3,CCData[[#This Row],[Date]]&lt;Calculation!$E$3+7)</f>
        <v>0</v>
      </c>
    </row>
    <row r="3938" spans="1:10">
      <c r="A3938" t="s">
        <v>3937</v>
      </c>
      <c r="B3938" s="2">
        <v>42073.642</v>
      </c>
      <c r="C3938" s="3" t="s">
        <v>5005</v>
      </c>
      <c r="D3938" t="s">
        <v>5012</v>
      </c>
      <c r="E3938" t="s">
        <v>5019</v>
      </c>
      <c r="F3938" t="s">
        <v>5019</v>
      </c>
      <c r="G3938" t="s">
        <v>5022</v>
      </c>
      <c r="H3938" s="5" t="s">
        <v>5022</v>
      </c>
      <c r="I3938" t="s">
        <v>5022</v>
      </c>
      <c r="J3938" t="b">
        <f>AND(CCData[[#This Row],[Date]]&gt;=Calculation!$E$3,CCData[[#This Row],[Date]]&lt;Calculation!$E$3+7)</f>
        <v>0</v>
      </c>
    </row>
    <row r="3939" spans="1:10">
      <c r="A3939" t="s">
        <v>3938</v>
      </c>
      <c r="B3939" s="2">
        <v>42073.642</v>
      </c>
      <c r="C3939" s="3" t="s">
        <v>5008</v>
      </c>
      <c r="D3939" t="s">
        <v>5016</v>
      </c>
      <c r="E3939" t="s">
        <v>5018</v>
      </c>
      <c r="F3939" t="s">
        <v>5018</v>
      </c>
      <c r="G3939">
        <v>113</v>
      </c>
      <c r="H3939" s="5">
        <v>9.0442459380071045E-4</v>
      </c>
      <c r="I3939">
        <v>1</v>
      </c>
      <c r="J3939" t="b">
        <f>AND(CCData[[#This Row],[Date]]&gt;=Calculation!$E$3,CCData[[#This Row],[Date]]&lt;Calculation!$E$3+7)</f>
        <v>0</v>
      </c>
    </row>
    <row r="3940" spans="1:10">
      <c r="A3940" t="s">
        <v>3939</v>
      </c>
      <c r="B3940" s="2">
        <v>42073.667000000001</v>
      </c>
      <c r="C3940" s="3" t="s">
        <v>5005</v>
      </c>
      <c r="D3940" t="s">
        <v>5016</v>
      </c>
      <c r="E3940" t="s">
        <v>5019</v>
      </c>
      <c r="F3940" t="s">
        <v>5019</v>
      </c>
      <c r="G3940" t="s">
        <v>5022</v>
      </c>
      <c r="H3940" s="5" t="s">
        <v>5022</v>
      </c>
      <c r="I3940" t="s">
        <v>5022</v>
      </c>
      <c r="J3940" t="b">
        <f>AND(CCData[[#This Row],[Date]]&gt;=Calculation!$E$3,CCData[[#This Row],[Date]]&lt;Calculation!$E$3+7)</f>
        <v>0</v>
      </c>
    </row>
    <row r="3941" spans="1:10">
      <c r="A3941" t="s">
        <v>3940</v>
      </c>
      <c r="B3941" s="2">
        <v>42073.667000000001</v>
      </c>
      <c r="C3941" s="3" t="s">
        <v>5008</v>
      </c>
      <c r="D3941" t="s">
        <v>5014</v>
      </c>
      <c r="E3941" t="s">
        <v>5018</v>
      </c>
      <c r="F3941" t="s">
        <v>5018</v>
      </c>
      <c r="G3941">
        <v>113</v>
      </c>
      <c r="H3941" s="5">
        <v>4.3409288678660524E-3</v>
      </c>
      <c r="I3941">
        <v>2</v>
      </c>
      <c r="J3941" t="b">
        <f>AND(CCData[[#This Row],[Date]]&gt;=Calculation!$E$3,CCData[[#This Row],[Date]]&lt;Calculation!$E$3+7)</f>
        <v>0</v>
      </c>
    </row>
    <row r="3942" spans="1:10">
      <c r="A3942" t="s">
        <v>3941</v>
      </c>
      <c r="B3942" s="2">
        <v>42073.688000000002</v>
      </c>
      <c r="C3942" s="3" t="s">
        <v>5006</v>
      </c>
      <c r="D3942" t="s">
        <v>5016</v>
      </c>
      <c r="E3942" t="s">
        <v>5018</v>
      </c>
      <c r="F3942" t="s">
        <v>5018</v>
      </c>
      <c r="G3942">
        <v>44</v>
      </c>
      <c r="H3942" s="5">
        <v>2.2776336707287514E-3</v>
      </c>
      <c r="I3942">
        <v>5</v>
      </c>
      <c r="J3942" t="b">
        <f>AND(CCData[[#This Row],[Date]]&gt;=Calculation!$E$3,CCData[[#This Row],[Date]]&lt;Calculation!$E$3+7)</f>
        <v>0</v>
      </c>
    </row>
    <row r="3943" spans="1:10">
      <c r="A3943" t="s">
        <v>3942</v>
      </c>
      <c r="B3943" s="2">
        <v>42073.688000000002</v>
      </c>
      <c r="C3943" s="3" t="s">
        <v>5004</v>
      </c>
      <c r="D3943" t="s">
        <v>5014</v>
      </c>
      <c r="E3943" t="s">
        <v>5018</v>
      </c>
      <c r="F3943" t="s">
        <v>5018</v>
      </c>
      <c r="G3943">
        <v>103</v>
      </c>
      <c r="H3943" s="5">
        <v>9.5942664229192417E-4</v>
      </c>
      <c r="I3943">
        <v>3</v>
      </c>
      <c r="J3943" t="b">
        <f>AND(CCData[[#This Row],[Date]]&gt;=Calculation!$E$3,CCData[[#This Row],[Date]]&lt;Calculation!$E$3+7)</f>
        <v>0</v>
      </c>
    </row>
    <row r="3944" spans="1:10">
      <c r="A3944" t="s">
        <v>3943</v>
      </c>
      <c r="B3944" s="2">
        <v>42073.699000000001</v>
      </c>
      <c r="C3944" s="3" t="s">
        <v>5006</v>
      </c>
      <c r="D3944" t="s">
        <v>5016</v>
      </c>
      <c r="E3944" t="s">
        <v>5018</v>
      </c>
      <c r="F3944" t="s">
        <v>5018</v>
      </c>
      <c r="G3944">
        <v>92</v>
      </c>
      <c r="H3944" s="5">
        <v>4.4345404433326976E-3</v>
      </c>
      <c r="I3944">
        <v>2</v>
      </c>
      <c r="J3944" t="b">
        <f>AND(CCData[[#This Row],[Date]]&gt;=Calculation!$E$3,CCData[[#This Row],[Date]]&lt;Calculation!$E$3+7)</f>
        <v>0</v>
      </c>
    </row>
    <row r="3945" spans="1:10">
      <c r="A3945" t="s">
        <v>3944</v>
      </c>
      <c r="B3945" s="2">
        <v>42073.699000000001</v>
      </c>
      <c r="C3945" s="3" t="s">
        <v>5010</v>
      </c>
      <c r="D3945" t="s">
        <v>5016</v>
      </c>
      <c r="E3945" t="s">
        <v>5018</v>
      </c>
      <c r="F3945" t="s">
        <v>5019</v>
      </c>
      <c r="G3945">
        <v>92</v>
      </c>
      <c r="H3945" s="5">
        <v>3.0129171714313244E-3</v>
      </c>
      <c r="I3945">
        <v>3</v>
      </c>
      <c r="J3945" t="b">
        <f>AND(CCData[[#This Row],[Date]]&gt;=Calculation!$E$3,CCData[[#This Row],[Date]]&lt;Calculation!$E$3+7)</f>
        <v>0</v>
      </c>
    </row>
    <row r="3946" spans="1:10">
      <c r="A3946" t="s">
        <v>3945</v>
      </c>
      <c r="B3946" s="2">
        <v>42073.712</v>
      </c>
      <c r="C3946" s="3" t="s">
        <v>5010</v>
      </c>
      <c r="D3946" t="s">
        <v>5016</v>
      </c>
      <c r="E3946" t="s">
        <v>5018</v>
      </c>
      <c r="F3946" t="s">
        <v>5018</v>
      </c>
      <c r="G3946">
        <v>33</v>
      </c>
      <c r="H3946" s="5">
        <v>3.635222227578496E-3</v>
      </c>
      <c r="I3946">
        <v>5</v>
      </c>
      <c r="J3946" t="b">
        <f>AND(CCData[[#This Row],[Date]]&gt;=Calculation!$E$3,CCData[[#This Row],[Date]]&lt;Calculation!$E$3+7)</f>
        <v>0</v>
      </c>
    </row>
    <row r="3947" spans="1:10">
      <c r="A3947" t="s">
        <v>3946</v>
      </c>
      <c r="B3947" s="2">
        <v>42073.712</v>
      </c>
      <c r="C3947" s="3" t="s">
        <v>5010</v>
      </c>
      <c r="D3947" t="s">
        <v>5012</v>
      </c>
      <c r="E3947" t="s">
        <v>5018</v>
      </c>
      <c r="F3947" t="s">
        <v>5018</v>
      </c>
      <c r="G3947">
        <v>24</v>
      </c>
      <c r="H3947" s="5">
        <v>3.239705963591708E-3</v>
      </c>
      <c r="I3947">
        <v>5</v>
      </c>
      <c r="J3947" t="b">
        <f>AND(CCData[[#This Row],[Date]]&gt;=Calculation!$E$3,CCData[[#This Row],[Date]]&lt;Calculation!$E$3+7)</f>
        <v>0</v>
      </c>
    </row>
    <row r="3948" spans="1:10">
      <c r="A3948" t="s">
        <v>3947</v>
      </c>
      <c r="B3948" s="2">
        <v>42073.733</v>
      </c>
      <c r="C3948" s="3" t="s">
        <v>5006</v>
      </c>
      <c r="D3948" t="s">
        <v>5016</v>
      </c>
      <c r="E3948" t="s">
        <v>5018</v>
      </c>
      <c r="F3948" t="s">
        <v>5018</v>
      </c>
      <c r="G3948">
        <v>84</v>
      </c>
      <c r="H3948" s="5">
        <v>1.4289221122787466E-3</v>
      </c>
      <c r="I3948">
        <v>3</v>
      </c>
      <c r="J3948" t="b">
        <f>AND(CCData[[#This Row],[Date]]&gt;=Calculation!$E$3,CCData[[#This Row],[Date]]&lt;Calculation!$E$3+7)</f>
        <v>0</v>
      </c>
    </row>
    <row r="3949" spans="1:10">
      <c r="A3949" t="s">
        <v>3948</v>
      </c>
      <c r="B3949" s="2">
        <v>42073.733</v>
      </c>
      <c r="C3949" s="3" t="s">
        <v>5007</v>
      </c>
      <c r="D3949" t="s">
        <v>5013</v>
      </c>
      <c r="E3949" t="s">
        <v>5018</v>
      </c>
      <c r="F3949" t="s">
        <v>5018</v>
      </c>
      <c r="G3949">
        <v>99</v>
      </c>
      <c r="H3949" s="5">
        <v>1.93091221967144E-3</v>
      </c>
      <c r="I3949">
        <v>3</v>
      </c>
      <c r="J3949" t="b">
        <f>AND(CCData[[#This Row],[Date]]&gt;=Calculation!$E$3,CCData[[#This Row],[Date]]&lt;Calculation!$E$3+7)</f>
        <v>0</v>
      </c>
    </row>
    <row r="3950" spans="1:10">
      <c r="A3950" t="s">
        <v>3949</v>
      </c>
      <c r="B3950" s="2">
        <v>42074.381999999998</v>
      </c>
      <c r="C3950" s="3" t="s">
        <v>5005</v>
      </c>
      <c r="D3950" t="s">
        <v>5013</v>
      </c>
      <c r="E3950" t="s">
        <v>5019</v>
      </c>
      <c r="F3950" t="s">
        <v>5019</v>
      </c>
      <c r="G3950" t="s">
        <v>5022</v>
      </c>
      <c r="H3950" s="5" t="s">
        <v>5022</v>
      </c>
      <c r="I3950" t="s">
        <v>5022</v>
      </c>
      <c r="J3950" t="b">
        <f>AND(CCData[[#This Row],[Date]]&gt;=Calculation!$E$3,CCData[[#This Row],[Date]]&lt;Calculation!$E$3+7)</f>
        <v>0</v>
      </c>
    </row>
    <row r="3951" spans="1:10">
      <c r="A3951" t="s">
        <v>3950</v>
      </c>
      <c r="B3951" s="2">
        <v>42074.381999999998</v>
      </c>
      <c r="C3951" s="3" t="s">
        <v>5003</v>
      </c>
      <c r="D3951" t="s">
        <v>5013</v>
      </c>
      <c r="E3951" t="s">
        <v>5018</v>
      </c>
      <c r="F3951" t="s">
        <v>5018</v>
      </c>
      <c r="G3951">
        <v>58</v>
      </c>
      <c r="H3951" s="5">
        <v>1.5761301362466724E-3</v>
      </c>
      <c r="I3951">
        <v>5</v>
      </c>
      <c r="J3951" t="b">
        <f>AND(CCData[[#This Row],[Date]]&gt;=Calculation!$E$3,CCData[[#This Row],[Date]]&lt;Calculation!$E$3+7)</f>
        <v>0</v>
      </c>
    </row>
    <row r="3952" spans="1:10">
      <c r="A3952" t="s">
        <v>3951</v>
      </c>
      <c r="B3952" s="2">
        <v>42074.402000000002</v>
      </c>
      <c r="C3952" s="3" t="s">
        <v>5008</v>
      </c>
      <c r="D3952" t="s">
        <v>5016</v>
      </c>
      <c r="E3952" t="s">
        <v>5019</v>
      </c>
      <c r="F3952" t="s">
        <v>5019</v>
      </c>
      <c r="G3952" t="s">
        <v>5022</v>
      </c>
      <c r="H3952" s="5" t="s">
        <v>5022</v>
      </c>
      <c r="I3952" t="s">
        <v>5022</v>
      </c>
      <c r="J3952" t="b">
        <f>AND(CCData[[#This Row],[Date]]&gt;=Calculation!$E$3,CCData[[#This Row],[Date]]&lt;Calculation!$E$3+7)</f>
        <v>0</v>
      </c>
    </row>
    <row r="3953" spans="1:10">
      <c r="A3953" t="s">
        <v>3952</v>
      </c>
      <c r="B3953" s="2">
        <v>42074.402000000002</v>
      </c>
      <c r="C3953" s="3" t="s">
        <v>5006</v>
      </c>
      <c r="D3953" t="s">
        <v>5015</v>
      </c>
      <c r="E3953" t="s">
        <v>5018</v>
      </c>
      <c r="F3953" t="s">
        <v>5018</v>
      </c>
      <c r="G3953">
        <v>27</v>
      </c>
      <c r="H3953" s="5">
        <v>1.0193800600515374E-3</v>
      </c>
      <c r="I3953">
        <v>1</v>
      </c>
      <c r="J3953" t="b">
        <f>AND(CCData[[#This Row],[Date]]&gt;=Calculation!$E$3,CCData[[#This Row],[Date]]&lt;Calculation!$E$3+7)</f>
        <v>0</v>
      </c>
    </row>
    <row r="3954" spans="1:10">
      <c r="A3954" t="s">
        <v>3953</v>
      </c>
      <c r="B3954" s="2">
        <v>42074.402999999998</v>
      </c>
      <c r="C3954" s="3" t="s">
        <v>5006</v>
      </c>
      <c r="D3954" t="s">
        <v>5014</v>
      </c>
      <c r="E3954" t="s">
        <v>5018</v>
      </c>
      <c r="F3954" t="s">
        <v>5018</v>
      </c>
      <c r="G3954">
        <v>48</v>
      </c>
      <c r="H3954" s="5">
        <v>5.1162575312451331E-4</v>
      </c>
      <c r="I3954">
        <v>3</v>
      </c>
      <c r="J3954" t="b">
        <f>AND(CCData[[#This Row],[Date]]&gt;=Calculation!$E$3,CCData[[#This Row],[Date]]&lt;Calculation!$E$3+7)</f>
        <v>0</v>
      </c>
    </row>
    <row r="3955" spans="1:10">
      <c r="A3955" t="s">
        <v>3954</v>
      </c>
      <c r="B3955" s="2">
        <v>42074.402999999998</v>
      </c>
      <c r="C3955" s="3" t="s">
        <v>5007</v>
      </c>
      <c r="D3955" t="s">
        <v>5012</v>
      </c>
      <c r="E3955" t="s">
        <v>5018</v>
      </c>
      <c r="F3955" t="s">
        <v>5018</v>
      </c>
      <c r="G3955">
        <v>86</v>
      </c>
      <c r="H3955" s="5">
        <v>4.5928774133798863E-3</v>
      </c>
      <c r="I3955">
        <v>5</v>
      </c>
      <c r="J3955" t="b">
        <f>AND(CCData[[#This Row],[Date]]&gt;=Calculation!$E$3,CCData[[#This Row],[Date]]&lt;Calculation!$E$3+7)</f>
        <v>0</v>
      </c>
    </row>
    <row r="3956" spans="1:10">
      <c r="A3956" t="s">
        <v>3955</v>
      </c>
      <c r="B3956" s="2">
        <v>42074.415000000001</v>
      </c>
      <c r="C3956" s="3" t="s">
        <v>5010</v>
      </c>
      <c r="D3956" t="s">
        <v>5016</v>
      </c>
      <c r="E3956" t="s">
        <v>5019</v>
      </c>
      <c r="F3956" t="s">
        <v>5019</v>
      </c>
      <c r="G3956" t="s">
        <v>5022</v>
      </c>
      <c r="H3956" s="5" t="s">
        <v>5022</v>
      </c>
      <c r="I3956" t="s">
        <v>5022</v>
      </c>
      <c r="J3956" t="b">
        <f>AND(CCData[[#This Row],[Date]]&gt;=Calculation!$E$3,CCData[[#This Row],[Date]]&lt;Calculation!$E$3+7)</f>
        <v>0</v>
      </c>
    </row>
    <row r="3957" spans="1:10">
      <c r="A3957" t="s">
        <v>3956</v>
      </c>
      <c r="B3957" s="2">
        <v>42074.415000000001</v>
      </c>
      <c r="C3957" s="3" t="s">
        <v>5006</v>
      </c>
      <c r="D3957" t="s">
        <v>5013</v>
      </c>
      <c r="E3957" t="s">
        <v>5018</v>
      </c>
      <c r="F3957" t="s">
        <v>5018</v>
      </c>
      <c r="G3957">
        <v>82</v>
      </c>
      <c r="H3957" s="5">
        <v>3.667351411902406E-3</v>
      </c>
      <c r="I3957">
        <v>3</v>
      </c>
      <c r="J3957" t="b">
        <f>AND(CCData[[#This Row],[Date]]&gt;=Calculation!$E$3,CCData[[#This Row],[Date]]&lt;Calculation!$E$3+7)</f>
        <v>0</v>
      </c>
    </row>
    <row r="3958" spans="1:10">
      <c r="A3958" t="s">
        <v>3957</v>
      </c>
      <c r="B3958" s="2">
        <v>42074.417999999998</v>
      </c>
      <c r="C3958" s="3" t="s">
        <v>5007</v>
      </c>
      <c r="D3958" t="s">
        <v>5013</v>
      </c>
      <c r="E3958" t="s">
        <v>5018</v>
      </c>
      <c r="F3958" t="s">
        <v>5018</v>
      </c>
      <c r="G3958">
        <v>54</v>
      </c>
      <c r="H3958" s="5">
        <v>2.9179246537615238E-3</v>
      </c>
      <c r="I3958">
        <v>4</v>
      </c>
      <c r="J3958" t="b">
        <f>AND(CCData[[#This Row],[Date]]&gt;=Calculation!$E$3,CCData[[#This Row],[Date]]&lt;Calculation!$E$3+7)</f>
        <v>0</v>
      </c>
    </row>
    <row r="3959" spans="1:10">
      <c r="A3959" t="s">
        <v>3958</v>
      </c>
      <c r="B3959" s="2">
        <v>42074.417999999998</v>
      </c>
      <c r="C3959" s="3" t="s">
        <v>5010</v>
      </c>
      <c r="D3959" t="s">
        <v>5013</v>
      </c>
      <c r="E3959" t="s">
        <v>5018</v>
      </c>
      <c r="F3959" t="s">
        <v>5018</v>
      </c>
      <c r="G3959">
        <v>87</v>
      </c>
      <c r="H3959" s="5">
        <v>4.4108922978107938E-3</v>
      </c>
      <c r="I3959">
        <v>4</v>
      </c>
      <c r="J3959" t="b">
        <f>AND(CCData[[#This Row],[Date]]&gt;=Calculation!$E$3,CCData[[#This Row],[Date]]&lt;Calculation!$E$3+7)</f>
        <v>0</v>
      </c>
    </row>
    <row r="3960" spans="1:10">
      <c r="A3960" t="s">
        <v>3959</v>
      </c>
      <c r="B3960" s="2">
        <v>42074.423000000003</v>
      </c>
      <c r="C3960" s="3" t="s">
        <v>5003</v>
      </c>
      <c r="D3960" t="s">
        <v>5015</v>
      </c>
      <c r="E3960" t="s">
        <v>5018</v>
      </c>
      <c r="F3960" t="s">
        <v>5018</v>
      </c>
      <c r="G3960">
        <v>114</v>
      </c>
      <c r="H3960" s="5">
        <v>4.3413923319446978E-3</v>
      </c>
      <c r="I3960">
        <v>5</v>
      </c>
      <c r="J3960" t="b">
        <f>AND(CCData[[#This Row],[Date]]&gt;=Calculation!$E$3,CCData[[#This Row],[Date]]&lt;Calculation!$E$3+7)</f>
        <v>0</v>
      </c>
    </row>
    <row r="3961" spans="1:10">
      <c r="A3961" t="s">
        <v>3960</v>
      </c>
      <c r="B3961" s="2">
        <v>42074.423000000003</v>
      </c>
      <c r="C3961" s="3" t="s">
        <v>5007</v>
      </c>
      <c r="D3961" t="s">
        <v>5015</v>
      </c>
      <c r="E3961" t="s">
        <v>5019</v>
      </c>
      <c r="F3961" t="s">
        <v>5019</v>
      </c>
      <c r="G3961" t="s">
        <v>5022</v>
      </c>
      <c r="H3961" s="5" t="s">
        <v>5022</v>
      </c>
      <c r="I3961" t="s">
        <v>5022</v>
      </c>
      <c r="J3961" t="b">
        <f>AND(CCData[[#This Row],[Date]]&gt;=Calculation!$E$3,CCData[[#This Row],[Date]]&lt;Calculation!$E$3+7)</f>
        <v>0</v>
      </c>
    </row>
    <row r="3962" spans="1:10">
      <c r="A3962" t="s">
        <v>3961</v>
      </c>
      <c r="B3962" s="2">
        <v>42074.434000000001</v>
      </c>
      <c r="C3962" s="3" t="s">
        <v>5007</v>
      </c>
      <c r="D3962" t="s">
        <v>5015</v>
      </c>
      <c r="E3962" t="s">
        <v>5018</v>
      </c>
      <c r="F3962" t="s">
        <v>5018</v>
      </c>
      <c r="G3962">
        <v>104</v>
      </c>
      <c r="H3962" s="5">
        <v>5.5681524403354879E-4</v>
      </c>
      <c r="I3962">
        <v>5</v>
      </c>
      <c r="J3962" t="b">
        <f>AND(CCData[[#This Row],[Date]]&gt;=Calculation!$E$3,CCData[[#This Row],[Date]]&lt;Calculation!$E$3+7)</f>
        <v>0</v>
      </c>
    </row>
    <row r="3963" spans="1:10">
      <c r="A3963" t="s">
        <v>3962</v>
      </c>
      <c r="B3963" s="2">
        <v>42074.434000000001</v>
      </c>
      <c r="C3963" s="3" t="s">
        <v>5005</v>
      </c>
      <c r="D3963" t="s">
        <v>5016</v>
      </c>
      <c r="E3963" t="s">
        <v>5018</v>
      </c>
      <c r="F3963" t="s">
        <v>5018</v>
      </c>
      <c r="G3963">
        <v>81</v>
      </c>
      <c r="H3963" s="5">
        <v>1.9646711180943775E-3</v>
      </c>
      <c r="I3963">
        <v>5</v>
      </c>
      <c r="J3963" t="b">
        <f>AND(CCData[[#This Row],[Date]]&gt;=Calculation!$E$3,CCData[[#This Row],[Date]]&lt;Calculation!$E$3+7)</f>
        <v>0</v>
      </c>
    </row>
    <row r="3964" spans="1:10">
      <c r="A3964" t="s">
        <v>3963</v>
      </c>
      <c r="B3964" s="2">
        <v>42074.438000000002</v>
      </c>
      <c r="C3964" s="3" t="s">
        <v>5006</v>
      </c>
      <c r="D3964" t="s">
        <v>5014</v>
      </c>
      <c r="E3964" t="s">
        <v>5018</v>
      </c>
      <c r="F3964" t="s">
        <v>5018</v>
      </c>
      <c r="G3964">
        <v>120</v>
      </c>
      <c r="H3964" s="5">
        <v>2.7473343040684038E-3</v>
      </c>
      <c r="I3964">
        <v>4</v>
      </c>
      <c r="J3964" t="b">
        <f>AND(CCData[[#This Row],[Date]]&gt;=Calculation!$E$3,CCData[[#This Row],[Date]]&lt;Calculation!$E$3+7)</f>
        <v>0</v>
      </c>
    </row>
    <row r="3965" spans="1:10">
      <c r="A3965" t="s">
        <v>3964</v>
      </c>
      <c r="B3965" s="2">
        <v>42074.438000000002</v>
      </c>
      <c r="C3965" s="3" t="s">
        <v>5006</v>
      </c>
      <c r="D3965" t="s">
        <v>5014</v>
      </c>
      <c r="E3965" t="s">
        <v>5019</v>
      </c>
      <c r="F3965" t="s">
        <v>5019</v>
      </c>
      <c r="G3965" t="s">
        <v>5022</v>
      </c>
      <c r="H3965" s="5" t="s">
        <v>5022</v>
      </c>
      <c r="I3965" t="s">
        <v>5022</v>
      </c>
      <c r="J3965" t="b">
        <f>AND(CCData[[#This Row],[Date]]&gt;=Calculation!$E$3,CCData[[#This Row],[Date]]&lt;Calculation!$E$3+7)</f>
        <v>0</v>
      </c>
    </row>
    <row r="3966" spans="1:10">
      <c r="A3966" t="s">
        <v>3965</v>
      </c>
      <c r="B3966" s="2">
        <v>42074.451000000001</v>
      </c>
      <c r="C3966" s="3" t="s">
        <v>5004</v>
      </c>
      <c r="D3966" t="s">
        <v>5012</v>
      </c>
      <c r="E3966" t="s">
        <v>5018</v>
      </c>
      <c r="F3966" t="s">
        <v>5018</v>
      </c>
      <c r="G3966">
        <v>72</v>
      </c>
      <c r="H3966" s="5">
        <v>3.6051315190050465E-3</v>
      </c>
      <c r="I3966">
        <v>3</v>
      </c>
      <c r="J3966" t="b">
        <f>AND(CCData[[#This Row],[Date]]&gt;=Calculation!$E$3,CCData[[#This Row],[Date]]&lt;Calculation!$E$3+7)</f>
        <v>0</v>
      </c>
    </row>
    <row r="3967" spans="1:10">
      <c r="A3967" t="s">
        <v>3966</v>
      </c>
      <c r="B3967" s="2">
        <v>42074.451000000001</v>
      </c>
      <c r="C3967" s="3" t="s">
        <v>5005</v>
      </c>
      <c r="D3967" t="s">
        <v>5015</v>
      </c>
      <c r="E3967" t="s">
        <v>5018</v>
      </c>
      <c r="F3967" t="s">
        <v>5018</v>
      </c>
      <c r="G3967">
        <v>57</v>
      </c>
      <c r="H3967" s="5">
        <v>2.0640308805602164E-3</v>
      </c>
      <c r="I3967">
        <v>3</v>
      </c>
      <c r="J3967" t="b">
        <f>AND(CCData[[#This Row],[Date]]&gt;=Calculation!$E$3,CCData[[#This Row],[Date]]&lt;Calculation!$E$3+7)</f>
        <v>0</v>
      </c>
    </row>
    <row r="3968" spans="1:10">
      <c r="A3968" t="s">
        <v>3967</v>
      </c>
      <c r="B3968" s="2">
        <v>42074.451999999997</v>
      </c>
      <c r="C3968" s="3" t="s">
        <v>5006</v>
      </c>
      <c r="D3968" t="s">
        <v>5015</v>
      </c>
      <c r="E3968" t="s">
        <v>5018</v>
      </c>
      <c r="F3968" t="s">
        <v>5018</v>
      </c>
      <c r="G3968">
        <v>74</v>
      </c>
      <c r="H3968" s="5">
        <v>5.5398834863201404E-4</v>
      </c>
      <c r="I3968">
        <v>5</v>
      </c>
      <c r="J3968" t="b">
        <f>AND(CCData[[#This Row],[Date]]&gt;=Calculation!$E$3,CCData[[#This Row],[Date]]&lt;Calculation!$E$3+7)</f>
        <v>0</v>
      </c>
    </row>
    <row r="3969" spans="1:10">
      <c r="A3969" t="s">
        <v>3968</v>
      </c>
      <c r="B3969" s="2">
        <v>42074.451999999997</v>
      </c>
      <c r="C3969" s="3" t="s">
        <v>5008</v>
      </c>
      <c r="D3969" t="s">
        <v>5016</v>
      </c>
      <c r="E3969" t="s">
        <v>5018</v>
      </c>
      <c r="F3969" t="s">
        <v>5018</v>
      </c>
      <c r="G3969">
        <v>53</v>
      </c>
      <c r="H3969" s="5">
        <v>3.9569063927828918E-3</v>
      </c>
      <c r="I3969">
        <v>3</v>
      </c>
      <c r="J3969" t="b">
        <f>AND(CCData[[#This Row],[Date]]&gt;=Calculation!$E$3,CCData[[#This Row],[Date]]&lt;Calculation!$E$3+7)</f>
        <v>0</v>
      </c>
    </row>
    <row r="3970" spans="1:10">
      <c r="A3970" t="s">
        <v>3969</v>
      </c>
      <c r="B3970" s="2">
        <v>42074.459000000003</v>
      </c>
      <c r="C3970" s="3" t="s">
        <v>5006</v>
      </c>
      <c r="D3970" t="s">
        <v>5014</v>
      </c>
      <c r="E3970" t="s">
        <v>5018</v>
      </c>
      <c r="F3970" t="s">
        <v>5018</v>
      </c>
      <c r="G3970">
        <v>79</v>
      </c>
      <c r="H3970" s="5">
        <v>1.586171897121752E-3</v>
      </c>
      <c r="I3970">
        <v>3</v>
      </c>
      <c r="J3970" t="b">
        <f>AND(CCData[[#This Row],[Date]]&gt;=Calculation!$E$3,CCData[[#This Row],[Date]]&lt;Calculation!$E$3+7)</f>
        <v>0</v>
      </c>
    </row>
    <row r="3971" spans="1:10">
      <c r="A3971" t="s">
        <v>3970</v>
      </c>
      <c r="B3971" s="2">
        <v>42074.459000000003</v>
      </c>
      <c r="C3971" s="3" t="s">
        <v>5009</v>
      </c>
      <c r="D3971" t="s">
        <v>5016</v>
      </c>
      <c r="E3971" t="s">
        <v>5018</v>
      </c>
      <c r="F3971" t="s">
        <v>5018</v>
      </c>
      <c r="G3971">
        <v>100</v>
      </c>
      <c r="H3971" s="5">
        <v>4.171044968404417E-3</v>
      </c>
      <c r="I3971">
        <v>3</v>
      </c>
      <c r="J3971" t="b">
        <f>AND(CCData[[#This Row],[Date]]&gt;=Calculation!$E$3,CCData[[#This Row],[Date]]&lt;Calculation!$E$3+7)</f>
        <v>0</v>
      </c>
    </row>
    <row r="3972" spans="1:10">
      <c r="A3972" t="s">
        <v>3971</v>
      </c>
      <c r="B3972" s="2">
        <v>42074.476999999999</v>
      </c>
      <c r="C3972" s="3" t="s">
        <v>5010</v>
      </c>
      <c r="D3972" t="s">
        <v>5016</v>
      </c>
      <c r="E3972" t="s">
        <v>5018</v>
      </c>
      <c r="F3972" t="s">
        <v>5018</v>
      </c>
      <c r="G3972">
        <v>116</v>
      </c>
      <c r="H3972" s="5">
        <v>3.1419342722102182E-3</v>
      </c>
      <c r="I3972">
        <v>3</v>
      </c>
      <c r="J3972" t="b">
        <f>AND(CCData[[#This Row],[Date]]&gt;=Calculation!$E$3,CCData[[#This Row],[Date]]&lt;Calculation!$E$3+7)</f>
        <v>0</v>
      </c>
    </row>
    <row r="3973" spans="1:10">
      <c r="A3973" t="s">
        <v>3972</v>
      </c>
      <c r="B3973" s="2">
        <v>42074.476999999999</v>
      </c>
      <c r="C3973" s="3" t="s">
        <v>5003</v>
      </c>
      <c r="D3973" t="s">
        <v>5013</v>
      </c>
      <c r="E3973" t="s">
        <v>5019</v>
      </c>
      <c r="F3973" t="s">
        <v>5019</v>
      </c>
      <c r="G3973" t="s">
        <v>5022</v>
      </c>
      <c r="H3973" s="5" t="s">
        <v>5022</v>
      </c>
      <c r="I3973" t="s">
        <v>5022</v>
      </c>
      <c r="J3973" t="b">
        <f>AND(CCData[[#This Row],[Date]]&gt;=Calculation!$E$3,CCData[[#This Row],[Date]]&lt;Calculation!$E$3+7)</f>
        <v>0</v>
      </c>
    </row>
    <row r="3974" spans="1:10">
      <c r="A3974" t="s">
        <v>3973</v>
      </c>
      <c r="B3974" s="2">
        <v>42074.485000000001</v>
      </c>
      <c r="C3974" s="3" t="s">
        <v>5009</v>
      </c>
      <c r="D3974" t="s">
        <v>5016</v>
      </c>
      <c r="E3974" t="s">
        <v>5018</v>
      </c>
      <c r="F3974" t="s">
        <v>5018</v>
      </c>
      <c r="G3974">
        <v>14</v>
      </c>
      <c r="H3974" s="5">
        <v>1.2037433647775048E-3</v>
      </c>
      <c r="I3974">
        <v>5</v>
      </c>
      <c r="J3974" t="b">
        <f>AND(CCData[[#This Row],[Date]]&gt;=Calculation!$E$3,CCData[[#This Row],[Date]]&lt;Calculation!$E$3+7)</f>
        <v>0</v>
      </c>
    </row>
    <row r="3975" spans="1:10">
      <c r="A3975" t="s">
        <v>3974</v>
      </c>
      <c r="B3975" s="2">
        <v>42074.485000000001</v>
      </c>
      <c r="C3975" s="3" t="s">
        <v>5008</v>
      </c>
      <c r="D3975" t="s">
        <v>5016</v>
      </c>
      <c r="E3975" t="s">
        <v>5018</v>
      </c>
      <c r="F3975" t="s">
        <v>5018</v>
      </c>
      <c r="G3975">
        <v>92</v>
      </c>
      <c r="H3975" s="5">
        <v>1.163812206454895E-3</v>
      </c>
      <c r="I3975">
        <v>5</v>
      </c>
      <c r="J3975" t="b">
        <f>AND(CCData[[#This Row],[Date]]&gt;=Calculation!$E$3,CCData[[#This Row],[Date]]&lt;Calculation!$E$3+7)</f>
        <v>0</v>
      </c>
    </row>
    <row r="3976" spans="1:10">
      <c r="A3976" t="s">
        <v>3975</v>
      </c>
      <c r="B3976" s="2">
        <v>42074.502</v>
      </c>
      <c r="C3976" s="3" t="s">
        <v>5007</v>
      </c>
      <c r="D3976" t="s">
        <v>5015</v>
      </c>
      <c r="E3976" t="s">
        <v>5018</v>
      </c>
      <c r="F3976" t="s">
        <v>5018</v>
      </c>
      <c r="G3976">
        <v>92</v>
      </c>
      <c r="H3976" s="5">
        <v>1.7408130176529027E-3</v>
      </c>
      <c r="I3976">
        <v>1</v>
      </c>
      <c r="J3976" t="b">
        <f>AND(CCData[[#This Row],[Date]]&gt;=Calculation!$E$3,CCData[[#This Row],[Date]]&lt;Calculation!$E$3+7)</f>
        <v>0</v>
      </c>
    </row>
    <row r="3977" spans="1:10">
      <c r="A3977" t="s">
        <v>3976</v>
      </c>
      <c r="B3977" s="2">
        <v>42074.502</v>
      </c>
      <c r="C3977" s="3" t="s">
        <v>5008</v>
      </c>
      <c r="D3977" t="s">
        <v>5012</v>
      </c>
      <c r="E3977" t="s">
        <v>5018</v>
      </c>
      <c r="F3977" t="s">
        <v>5018</v>
      </c>
      <c r="G3977">
        <v>78</v>
      </c>
      <c r="H3977" s="5">
        <v>4.4408447118390358E-3</v>
      </c>
      <c r="I3977">
        <v>4</v>
      </c>
      <c r="J3977" t="b">
        <f>AND(CCData[[#This Row],[Date]]&gt;=Calculation!$E$3,CCData[[#This Row],[Date]]&lt;Calculation!$E$3+7)</f>
        <v>0</v>
      </c>
    </row>
    <row r="3978" spans="1:10">
      <c r="A3978" t="s">
        <v>3977</v>
      </c>
      <c r="B3978" s="2">
        <v>42074.514000000003</v>
      </c>
      <c r="C3978" s="3" t="s">
        <v>5009</v>
      </c>
      <c r="D3978" t="s">
        <v>5013</v>
      </c>
      <c r="E3978" t="s">
        <v>5018</v>
      </c>
      <c r="F3978" t="s">
        <v>5018</v>
      </c>
      <c r="G3978">
        <v>36</v>
      </c>
      <c r="H3978" s="5">
        <v>4.9008036515109041E-4</v>
      </c>
      <c r="I3978">
        <v>3</v>
      </c>
      <c r="J3978" t="b">
        <f>AND(CCData[[#This Row],[Date]]&gt;=Calculation!$E$3,CCData[[#This Row],[Date]]&lt;Calculation!$E$3+7)</f>
        <v>0</v>
      </c>
    </row>
    <row r="3979" spans="1:10">
      <c r="A3979" t="s">
        <v>3978</v>
      </c>
      <c r="B3979" s="2">
        <v>42074.514000000003</v>
      </c>
      <c r="C3979" s="3" t="s">
        <v>5007</v>
      </c>
      <c r="D3979" t="s">
        <v>5016</v>
      </c>
      <c r="E3979" t="s">
        <v>5019</v>
      </c>
      <c r="F3979" t="s">
        <v>5019</v>
      </c>
      <c r="G3979" t="s">
        <v>5022</v>
      </c>
      <c r="H3979" s="5" t="s">
        <v>5022</v>
      </c>
      <c r="I3979" t="s">
        <v>5022</v>
      </c>
      <c r="J3979" t="b">
        <f>AND(CCData[[#This Row],[Date]]&gt;=Calculation!$E$3,CCData[[#This Row],[Date]]&lt;Calculation!$E$3+7)</f>
        <v>0</v>
      </c>
    </row>
    <row r="3980" spans="1:10">
      <c r="A3980" t="s">
        <v>3979</v>
      </c>
      <c r="B3980" s="2">
        <v>42074.514000000003</v>
      </c>
      <c r="C3980" s="3" t="s">
        <v>5006</v>
      </c>
      <c r="D3980" t="s">
        <v>5014</v>
      </c>
      <c r="E3980" t="s">
        <v>5018</v>
      </c>
      <c r="F3980" t="s">
        <v>5018</v>
      </c>
      <c r="G3980">
        <v>20</v>
      </c>
      <c r="H3980" s="5">
        <v>3.1486123393923409E-3</v>
      </c>
      <c r="I3980">
        <v>2</v>
      </c>
      <c r="J3980" t="b">
        <f>AND(CCData[[#This Row],[Date]]&gt;=Calculation!$E$3,CCData[[#This Row],[Date]]&lt;Calculation!$E$3+7)</f>
        <v>0</v>
      </c>
    </row>
    <row r="3981" spans="1:10">
      <c r="A3981" t="s">
        <v>3980</v>
      </c>
      <c r="B3981" s="2">
        <v>42074.514000000003</v>
      </c>
      <c r="C3981" s="3" t="s">
        <v>5010</v>
      </c>
      <c r="D3981" t="s">
        <v>5013</v>
      </c>
      <c r="E3981" t="s">
        <v>5018</v>
      </c>
      <c r="F3981" t="s">
        <v>5019</v>
      </c>
      <c r="G3981">
        <v>29</v>
      </c>
      <c r="H3981" s="5">
        <v>3.5021087351392952E-3</v>
      </c>
      <c r="I3981">
        <v>5</v>
      </c>
      <c r="J3981" t="b">
        <f>AND(CCData[[#This Row],[Date]]&gt;=Calculation!$E$3,CCData[[#This Row],[Date]]&lt;Calculation!$E$3+7)</f>
        <v>0</v>
      </c>
    </row>
    <row r="3982" spans="1:10">
      <c r="A3982" t="s">
        <v>3981</v>
      </c>
      <c r="B3982" s="2">
        <v>42074.521999999997</v>
      </c>
      <c r="C3982" s="3" t="s">
        <v>5005</v>
      </c>
      <c r="D3982" t="s">
        <v>5014</v>
      </c>
      <c r="E3982" t="s">
        <v>5018</v>
      </c>
      <c r="F3982" t="s">
        <v>5018</v>
      </c>
      <c r="G3982">
        <v>119</v>
      </c>
      <c r="H3982" s="5">
        <v>4.7517502435072637E-3</v>
      </c>
      <c r="I3982">
        <v>3</v>
      </c>
      <c r="J3982" t="b">
        <f>AND(CCData[[#This Row],[Date]]&gt;=Calculation!$E$3,CCData[[#This Row],[Date]]&lt;Calculation!$E$3+7)</f>
        <v>0</v>
      </c>
    </row>
    <row r="3983" spans="1:10">
      <c r="A3983" t="s">
        <v>3982</v>
      </c>
      <c r="B3983" s="2">
        <v>42074.521999999997</v>
      </c>
      <c r="C3983" s="3" t="s">
        <v>5009</v>
      </c>
      <c r="D3983" t="s">
        <v>5014</v>
      </c>
      <c r="E3983" t="s">
        <v>5018</v>
      </c>
      <c r="F3983" t="s">
        <v>5018</v>
      </c>
      <c r="G3983">
        <v>67</v>
      </c>
      <c r="H3983" s="5">
        <v>3.5887016303509062E-3</v>
      </c>
      <c r="I3983">
        <v>5</v>
      </c>
      <c r="J3983" t="b">
        <f>AND(CCData[[#This Row],[Date]]&gt;=Calculation!$E$3,CCData[[#This Row],[Date]]&lt;Calculation!$E$3+7)</f>
        <v>0</v>
      </c>
    </row>
    <row r="3984" spans="1:10">
      <c r="A3984" t="s">
        <v>3983</v>
      </c>
      <c r="B3984" s="2">
        <v>42074.527000000002</v>
      </c>
      <c r="C3984" s="3" t="s">
        <v>5007</v>
      </c>
      <c r="D3984" t="s">
        <v>5016</v>
      </c>
      <c r="E3984" t="s">
        <v>5019</v>
      </c>
      <c r="F3984" t="s">
        <v>5019</v>
      </c>
      <c r="G3984" t="s">
        <v>5022</v>
      </c>
      <c r="H3984" s="5" t="s">
        <v>5022</v>
      </c>
      <c r="I3984" t="s">
        <v>5022</v>
      </c>
      <c r="J3984" t="b">
        <f>AND(CCData[[#This Row],[Date]]&gt;=Calculation!$E$3,CCData[[#This Row],[Date]]&lt;Calculation!$E$3+7)</f>
        <v>0</v>
      </c>
    </row>
    <row r="3985" spans="1:10">
      <c r="A3985" t="s">
        <v>3984</v>
      </c>
      <c r="B3985" s="2">
        <v>42074.527000000002</v>
      </c>
      <c r="C3985" s="3" t="s">
        <v>5009</v>
      </c>
      <c r="D3985" t="s">
        <v>5016</v>
      </c>
      <c r="E3985" t="s">
        <v>5018</v>
      </c>
      <c r="F3985" t="s">
        <v>5018</v>
      </c>
      <c r="G3985">
        <v>102</v>
      </c>
      <c r="H3985" s="5">
        <v>8.5572985127820283E-4</v>
      </c>
      <c r="I3985">
        <v>1</v>
      </c>
      <c r="J3985" t="b">
        <f>AND(CCData[[#This Row],[Date]]&gt;=Calculation!$E$3,CCData[[#This Row],[Date]]&lt;Calculation!$E$3+7)</f>
        <v>0</v>
      </c>
    </row>
    <row r="3986" spans="1:10">
      <c r="A3986" t="s">
        <v>3985</v>
      </c>
      <c r="B3986" s="2">
        <v>42074.538999999997</v>
      </c>
      <c r="C3986" s="3" t="s">
        <v>5009</v>
      </c>
      <c r="D3986" t="s">
        <v>5016</v>
      </c>
      <c r="E3986" t="s">
        <v>5018</v>
      </c>
      <c r="F3986" t="s">
        <v>5018</v>
      </c>
      <c r="G3986">
        <v>72</v>
      </c>
      <c r="H3986" s="5">
        <v>3.7501674957702213E-3</v>
      </c>
      <c r="I3986">
        <v>4</v>
      </c>
      <c r="J3986" t="b">
        <f>AND(CCData[[#This Row],[Date]]&gt;=Calculation!$E$3,CCData[[#This Row],[Date]]&lt;Calculation!$E$3+7)</f>
        <v>0</v>
      </c>
    </row>
    <row r="3987" spans="1:10">
      <c r="A3987" t="s">
        <v>3986</v>
      </c>
      <c r="B3987" s="2">
        <v>42074.538999999997</v>
      </c>
      <c r="C3987" s="3" t="s">
        <v>5003</v>
      </c>
      <c r="D3987" t="s">
        <v>5015</v>
      </c>
      <c r="E3987" t="s">
        <v>5018</v>
      </c>
      <c r="F3987" t="s">
        <v>5018</v>
      </c>
      <c r="G3987">
        <v>107</v>
      </c>
      <c r="H3987" s="5">
        <v>1.3646913405178048E-3</v>
      </c>
      <c r="I3987">
        <v>5</v>
      </c>
      <c r="J3987" t="b">
        <f>AND(CCData[[#This Row],[Date]]&gt;=Calculation!$E$3,CCData[[#This Row],[Date]]&lt;Calculation!$E$3+7)</f>
        <v>0</v>
      </c>
    </row>
    <row r="3988" spans="1:10">
      <c r="A3988" t="s">
        <v>3987</v>
      </c>
      <c r="B3988" s="2">
        <v>42074.54</v>
      </c>
      <c r="C3988" s="3" t="s">
        <v>5006</v>
      </c>
      <c r="D3988" t="s">
        <v>5016</v>
      </c>
      <c r="E3988" t="s">
        <v>5019</v>
      </c>
      <c r="F3988" t="s">
        <v>5019</v>
      </c>
      <c r="G3988" t="s">
        <v>5022</v>
      </c>
      <c r="H3988" s="5" t="s">
        <v>5022</v>
      </c>
      <c r="I3988" t="s">
        <v>5022</v>
      </c>
      <c r="J3988" t="b">
        <f>AND(CCData[[#This Row],[Date]]&gt;=Calculation!$E$3,CCData[[#This Row],[Date]]&lt;Calculation!$E$3+7)</f>
        <v>0</v>
      </c>
    </row>
    <row r="3989" spans="1:10">
      <c r="A3989" t="s">
        <v>3988</v>
      </c>
      <c r="B3989" s="2">
        <v>42074.54</v>
      </c>
      <c r="C3989" s="3" t="s">
        <v>5004</v>
      </c>
      <c r="D3989" t="s">
        <v>5015</v>
      </c>
      <c r="E3989" t="s">
        <v>5019</v>
      </c>
      <c r="F3989" t="s">
        <v>5019</v>
      </c>
      <c r="G3989" t="s">
        <v>5022</v>
      </c>
      <c r="H3989" s="5" t="s">
        <v>5022</v>
      </c>
      <c r="I3989" t="s">
        <v>5022</v>
      </c>
      <c r="J3989" t="b">
        <f>AND(CCData[[#This Row],[Date]]&gt;=Calculation!$E$3,CCData[[#This Row],[Date]]&lt;Calculation!$E$3+7)</f>
        <v>0</v>
      </c>
    </row>
    <row r="3990" spans="1:10">
      <c r="A3990" t="s">
        <v>3989</v>
      </c>
      <c r="B3990" s="2">
        <v>42074.563999999998</v>
      </c>
      <c r="C3990" s="3" t="s">
        <v>5008</v>
      </c>
      <c r="D3990" t="s">
        <v>5014</v>
      </c>
      <c r="E3990" t="s">
        <v>5018</v>
      </c>
      <c r="F3990" t="s">
        <v>5019</v>
      </c>
      <c r="G3990">
        <v>106</v>
      </c>
      <c r="H3990" s="5">
        <v>1.0557162898675884E-3</v>
      </c>
      <c r="I3990">
        <v>4</v>
      </c>
      <c r="J3990" t="b">
        <f>AND(CCData[[#This Row],[Date]]&gt;=Calculation!$E$3,CCData[[#This Row],[Date]]&lt;Calculation!$E$3+7)</f>
        <v>0</v>
      </c>
    </row>
    <row r="3991" spans="1:10">
      <c r="A3991" t="s">
        <v>3990</v>
      </c>
      <c r="B3991" s="2">
        <v>42074.563999999998</v>
      </c>
      <c r="C3991" s="3" t="s">
        <v>5008</v>
      </c>
      <c r="D3991" t="s">
        <v>5015</v>
      </c>
      <c r="E3991" t="s">
        <v>5018</v>
      </c>
      <c r="F3991" t="s">
        <v>5018</v>
      </c>
      <c r="G3991">
        <v>68</v>
      </c>
      <c r="H3991" s="5">
        <v>2.961105114735357E-3</v>
      </c>
      <c r="I3991">
        <v>2</v>
      </c>
      <c r="J3991" t="b">
        <f>AND(CCData[[#This Row],[Date]]&gt;=Calculation!$E$3,CCData[[#This Row],[Date]]&lt;Calculation!$E$3+7)</f>
        <v>0</v>
      </c>
    </row>
    <row r="3992" spans="1:10">
      <c r="A3992" t="s">
        <v>3991</v>
      </c>
      <c r="B3992" s="2">
        <v>42074.57</v>
      </c>
      <c r="C3992" s="3" t="s">
        <v>5010</v>
      </c>
      <c r="D3992" t="s">
        <v>5013</v>
      </c>
      <c r="E3992" t="s">
        <v>5018</v>
      </c>
      <c r="F3992" t="s">
        <v>5018</v>
      </c>
      <c r="G3992">
        <v>44</v>
      </c>
      <c r="H3992" s="5">
        <v>4.6100261447972893E-3</v>
      </c>
      <c r="I3992">
        <v>3</v>
      </c>
      <c r="J3992" t="b">
        <f>AND(CCData[[#This Row],[Date]]&gt;=Calculation!$E$3,CCData[[#This Row],[Date]]&lt;Calculation!$E$3+7)</f>
        <v>0</v>
      </c>
    </row>
    <row r="3993" spans="1:10">
      <c r="A3993" t="s">
        <v>3992</v>
      </c>
      <c r="B3993" s="2">
        <v>42074.57</v>
      </c>
      <c r="C3993" s="3" t="s">
        <v>5004</v>
      </c>
      <c r="D3993" t="s">
        <v>5015</v>
      </c>
      <c r="E3993" t="s">
        <v>5018</v>
      </c>
      <c r="F3993" t="s">
        <v>5018</v>
      </c>
      <c r="G3993">
        <v>96</v>
      </c>
      <c r="H3993" s="5">
        <v>2.4740741451778842E-3</v>
      </c>
      <c r="I3993">
        <v>1</v>
      </c>
      <c r="J3993" t="b">
        <f>AND(CCData[[#This Row],[Date]]&gt;=Calculation!$E$3,CCData[[#This Row],[Date]]&lt;Calculation!$E$3+7)</f>
        <v>0</v>
      </c>
    </row>
    <row r="3994" spans="1:10">
      <c r="A3994" t="s">
        <v>3993</v>
      </c>
      <c r="B3994" s="2">
        <v>42074.576999999997</v>
      </c>
      <c r="C3994" s="3" t="s">
        <v>5003</v>
      </c>
      <c r="D3994" t="s">
        <v>5014</v>
      </c>
      <c r="E3994" t="s">
        <v>5019</v>
      </c>
      <c r="F3994" t="s">
        <v>5019</v>
      </c>
      <c r="G3994" t="s">
        <v>5022</v>
      </c>
      <c r="H3994" s="5" t="s">
        <v>5022</v>
      </c>
      <c r="I3994" t="s">
        <v>5022</v>
      </c>
      <c r="J3994" t="b">
        <f>AND(CCData[[#This Row],[Date]]&gt;=Calculation!$E$3,CCData[[#This Row],[Date]]&lt;Calculation!$E$3+7)</f>
        <v>0</v>
      </c>
    </row>
    <row r="3995" spans="1:10">
      <c r="A3995" t="s">
        <v>3994</v>
      </c>
      <c r="B3995" s="2">
        <v>42074.576999999997</v>
      </c>
      <c r="C3995" s="3" t="s">
        <v>5005</v>
      </c>
      <c r="D3995" t="s">
        <v>5013</v>
      </c>
      <c r="E3995" t="s">
        <v>5018</v>
      </c>
      <c r="F3995" t="s">
        <v>5018</v>
      </c>
      <c r="G3995">
        <v>53</v>
      </c>
      <c r="H3995" s="5">
        <v>3.8859034766421438E-4</v>
      </c>
      <c r="I3995">
        <v>4</v>
      </c>
      <c r="J3995" t="b">
        <f>AND(CCData[[#This Row],[Date]]&gt;=Calculation!$E$3,CCData[[#This Row],[Date]]&lt;Calculation!$E$3+7)</f>
        <v>0</v>
      </c>
    </row>
    <row r="3996" spans="1:10">
      <c r="A3996" t="s">
        <v>3995</v>
      </c>
      <c r="B3996" s="2">
        <v>42074.580999999998</v>
      </c>
      <c r="C3996" s="3" t="s">
        <v>5010</v>
      </c>
      <c r="D3996" t="s">
        <v>5016</v>
      </c>
      <c r="E3996" t="s">
        <v>5018</v>
      </c>
      <c r="F3996" t="s">
        <v>5018</v>
      </c>
      <c r="G3996">
        <v>100</v>
      </c>
      <c r="H3996" s="5">
        <v>7.5389496270967247E-4</v>
      </c>
      <c r="I3996">
        <v>1</v>
      </c>
      <c r="J3996" t="b">
        <f>AND(CCData[[#This Row],[Date]]&gt;=Calculation!$E$3,CCData[[#This Row],[Date]]&lt;Calculation!$E$3+7)</f>
        <v>0</v>
      </c>
    </row>
    <row r="3997" spans="1:10">
      <c r="A3997" t="s">
        <v>3996</v>
      </c>
      <c r="B3997" s="2">
        <v>42074.580999999998</v>
      </c>
      <c r="C3997" s="3" t="s">
        <v>5004</v>
      </c>
      <c r="D3997" t="s">
        <v>5016</v>
      </c>
      <c r="E3997" t="s">
        <v>5018</v>
      </c>
      <c r="F3997" t="s">
        <v>5018</v>
      </c>
      <c r="G3997">
        <v>75</v>
      </c>
      <c r="H3997" s="5">
        <v>1.3314203010134898E-3</v>
      </c>
      <c r="I3997">
        <v>2</v>
      </c>
      <c r="J3997" t="b">
        <f>AND(CCData[[#This Row],[Date]]&gt;=Calculation!$E$3,CCData[[#This Row],[Date]]&lt;Calculation!$E$3+7)</f>
        <v>0</v>
      </c>
    </row>
    <row r="3998" spans="1:10">
      <c r="A3998" t="s">
        <v>3997</v>
      </c>
      <c r="B3998" s="2">
        <v>42074.582999999999</v>
      </c>
      <c r="C3998" s="3" t="s">
        <v>5007</v>
      </c>
      <c r="D3998" t="s">
        <v>5014</v>
      </c>
      <c r="E3998" t="s">
        <v>5018</v>
      </c>
      <c r="F3998" t="s">
        <v>5018</v>
      </c>
      <c r="G3998">
        <v>109</v>
      </c>
      <c r="H3998" s="5">
        <v>2.9948569727930177E-3</v>
      </c>
      <c r="I3998">
        <v>3</v>
      </c>
      <c r="J3998" t="b">
        <f>AND(CCData[[#This Row],[Date]]&gt;=Calculation!$E$3,CCData[[#This Row],[Date]]&lt;Calculation!$E$3+7)</f>
        <v>0</v>
      </c>
    </row>
    <row r="3999" spans="1:10">
      <c r="A3999" t="s">
        <v>3998</v>
      </c>
      <c r="B3999" s="2">
        <v>42074.582999999999</v>
      </c>
      <c r="C3999" s="3" t="s">
        <v>5008</v>
      </c>
      <c r="D3999" t="s">
        <v>5014</v>
      </c>
      <c r="E3999" t="s">
        <v>5018</v>
      </c>
      <c r="F3999" t="s">
        <v>5018</v>
      </c>
      <c r="G3999">
        <v>95</v>
      </c>
      <c r="H3999" s="5">
        <v>1.5472807822498246E-3</v>
      </c>
      <c r="I3999">
        <v>4</v>
      </c>
      <c r="J3999" t="b">
        <f>AND(CCData[[#This Row],[Date]]&gt;=Calculation!$E$3,CCData[[#This Row],[Date]]&lt;Calculation!$E$3+7)</f>
        <v>0</v>
      </c>
    </row>
    <row r="4000" spans="1:10">
      <c r="A4000" t="s">
        <v>3999</v>
      </c>
      <c r="B4000" s="2">
        <v>42074.599000000002</v>
      </c>
      <c r="C4000" s="3" t="s">
        <v>5005</v>
      </c>
      <c r="D4000" t="s">
        <v>5012</v>
      </c>
      <c r="E4000" t="s">
        <v>5018</v>
      </c>
      <c r="F4000" t="s">
        <v>5018</v>
      </c>
      <c r="G4000">
        <v>69</v>
      </c>
      <c r="H4000" s="5">
        <v>6.8733082991674155E-4</v>
      </c>
      <c r="I4000">
        <v>4</v>
      </c>
      <c r="J4000" t="b">
        <f>AND(CCData[[#This Row],[Date]]&gt;=Calculation!$E$3,CCData[[#This Row],[Date]]&lt;Calculation!$E$3+7)</f>
        <v>0</v>
      </c>
    </row>
    <row r="4001" spans="1:10">
      <c r="A4001" t="s">
        <v>4000</v>
      </c>
      <c r="B4001" s="2">
        <v>42074.599000000002</v>
      </c>
      <c r="C4001" s="3" t="s">
        <v>5004</v>
      </c>
      <c r="D4001" t="s">
        <v>5016</v>
      </c>
      <c r="E4001" t="s">
        <v>5018</v>
      </c>
      <c r="F4001" t="s">
        <v>5018</v>
      </c>
      <c r="G4001">
        <v>113</v>
      </c>
      <c r="H4001" s="5">
        <v>2.0300531284847675E-3</v>
      </c>
      <c r="I4001">
        <v>5</v>
      </c>
      <c r="J4001" t="b">
        <f>AND(CCData[[#This Row],[Date]]&gt;=Calculation!$E$3,CCData[[#This Row],[Date]]&lt;Calculation!$E$3+7)</f>
        <v>0</v>
      </c>
    </row>
    <row r="4002" spans="1:10">
      <c r="A4002" t="s">
        <v>4001</v>
      </c>
      <c r="B4002" s="2">
        <v>42074.601999999999</v>
      </c>
      <c r="C4002" s="3" t="s">
        <v>5008</v>
      </c>
      <c r="D4002" t="s">
        <v>5015</v>
      </c>
      <c r="E4002" t="s">
        <v>5018</v>
      </c>
      <c r="F4002" t="s">
        <v>5018</v>
      </c>
      <c r="G4002">
        <v>108</v>
      </c>
      <c r="H4002" s="5">
        <v>1.0700350529369751E-3</v>
      </c>
      <c r="I4002">
        <v>2</v>
      </c>
      <c r="J4002" t="b">
        <f>AND(CCData[[#This Row],[Date]]&gt;=Calculation!$E$3,CCData[[#This Row],[Date]]&lt;Calculation!$E$3+7)</f>
        <v>0</v>
      </c>
    </row>
    <row r="4003" spans="1:10">
      <c r="A4003" t="s">
        <v>4002</v>
      </c>
      <c r="B4003" s="2">
        <v>42074.601999999999</v>
      </c>
      <c r="C4003" s="3" t="s">
        <v>5008</v>
      </c>
      <c r="D4003" t="s">
        <v>5016</v>
      </c>
      <c r="E4003" t="s">
        <v>5018</v>
      </c>
      <c r="F4003" t="s">
        <v>5018</v>
      </c>
      <c r="G4003">
        <v>46</v>
      </c>
      <c r="H4003" s="5">
        <v>3.6995215480270533E-3</v>
      </c>
      <c r="I4003">
        <v>2</v>
      </c>
      <c r="J4003" t="b">
        <f>AND(CCData[[#This Row],[Date]]&gt;=Calculation!$E$3,CCData[[#This Row],[Date]]&lt;Calculation!$E$3+7)</f>
        <v>0</v>
      </c>
    </row>
    <row r="4004" spans="1:10">
      <c r="A4004" t="s">
        <v>4003</v>
      </c>
      <c r="B4004" s="2">
        <v>42074.603000000003</v>
      </c>
      <c r="C4004" s="3" t="s">
        <v>5008</v>
      </c>
      <c r="D4004" t="s">
        <v>5014</v>
      </c>
      <c r="E4004" t="s">
        <v>5018</v>
      </c>
      <c r="F4004" t="s">
        <v>5018</v>
      </c>
      <c r="G4004">
        <v>71</v>
      </c>
      <c r="H4004" s="5">
        <v>1.2482324620094582E-3</v>
      </c>
      <c r="I4004">
        <v>1</v>
      </c>
      <c r="J4004" t="b">
        <f>AND(CCData[[#This Row],[Date]]&gt;=Calculation!$E$3,CCData[[#This Row],[Date]]&lt;Calculation!$E$3+7)</f>
        <v>0</v>
      </c>
    </row>
    <row r="4005" spans="1:10">
      <c r="A4005" t="s">
        <v>4004</v>
      </c>
      <c r="B4005" s="2">
        <v>42074.603000000003</v>
      </c>
      <c r="C4005" s="3" t="s">
        <v>5003</v>
      </c>
      <c r="D4005" t="s">
        <v>5015</v>
      </c>
      <c r="E4005" t="s">
        <v>5018</v>
      </c>
      <c r="F4005" t="s">
        <v>5018</v>
      </c>
      <c r="G4005">
        <v>124</v>
      </c>
      <c r="H4005" s="5">
        <v>1.9959752395471071E-3</v>
      </c>
      <c r="I4005">
        <v>2</v>
      </c>
      <c r="J4005" t="b">
        <f>AND(CCData[[#This Row],[Date]]&gt;=Calculation!$E$3,CCData[[#This Row],[Date]]&lt;Calculation!$E$3+7)</f>
        <v>0</v>
      </c>
    </row>
    <row r="4006" spans="1:10">
      <c r="A4006" t="s">
        <v>4005</v>
      </c>
      <c r="B4006" s="2">
        <v>42074.64</v>
      </c>
      <c r="C4006" s="3" t="s">
        <v>5009</v>
      </c>
      <c r="D4006" t="s">
        <v>5013</v>
      </c>
      <c r="E4006" t="s">
        <v>5018</v>
      </c>
      <c r="F4006" t="s">
        <v>5018</v>
      </c>
      <c r="G4006">
        <v>79</v>
      </c>
      <c r="H4006" s="5">
        <v>7.1081865620796969E-4</v>
      </c>
      <c r="I4006">
        <v>4</v>
      </c>
      <c r="J4006" t="b">
        <f>AND(CCData[[#This Row],[Date]]&gt;=Calculation!$E$3,CCData[[#This Row],[Date]]&lt;Calculation!$E$3+7)</f>
        <v>0</v>
      </c>
    </row>
    <row r="4007" spans="1:10">
      <c r="A4007" t="s">
        <v>4006</v>
      </c>
      <c r="B4007" s="2">
        <v>42074.64</v>
      </c>
      <c r="C4007" s="3" t="s">
        <v>5003</v>
      </c>
      <c r="D4007" t="s">
        <v>5014</v>
      </c>
      <c r="E4007" t="s">
        <v>5018</v>
      </c>
      <c r="F4007" t="s">
        <v>5019</v>
      </c>
      <c r="G4007">
        <v>111</v>
      </c>
      <c r="H4007" s="5">
        <v>1.7794812430452084E-3</v>
      </c>
      <c r="I4007">
        <v>5</v>
      </c>
      <c r="J4007" t="b">
        <f>AND(CCData[[#This Row],[Date]]&gt;=Calculation!$E$3,CCData[[#This Row],[Date]]&lt;Calculation!$E$3+7)</f>
        <v>0</v>
      </c>
    </row>
    <row r="4008" spans="1:10">
      <c r="A4008" t="s">
        <v>4007</v>
      </c>
      <c r="B4008" s="2">
        <v>42074.642</v>
      </c>
      <c r="C4008" s="3" t="s">
        <v>5010</v>
      </c>
      <c r="D4008" t="s">
        <v>5014</v>
      </c>
      <c r="E4008" t="s">
        <v>5018</v>
      </c>
      <c r="F4008" t="s">
        <v>5018</v>
      </c>
      <c r="G4008">
        <v>27</v>
      </c>
      <c r="H4008" s="5">
        <v>4.9604609717242352E-4</v>
      </c>
      <c r="I4008">
        <v>4</v>
      </c>
      <c r="J4008" t="b">
        <f>AND(CCData[[#This Row],[Date]]&gt;=Calculation!$E$3,CCData[[#This Row],[Date]]&lt;Calculation!$E$3+7)</f>
        <v>0</v>
      </c>
    </row>
    <row r="4009" spans="1:10">
      <c r="A4009" t="s">
        <v>4008</v>
      </c>
      <c r="B4009" s="2">
        <v>42074.642</v>
      </c>
      <c r="C4009" s="3" t="s">
        <v>5004</v>
      </c>
      <c r="D4009" t="s">
        <v>5016</v>
      </c>
      <c r="E4009" t="s">
        <v>5018</v>
      </c>
      <c r="F4009" t="s">
        <v>5018</v>
      </c>
      <c r="G4009">
        <v>69</v>
      </c>
      <c r="H4009" s="5">
        <v>2.5668287327252149E-3</v>
      </c>
      <c r="I4009">
        <v>4</v>
      </c>
      <c r="J4009" t="b">
        <f>AND(CCData[[#This Row],[Date]]&gt;=Calculation!$E$3,CCData[[#This Row],[Date]]&lt;Calculation!$E$3+7)</f>
        <v>0</v>
      </c>
    </row>
    <row r="4010" spans="1:10">
      <c r="A4010" t="s">
        <v>4009</v>
      </c>
      <c r="B4010" s="2">
        <v>42074.648999999998</v>
      </c>
      <c r="C4010" s="3" t="s">
        <v>5008</v>
      </c>
      <c r="D4010" t="s">
        <v>5014</v>
      </c>
      <c r="E4010" t="s">
        <v>5018</v>
      </c>
      <c r="F4010" t="s">
        <v>5018</v>
      </c>
      <c r="G4010">
        <v>121</v>
      </c>
      <c r="H4010" s="5">
        <v>3.6529059657989223E-3</v>
      </c>
      <c r="I4010">
        <v>1</v>
      </c>
      <c r="J4010" t="b">
        <f>AND(CCData[[#This Row],[Date]]&gt;=Calculation!$E$3,CCData[[#This Row],[Date]]&lt;Calculation!$E$3+7)</f>
        <v>0</v>
      </c>
    </row>
    <row r="4011" spans="1:10">
      <c r="A4011" t="s">
        <v>4010</v>
      </c>
      <c r="B4011" s="2">
        <v>42074.648999999998</v>
      </c>
      <c r="C4011" s="3" t="s">
        <v>5005</v>
      </c>
      <c r="D4011" t="s">
        <v>5016</v>
      </c>
      <c r="E4011" t="s">
        <v>5018</v>
      </c>
      <c r="F4011" t="s">
        <v>5018</v>
      </c>
      <c r="G4011">
        <v>16</v>
      </c>
      <c r="H4011" s="5">
        <v>4.342424143185984E-3</v>
      </c>
      <c r="I4011">
        <v>3</v>
      </c>
      <c r="J4011" t="b">
        <f>AND(CCData[[#This Row],[Date]]&gt;=Calculation!$E$3,CCData[[#This Row],[Date]]&lt;Calculation!$E$3+7)</f>
        <v>0</v>
      </c>
    </row>
    <row r="4012" spans="1:10">
      <c r="A4012" t="s">
        <v>4011</v>
      </c>
      <c r="B4012" s="2">
        <v>42074.665999999997</v>
      </c>
      <c r="C4012" s="3" t="s">
        <v>5005</v>
      </c>
      <c r="D4012" t="s">
        <v>5012</v>
      </c>
      <c r="E4012" t="s">
        <v>5019</v>
      </c>
      <c r="F4012" t="s">
        <v>5019</v>
      </c>
      <c r="G4012" t="s">
        <v>5022</v>
      </c>
      <c r="H4012" s="5" t="s">
        <v>5022</v>
      </c>
      <c r="I4012" t="s">
        <v>5022</v>
      </c>
      <c r="J4012" t="b">
        <f>AND(CCData[[#This Row],[Date]]&gt;=Calculation!$E$3,CCData[[#This Row],[Date]]&lt;Calculation!$E$3+7)</f>
        <v>0</v>
      </c>
    </row>
    <row r="4013" spans="1:10">
      <c r="A4013" t="s">
        <v>4012</v>
      </c>
      <c r="B4013" s="2">
        <v>42074.665999999997</v>
      </c>
      <c r="C4013" s="3" t="s">
        <v>5007</v>
      </c>
      <c r="D4013" t="s">
        <v>5016</v>
      </c>
      <c r="E4013" t="s">
        <v>5018</v>
      </c>
      <c r="F4013" t="s">
        <v>5019</v>
      </c>
      <c r="G4013">
        <v>35</v>
      </c>
      <c r="H4013" s="5">
        <v>4.2628381137798967E-3</v>
      </c>
      <c r="I4013">
        <v>5</v>
      </c>
      <c r="J4013" t="b">
        <f>AND(CCData[[#This Row],[Date]]&gt;=Calculation!$E$3,CCData[[#This Row],[Date]]&lt;Calculation!$E$3+7)</f>
        <v>0</v>
      </c>
    </row>
    <row r="4014" spans="1:10">
      <c r="A4014" t="s">
        <v>4013</v>
      </c>
      <c r="B4014" s="2">
        <v>42074.673999999999</v>
      </c>
      <c r="C4014" s="3" t="s">
        <v>5004</v>
      </c>
      <c r="D4014" t="s">
        <v>5016</v>
      </c>
      <c r="E4014" t="s">
        <v>5018</v>
      </c>
      <c r="F4014" t="s">
        <v>5018</v>
      </c>
      <c r="G4014">
        <v>85</v>
      </c>
      <c r="H4014" s="5">
        <v>2.5926753887956021E-3</v>
      </c>
      <c r="I4014">
        <v>3</v>
      </c>
      <c r="J4014" t="b">
        <f>AND(CCData[[#This Row],[Date]]&gt;=Calculation!$E$3,CCData[[#This Row],[Date]]&lt;Calculation!$E$3+7)</f>
        <v>0</v>
      </c>
    </row>
    <row r="4015" spans="1:10">
      <c r="A4015" t="s">
        <v>4014</v>
      </c>
      <c r="B4015" s="2">
        <v>42074.673999999999</v>
      </c>
      <c r="C4015" s="3" t="s">
        <v>5010</v>
      </c>
      <c r="D4015" t="s">
        <v>5015</v>
      </c>
      <c r="E4015" t="s">
        <v>5018</v>
      </c>
      <c r="F4015" t="s">
        <v>5018</v>
      </c>
      <c r="G4015">
        <v>73</v>
      </c>
      <c r="H4015" s="5">
        <v>2.0517371524670786E-3</v>
      </c>
      <c r="I4015">
        <v>2</v>
      </c>
      <c r="J4015" t="b">
        <f>AND(CCData[[#This Row],[Date]]&gt;=Calculation!$E$3,CCData[[#This Row],[Date]]&lt;Calculation!$E$3+7)</f>
        <v>0</v>
      </c>
    </row>
    <row r="4016" spans="1:10">
      <c r="A4016" t="s">
        <v>4015</v>
      </c>
      <c r="B4016" s="2">
        <v>42074.675999999999</v>
      </c>
      <c r="C4016" s="3" t="s">
        <v>5009</v>
      </c>
      <c r="D4016" t="s">
        <v>5014</v>
      </c>
      <c r="E4016" t="s">
        <v>5018</v>
      </c>
      <c r="F4016" t="s">
        <v>5018</v>
      </c>
      <c r="G4016">
        <v>101</v>
      </c>
      <c r="H4016" s="5">
        <v>3.4388990334785234E-3</v>
      </c>
      <c r="I4016">
        <v>3</v>
      </c>
      <c r="J4016" t="b">
        <f>AND(CCData[[#This Row],[Date]]&gt;=Calculation!$E$3,CCData[[#This Row],[Date]]&lt;Calculation!$E$3+7)</f>
        <v>0</v>
      </c>
    </row>
    <row r="4017" spans="1:10">
      <c r="A4017" t="s">
        <v>4016</v>
      </c>
      <c r="B4017" s="2">
        <v>42074.675999999999</v>
      </c>
      <c r="C4017" s="3" t="s">
        <v>5007</v>
      </c>
      <c r="D4017" t="s">
        <v>5015</v>
      </c>
      <c r="E4017" t="s">
        <v>5018</v>
      </c>
      <c r="F4017" t="s">
        <v>5018</v>
      </c>
      <c r="G4017">
        <v>89</v>
      </c>
      <c r="H4017" s="5">
        <v>3.0967466138724768E-3</v>
      </c>
      <c r="I4017">
        <v>2</v>
      </c>
      <c r="J4017" t="b">
        <f>AND(CCData[[#This Row],[Date]]&gt;=Calculation!$E$3,CCData[[#This Row],[Date]]&lt;Calculation!$E$3+7)</f>
        <v>0</v>
      </c>
    </row>
    <row r="4018" spans="1:10">
      <c r="A4018" t="s">
        <v>4017</v>
      </c>
      <c r="B4018" s="2">
        <v>42074.732000000004</v>
      </c>
      <c r="C4018" s="3" t="s">
        <v>5003</v>
      </c>
      <c r="D4018" t="s">
        <v>5013</v>
      </c>
      <c r="E4018" t="s">
        <v>5018</v>
      </c>
      <c r="F4018" t="s">
        <v>5018</v>
      </c>
      <c r="G4018">
        <v>70</v>
      </c>
      <c r="H4018" s="5">
        <v>3.4866877219921336E-3</v>
      </c>
      <c r="I4018">
        <v>5</v>
      </c>
      <c r="J4018" t="b">
        <f>AND(CCData[[#This Row],[Date]]&gt;=Calculation!$E$3,CCData[[#This Row],[Date]]&lt;Calculation!$E$3+7)</f>
        <v>0</v>
      </c>
    </row>
    <row r="4019" spans="1:10">
      <c r="A4019" t="s">
        <v>4018</v>
      </c>
      <c r="B4019" s="2">
        <v>42074.732000000004</v>
      </c>
      <c r="C4019" s="3" t="s">
        <v>5003</v>
      </c>
      <c r="D4019" t="s">
        <v>5012</v>
      </c>
      <c r="E4019" t="s">
        <v>5018</v>
      </c>
      <c r="F4019" t="s">
        <v>5018</v>
      </c>
      <c r="G4019">
        <v>52</v>
      </c>
      <c r="H4019" s="5">
        <v>3.8405820162585517E-3</v>
      </c>
      <c r="I4019">
        <v>3</v>
      </c>
      <c r="J4019" t="b">
        <f>AND(CCData[[#This Row],[Date]]&gt;=Calculation!$E$3,CCData[[#This Row],[Date]]&lt;Calculation!$E$3+7)</f>
        <v>0</v>
      </c>
    </row>
    <row r="4020" spans="1:10">
      <c r="A4020" t="s">
        <v>4019</v>
      </c>
      <c r="B4020" s="2">
        <v>42074.735999999997</v>
      </c>
      <c r="C4020" s="3" t="s">
        <v>5007</v>
      </c>
      <c r="D4020" t="s">
        <v>5012</v>
      </c>
      <c r="E4020" t="s">
        <v>5019</v>
      </c>
      <c r="F4020" t="s">
        <v>5019</v>
      </c>
      <c r="G4020" t="s">
        <v>5022</v>
      </c>
      <c r="H4020" s="5" t="s">
        <v>5022</v>
      </c>
      <c r="I4020" t="s">
        <v>5022</v>
      </c>
      <c r="J4020" t="b">
        <f>AND(CCData[[#This Row],[Date]]&gt;=Calculation!$E$3,CCData[[#This Row],[Date]]&lt;Calculation!$E$3+7)</f>
        <v>0</v>
      </c>
    </row>
    <row r="4021" spans="1:10">
      <c r="A4021" t="s">
        <v>4020</v>
      </c>
      <c r="B4021" s="2">
        <v>42074.735999999997</v>
      </c>
      <c r="C4021" s="3" t="s">
        <v>5010</v>
      </c>
      <c r="D4021" t="s">
        <v>5016</v>
      </c>
      <c r="E4021" t="s">
        <v>5018</v>
      </c>
      <c r="F4021" t="s">
        <v>5018</v>
      </c>
      <c r="G4021">
        <v>91</v>
      </c>
      <c r="H4021" s="5">
        <v>6.5490564584360202E-4</v>
      </c>
      <c r="I4021">
        <v>1</v>
      </c>
      <c r="J4021" t="b">
        <f>AND(CCData[[#This Row],[Date]]&gt;=Calculation!$E$3,CCData[[#This Row],[Date]]&lt;Calculation!$E$3+7)</f>
        <v>0</v>
      </c>
    </row>
    <row r="4022" spans="1:10">
      <c r="A4022" t="s">
        <v>4021</v>
      </c>
      <c r="B4022" s="2">
        <v>42074.735999999997</v>
      </c>
      <c r="C4022" s="3" t="s">
        <v>5008</v>
      </c>
      <c r="D4022" t="s">
        <v>5014</v>
      </c>
      <c r="E4022" t="s">
        <v>5019</v>
      </c>
      <c r="F4022" t="s">
        <v>5019</v>
      </c>
      <c r="G4022" t="s">
        <v>5022</v>
      </c>
      <c r="H4022" s="5" t="s">
        <v>5022</v>
      </c>
      <c r="I4022" t="s">
        <v>5022</v>
      </c>
      <c r="J4022" t="b">
        <f>AND(CCData[[#This Row],[Date]]&gt;=Calculation!$E$3,CCData[[#This Row],[Date]]&lt;Calculation!$E$3+7)</f>
        <v>0</v>
      </c>
    </row>
    <row r="4023" spans="1:10">
      <c r="A4023" t="s">
        <v>4022</v>
      </c>
      <c r="B4023" s="2">
        <v>42074.735999999997</v>
      </c>
      <c r="C4023" s="3" t="s">
        <v>5003</v>
      </c>
      <c r="D4023" t="s">
        <v>5013</v>
      </c>
      <c r="E4023" t="s">
        <v>5018</v>
      </c>
      <c r="F4023" t="s">
        <v>5018</v>
      </c>
      <c r="G4023">
        <v>18</v>
      </c>
      <c r="H4023" s="5">
        <v>3.9805337580512265E-3</v>
      </c>
      <c r="I4023">
        <v>5</v>
      </c>
      <c r="J4023" t="b">
        <f>AND(CCData[[#This Row],[Date]]&gt;=Calculation!$E$3,CCData[[#This Row],[Date]]&lt;Calculation!$E$3+7)</f>
        <v>0</v>
      </c>
    </row>
    <row r="4024" spans="1:10">
      <c r="A4024" t="s">
        <v>4023</v>
      </c>
      <c r="B4024" s="2">
        <v>42075.383000000002</v>
      </c>
      <c r="C4024" s="3" t="s">
        <v>5009</v>
      </c>
      <c r="D4024" t="s">
        <v>5012</v>
      </c>
      <c r="E4024" t="s">
        <v>5018</v>
      </c>
      <c r="F4024" t="s">
        <v>5019</v>
      </c>
      <c r="G4024">
        <v>32</v>
      </c>
      <c r="H4024" s="5">
        <v>3.1889473786315867E-3</v>
      </c>
      <c r="I4024">
        <v>1</v>
      </c>
      <c r="J4024" t="b">
        <f>AND(CCData[[#This Row],[Date]]&gt;=Calculation!$E$3,CCData[[#This Row],[Date]]&lt;Calculation!$E$3+7)</f>
        <v>0</v>
      </c>
    </row>
    <row r="4025" spans="1:10">
      <c r="A4025" t="s">
        <v>4024</v>
      </c>
      <c r="B4025" s="2">
        <v>42075.383000000002</v>
      </c>
      <c r="C4025" s="3" t="s">
        <v>5006</v>
      </c>
      <c r="D4025" t="s">
        <v>5014</v>
      </c>
      <c r="E4025" t="s">
        <v>5018</v>
      </c>
      <c r="F4025" t="s">
        <v>5018</v>
      </c>
      <c r="G4025">
        <v>71</v>
      </c>
      <c r="H4025" s="5">
        <v>3.466958491972782E-3</v>
      </c>
      <c r="I4025">
        <v>3</v>
      </c>
      <c r="J4025" t="b">
        <f>AND(CCData[[#This Row],[Date]]&gt;=Calculation!$E$3,CCData[[#This Row],[Date]]&lt;Calculation!$E$3+7)</f>
        <v>0</v>
      </c>
    </row>
    <row r="4026" spans="1:10">
      <c r="A4026" t="s">
        <v>4025</v>
      </c>
      <c r="B4026" s="2">
        <v>42075.4</v>
      </c>
      <c r="C4026" s="3" t="s">
        <v>5005</v>
      </c>
      <c r="D4026" t="s">
        <v>5013</v>
      </c>
      <c r="E4026" t="s">
        <v>5018</v>
      </c>
      <c r="F4026" t="s">
        <v>5018</v>
      </c>
      <c r="G4026">
        <v>54</v>
      </c>
      <c r="H4026" s="5">
        <v>1.7893159885269978E-3</v>
      </c>
      <c r="I4026">
        <v>4</v>
      </c>
      <c r="J4026" t="b">
        <f>AND(CCData[[#This Row],[Date]]&gt;=Calculation!$E$3,CCData[[#This Row],[Date]]&lt;Calculation!$E$3+7)</f>
        <v>0</v>
      </c>
    </row>
    <row r="4027" spans="1:10">
      <c r="A4027" t="s">
        <v>4026</v>
      </c>
      <c r="B4027" s="2">
        <v>42075.4</v>
      </c>
      <c r="C4027" s="3" t="s">
        <v>5010</v>
      </c>
      <c r="D4027" t="s">
        <v>5012</v>
      </c>
      <c r="E4027" t="s">
        <v>5018</v>
      </c>
      <c r="F4027" t="s">
        <v>5018</v>
      </c>
      <c r="G4027">
        <v>121</v>
      </c>
      <c r="H4027" s="5">
        <v>3.0596665461612668E-3</v>
      </c>
      <c r="I4027">
        <v>4</v>
      </c>
      <c r="J4027" t="b">
        <f>AND(CCData[[#This Row],[Date]]&gt;=Calculation!$E$3,CCData[[#This Row],[Date]]&lt;Calculation!$E$3+7)</f>
        <v>0</v>
      </c>
    </row>
    <row r="4028" spans="1:10">
      <c r="A4028" t="s">
        <v>4027</v>
      </c>
      <c r="B4028" s="2">
        <v>42075.415000000001</v>
      </c>
      <c r="C4028" s="3" t="s">
        <v>5010</v>
      </c>
      <c r="D4028" t="s">
        <v>5013</v>
      </c>
      <c r="E4028" t="s">
        <v>5018</v>
      </c>
      <c r="F4028" t="s">
        <v>5018</v>
      </c>
      <c r="G4028">
        <v>59</v>
      </c>
      <c r="H4028" s="5">
        <v>7.7476079981693598E-4</v>
      </c>
      <c r="I4028">
        <v>3</v>
      </c>
      <c r="J4028" t="b">
        <f>AND(CCData[[#This Row],[Date]]&gt;=Calculation!$E$3,CCData[[#This Row],[Date]]&lt;Calculation!$E$3+7)</f>
        <v>0</v>
      </c>
    </row>
    <row r="4029" spans="1:10">
      <c r="A4029" t="s">
        <v>4028</v>
      </c>
      <c r="B4029" s="2">
        <v>42075.415000000001</v>
      </c>
      <c r="C4029" s="3" t="s">
        <v>5007</v>
      </c>
      <c r="D4029" t="s">
        <v>5012</v>
      </c>
      <c r="E4029" t="s">
        <v>5018</v>
      </c>
      <c r="F4029" t="s">
        <v>5018</v>
      </c>
      <c r="G4029">
        <v>59</v>
      </c>
      <c r="H4029" s="5">
        <v>7.2788064425171326E-4</v>
      </c>
      <c r="I4029">
        <v>2</v>
      </c>
      <c r="J4029" t="b">
        <f>AND(CCData[[#This Row],[Date]]&gt;=Calculation!$E$3,CCData[[#This Row],[Date]]&lt;Calculation!$E$3+7)</f>
        <v>0</v>
      </c>
    </row>
    <row r="4030" spans="1:10">
      <c r="A4030" t="s">
        <v>4029</v>
      </c>
      <c r="B4030" s="2">
        <v>42075.417999999998</v>
      </c>
      <c r="C4030" s="3" t="s">
        <v>5007</v>
      </c>
      <c r="D4030" t="s">
        <v>5014</v>
      </c>
      <c r="E4030" t="s">
        <v>5018</v>
      </c>
      <c r="F4030" t="s">
        <v>5018</v>
      </c>
      <c r="G4030">
        <v>108</v>
      </c>
      <c r="H4030" s="5">
        <v>2.3128609617741754E-3</v>
      </c>
      <c r="I4030">
        <v>5</v>
      </c>
      <c r="J4030" t="b">
        <f>AND(CCData[[#This Row],[Date]]&gt;=Calculation!$E$3,CCData[[#This Row],[Date]]&lt;Calculation!$E$3+7)</f>
        <v>0</v>
      </c>
    </row>
    <row r="4031" spans="1:10">
      <c r="A4031" t="s">
        <v>4030</v>
      </c>
      <c r="B4031" s="2">
        <v>42075.417999999998</v>
      </c>
      <c r="C4031" s="3" t="s">
        <v>5005</v>
      </c>
      <c r="D4031" t="s">
        <v>5013</v>
      </c>
      <c r="E4031" t="s">
        <v>5018</v>
      </c>
      <c r="F4031" t="s">
        <v>5018</v>
      </c>
      <c r="G4031">
        <v>35</v>
      </c>
      <c r="H4031" s="5">
        <v>1.5214979054293926E-3</v>
      </c>
      <c r="I4031">
        <v>4</v>
      </c>
      <c r="J4031" t="b">
        <f>AND(CCData[[#This Row],[Date]]&gt;=Calculation!$E$3,CCData[[#This Row],[Date]]&lt;Calculation!$E$3+7)</f>
        <v>0</v>
      </c>
    </row>
    <row r="4032" spans="1:10">
      <c r="A4032" t="s">
        <v>4031</v>
      </c>
      <c r="B4032" s="2">
        <v>42075.419000000002</v>
      </c>
      <c r="C4032" s="3" t="s">
        <v>5005</v>
      </c>
      <c r="D4032" t="s">
        <v>5014</v>
      </c>
      <c r="E4032" t="s">
        <v>5018</v>
      </c>
      <c r="F4032" t="s">
        <v>5018</v>
      </c>
      <c r="G4032">
        <v>22</v>
      </c>
      <c r="H4032" s="5">
        <v>3.8288856528747583E-3</v>
      </c>
      <c r="I4032">
        <v>5</v>
      </c>
      <c r="J4032" t="b">
        <f>AND(CCData[[#This Row],[Date]]&gt;=Calculation!$E$3,CCData[[#This Row],[Date]]&lt;Calculation!$E$3+7)</f>
        <v>0</v>
      </c>
    </row>
    <row r="4033" spans="1:10">
      <c r="A4033" t="s">
        <v>4032</v>
      </c>
      <c r="B4033" s="2">
        <v>42075.419000000002</v>
      </c>
      <c r="C4033" s="3" t="s">
        <v>5003</v>
      </c>
      <c r="D4033" t="s">
        <v>5013</v>
      </c>
      <c r="E4033" t="s">
        <v>5018</v>
      </c>
      <c r="F4033" t="s">
        <v>5018</v>
      </c>
      <c r="G4033">
        <v>37</v>
      </c>
      <c r="H4033" s="5">
        <v>3.1128683701279339E-3</v>
      </c>
      <c r="I4033">
        <v>5</v>
      </c>
      <c r="J4033" t="b">
        <f>AND(CCData[[#This Row],[Date]]&gt;=Calculation!$E$3,CCData[[#This Row],[Date]]&lt;Calculation!$E$3+7)</f>
        <v>0</v>
      </c>
    </row>
    <row r="4034" spans="1:10">
      <c r="A4034" t="s">
        <v>4033</v>
      </c>
      <c r="B4034" s="2">
        <v>42075.423000000003</v>
      </c>
      <c r="C4034" s="3" t="s">
        <v>5009</v>
      </c>
      <c r="D4034" t="s">
        <v>5014</v>
      </c>
      <c r="E4034" t="s">
        <v>5018</v>
      </c>
      <c r="F4034" t="s">
        <v>5018</v>
      </c>
      <c r="G4034">
        <v>14</v>
      </c>
      <c r="H4034" s="5">
        <v>4.7713282718866721E-3</v>
      </c>
      <c r="I4034">
        <v>3</v>
      </c>
      <c r="J4034" t="b">
        <f>AND(CCData[[#This Row],[Date]]&gt;=Calculation!$E$3,CCData[[#This Row],[Date]]&lt;Calculation!$E$3+7)</f>
        <v>0</v>
      </c>
    </row>
    <row r="4035" spans="1:10">
      <c r="A4035" t="s">
        <v>4034</v>
      </c>
      <c r="B4035" s="2">
        <v>42075.423000000003</v>
      </c>
      <c r="C4035" s="3" t="s">
        <v>5006</v>
      </c>
      <c r="D4035" t="s">
        <v>5014</v>
      </c>
      <c r="E4035" t="s">
        <v>5019</v>
      </c>
      <c r="F4035" t="s">
        <v>5019</v>
      </c>
      <c r="G4035" t="s">
        <v>5022</v>
      </c>
      <c r="H4035" s="5" t="s">
        <v>5022</v>
      </c>
      <c r="I4035" t="s">
        <v>5022</v>
      </c>
      <c r="J4035" t="b">
        <f>AND(CCData[[#This Row],[Date]]&gt;=Calculation!$E$3,CCData[[#This Row],[Date]]&lt;Calculation!$E$3+7)</f>
        <v>0</v>
      </c>
    </row>
    <row r="4036" spans="1:10">
      <c r="A4036" t="s">
        <v>4035</v>
      </c>
      <c r="B4036" s="2">
        <v>42075.425000000003</v>
      </c>
      <c r="C4036" s="3" t="s">
        <v>5009</v>
      </c>
      <c r="D4036" t="s">
        <v>5014</v>
      </c>
      <c r="E4036" t="s">
        <v>5018</v>
      </c>
      <c r="F4036" t="s">
        <v>5018</v>
      </c>
      <c r="G4036">
        <v>73</v>
      </c>
      <c r="H4036" s="5">
        <v>7.0979320519075947E-4</v>
      </c>
      <c r="I4036">
        <v>3</v>
      </c>
      <c r="J4036" t="b">
        <f>AND(CCData[[#This Row],[Date]]&gt;=Calculation!$E$3,CCData[[#This Row],[Date]]&lt;Calculation!$E$3+7)</f>
        <v>0</v>
      </c>
    </row>
    <row r="4037" spans="1:10">
      <c r="A4037" t="s">
        <v>4036</v>
      </c>
      <c r="B4037" s="2">
        <v>42075.425000000003</v>
      </c>
      <c r="C4037" s="3" t="s">
        <v>5008</v>
      </c>
      <c r="D4037" t="s">
        <v>5016</v>
      </c>
      <c r="E4037" t="s">
        <v>5019</v>
      </c>
      <c r="F4037" t="s">
        <v>5019</v>
      </c>
      <c r="G4037" t="s">
        <v>5022</v>
      </c>
      <c r="H4037" s="5" t="s">
        <v>5022</v>
      </c>
      <c r="I4037" t="s">
        <v>5022</v>
      </c>
      <c r="J4037" t="b">
        <f>AND(CCData[[#This Row],[Date]]&gt;=Calculation!$E$3,CCData[[#This Row],[Date]]&lt;Calculation!$E$3+7)</f>
        <v>0</v>
      </c>
    </row>
    <row r="4038" spans="1:10">
      <c r="A4038" t="s">
        <v>4037</v>
      </c>
      <c r="B4038" s="2">
        <v>42075.432000000001</v>
      </c>
      <c r="C4038" s="3" t="s">
        <v>5003</v>
      </c>
      <c r="D4038" t="s">
        <v>5015</v>
      </c>
      <c r="E4038" t="s">
        <v>5019</v>
      </c>
      <c r="F4038" t="s">
        <v>5019</v>
      </c>
      <c r="G4038" t="s">
        <v>5022</v>
      </c>
      <c r="H4038" s="5" t="s">
        <v>5022</v>
      </c>
      <c r="I4038" t="s">
        <v>5022</v>
      </c>
      <c r="J4038" t="b">
        <f>AND(CCData[[#This Row],[Date]]&gt;=Calculation!$E$3,CCData[[#This Row],[Date]]&lt;Calculation!$E$3+7)</f>
        <v>0</v>
      </c>
    </row>
    <row r="4039" spans="1:10">
      <c r="A4039" t="s">
        <v>4038</v>
      </c>
      <c r="B4039" s="2">
        <v>42075.432000000001</v>
      </c>
      <c r="C4039" s="3" t="s">
        <v>5007</v>
      </c>
      <c r="D4039" t="s">
        <v>5013</v>
      </c>
      <c r="E4039" t="s">
        <v>5018</v>
      </c>
      <c r="F4039" t="s">
        <v>5018</v>
      </c>
      <c r="G4039">
        <v>63</v>
      </c>
      <c r="H4039" s="5">
        <v>2.0307314008297496E-3</v>
      </c>
      <c r="I4039">
        <v>1</v>
      </c>
      <c r="J4039" t="b">
        <f>AND(CCData[[#This Row],[Date]]&gt;=Calculation!$E$3,CCData[[#This Row],[Date]]&lt;Calculation!$E$3+7)</f>
        <v>0</v>
      </c>
    </row>
    <row r="4040" spans="1:10">
      <c r="A4040" t="s">
        <v>4039</v>
      </c>
      <c r="B4040" s="2">
        <v>42075.446000000004</v>
      </c>
      <c r="C4040" s="3" t="s">
        <v>5007</v>
      </c>
      <c r="D4040" t="s">
        <v>5013</v>
      </c>
      <c r="E4040" t="s">
        <v>5018</v>
      </c>
      <c r="F4040" t="s">
        <v>5018</v>
      </c>
      <c r="G4040">
        <v>64</v>
      </c>
      <c r="H4040" s="5">
        <v>4.0509113303927279E-3</v>
      </c>
      <c r="I4040">
        <v>4</v>
      </c>
      <c r="J4040" t="b">
        <f>AND(CCData[[#This Row],[Date]]&gt;=Calculation!$E$3,CCData[[#This Row],[Date]]&lt;Calculation!$E$3+7)</f>
        <v>0</v>
      </c>
    </row>
    <row r="4041" spans="1:10">
      <c r="A4041" t="s">
        <v>4040</v>
      </c>
      <c r="B4041" s="2">
        <v>42075.446000000004</v>
      </c>
      <c r="C4041" s="3" t="s">
        <v>5008</v>
      </c>
      <c r="D4041" t="s">
        <v>5013</v>
      </c>
      <c r="E4041" t="s">
        <v>5018</v>
      </c>
      <c r="F4041" t="s">
        <v>5018</v>
      </c>
      <c r="G4041">
        <v>17</v>
      </c>
      <c r="H4041" s="5">
        <v>3.9359848480485706E-3</v>
      </c>
      <c r="I4041">
        <v>3</v>
      </c>
      <c r="J4041" t="b">
        <f>AND(CCData[[#This Row],[Date]]&gt;=Calculation!$E$3,CCData[[#This Row],[Date]]&lt;Calculation!$E$3+7)</f>
        <v>0</v>
      </c>
    </row>
    <row r="4042" spans="1:10">
      <c r="A4042" t="s">
        <v>4041</v>
      </c>
      <c r="B4042" s="2">
        <v>42075.466999999997</v>
      </c>
      <c r="C4042" s="3" t="s">
        <v>5003</v>
      </c>
      <c r="D4042" t="s">
        <v>5012</v>
      </c>
      <c r="E4042" t="s">
        <v>5018</v>
      </c>
      <c r="F4042" t="s">
        <v>5018</v>
      </c>
      <c r="G4042">
        <v>42</v>
      </c>
      <c r="H4042" s="5">
        <v>1.8384745949365721E-3</v>
      </c>
      <c r="I4042">
        <v>4</v>
      </c>
      <c r="J4042" t="b">
        <f>AND(CCData[[#This Row],[Date]]&gt;=Calculation!$E$3,CCData[[#This Row],[Date]]&lt;Calculation!$E$3+7)</f>
        <v>0</v>
      </c>
    </row>
    <row r="4043" spans="1:10">
      <c r="A4043" t="s">
        <v>4042</v>
      </c>
      <c r="B4043" s="2">
        <v>42075.466999999997</v>
      </c>
      <c r="C4043" s="3" t="s">
        <v>5003</v>
      </c>
      <c r="D4043" t="s">
        <v>5013</v>
      </c>
      <c r="E4043" t="s">
        <v>5018</v>
      </c>
      <c r="F4043" t="s">
        <v>5018</v>
      </c>
      <c r="G4043">
        <v>121</v>
      </c>
      <c r="H4043" s="5">
        <v>2.8587434980681019E-3</v>
      </c>
      <c r="I4043">
        <v>1</v>
      </c>
      <c r="J4043" t="b">
        <f>AND(CCData[[#This Row],[Date]]&gt;=Calculation!$E$3,CCData[[#This Row],[Date]]&lt;Calculation!$E$3+7)</f>
        <v>0</v>
      </c>
    </row>
    <row r="4044" spans="1:10">
      <c r="A4044" t="s">
        <v>4043</v>
      </c>
      <c r="B4044" s="2">
        <v>42075.468000000001</v>
      </c>
      <c r="C4044" s="3" t="s">
        <v>5003</v>
      </c>
      <c r="D4044" t="s">
        <v>5014</v>
      </c>
      <c r="E4044" t="s">
        <v>5018</v>
      </c>
      <c r="F4044" t="s">
        <v>5018</v>
      </c>
      <c r="G4044">
        <v>56</v>
      </c>
      <c r="H4044" s="5">
        <v>2.4190934975417524E-3</v>
      </c>
      <c r="I4044">
        <v>4</v>
      </c>
      <c r="J4044" t="b">
        <f>AND(CCData[[#This Row],[Date]]&gt;=Calculation!$E$3,CCData[[#This Row],[Date]]&lt;Calculation!$E$3+7)</f>
        <v>0</v>
      </c>
    </row>
    <row r="4045" spans="1:10">
      <c r="A4045" t="s">
        <v>4044</v>
      </c>
      <c r="B4045" s="2">
        <v>42075.468000000001</v>
      </c>
      <c r="C4045" s="3" t="s">
        <v>5008</v>
      </c>
      <c r="D4045" t="s">
        <v>5013</v>
      </c>
      <c r="E4045" t="s">
        <v>5018</v>
      </c>
      <c r="F4045" t="s">
        <v>5018</v>
      </c>
      <c r="G4045">
        <v>123</v>
      </c>
      <c r="H4045" s="5">
        <v>3.6402657434221422E-3</v>
      </c>
      <c r="I4045">
        <v>4</v>
      </c>
      <c r="J4045" t="b">
        <f>AND(CCData[[#This Row],[Date]]&gt;=Calculation!$E$3,CCData[[#This Row],[Date]]&lt;Calculation!$E$3+7)</f>
        <v>0</v>
      </c>
    </row>
    <row r="4046" spans="1:10">
      <c r="A4046" t="s">
        <v>4045</v>
      </c>
      <c r="B4046" s="2">
        <v>42075.47</v>
      </c>
      <c r="C4046" s="3" t="s">
        <v>5003</v>
      </c>
      <c r="D4046" t="s">
        <v>5015</v>
      </c>
      <c r="E4046" t="s">
        <v>5018</v>
      </c>
      <c r="F4046" t="s">
        <v>5018</v>
      </c>
      <c r="G4046">
        <v>27</v>
      </c>
      <c r="H4046" s="5">
        <v>5.6753759437782225E-4</v>
      </c>
      <c r="I4046">
        <v>5</v>
      </c>
      <c r="J4046" t="b">
        <f>AND(CCData[[#This Row],[Date]]&gt;=Calculation!$E$3,CCData[[#This Row],[Date]]&lt;Calculation!$E$3+7)</f>
        <v>0</v>
      </c>
    </row>
    <row r="4047" spans="1:10">
      <c r="A4047" t="s">
        <v>4046</v>
      </c>
      <c r="B4047" s="2">
        <v>42075.47</v>
      </c>
      <c r="C4047" s="3" t="s">
        <v>5010</v>
      </c>
      <c r="D4047" t="s">
        <v>5013</v>
      </c>
      <c r="E4047" t="s">
        <v>5018</v>
      </c>
      <c r="F4047" t="s">
        <v>5018</v>
      </c>
      <c r="G4047">
        <v>46</v>
      </c>
      <c r="H4047" s="5">
        <v>2.6531414203547592E-3</v>
      </c>
      <c r="I4047">
        <v>4</v>
      </c>
      <c r="J4047" t="b">
        <f>AND(CCData[[#This Row],[Date]]&gt;=Calculation!$E$3,CCData[[#This Row],[Date]]&lt;Calculation!$E$3+7)</f>
        <v>0</v>
      </c>
    </row>
    <row r="4048" spans="1:10">
      <c r="A4048" t="s">
        <v>4047</v>
      </c>
      <c r="B4048" s="2">
        <v>42075.500999999997</v>
      </c>
      <c r="C4048" s="3" t="s">
        <v>5003</v>
      </c>
      <c r="D4048" t="s">
        <v>5013</v>
      </c>
      <c r="E4048" t="s">
        <v>5018</v>
      </c>
      <c r="F4048" t="s">
        <v>5018</v>
      </c>
      <c r="G4048">
        <v>117</v>
      </c>
      <c r="H4048" s="5">
        <v>1.4692991351748781E-3</v>
      </c>
      <c r="I4048">
        <v>2</v>
      </c>
      <c r="J4048" t="b">
        <f>AND(CCData[[#This Row],[Date]]&gt;=Calculation!$E$3,CCData[[#This Row],[Date]]&lt;Calculation!$E$3+7)</f>
        <v>0</v>
      </c>
    </row>
    <row r="4049" spans="1:10">
      <c r="A4049" t="s">
        <v>4048</v>
      </c>
      <c r="B4049" s="2">
        <v>42075.500999999997</v>
      </c>
      <c r="C4049" s="3" t="s">
        <v>5004</v>
      </c>
      <c r="D4049" t="s">
        <v>5014</v>
      </c>
      <c r="E4049" t="s">
        <v>5019</v>
      </c>
      <c r="F4049" t="s">
        <v>5019</v>
      </c>
      <c r="G4049" t="s">
        <v>5022</v>
      </c>
      <c r="H4049" s="5" t="s">
        <v>5022</v>
      </c>
      <c r="I4049" t="s">
        <v>5022</v>
      </c>
      <c r="J4049" t="b">
        <f>AND(CCData[[#This Row],[Date]]&gt;=Calculation!$E$3,CCData[[#This Row],[Date]]&lt;Calculation!$E$3+7)</f>
        <v>0</v>
      </c>
    </row>
    <row r="4050" spans="1:10">
      <c r="A4050" t="s">
        <v>4049</v>
      </c>
      <c r="B4050" s="2">
        <v>42075.54</v>
      </c>
      <c r="C4050" s="3" t="s">
        <v>5006</v>
      </c>
      <c r="D4050" t="s">
        <v>5012</v>
      </c>
      <c r="E4050" t="s">
        <v>5018</v>
      </c>
      <c r="F4050" t="s">
        <v>5018</v>
      </c>
      <c r="G4050">
        <v>64</v>
      </c>
      <c r="H4050" s="5">
        <v>3.7112793965163949E-3</v>
      </c>
      <c r="I4050">
        <v>3</v>
      </c>
      <c r="J4050" t="b">
        <f>AND(CCData[[#This Row],[Date]]&gt;=Calculation!$E$3,CCData[[#This Row],[Date]]&lt;Calculation!$E$3+7)</f>
        <v>0</v>
      </c>
    </row>
    <row r="4051" spans="1:10">
      <c r="A4051" t="s">
        <v>4050</v>
      </c>
      <c r="B4051" s="2">
        <v>42075.54</v>
      </c>
      <c r="C4051" s="3" t="s">
        <v>5007</v>
      </c>
      <c r="D4051" t="s">
        <v>5012</v>
      </c>
      <c r="E4051" t="s">
        <v>5018</v>
      </c>
      <c r="F4051" t="s">
        <v>5018</v>
      </c>
      <c r="G4051">
        <v>20</v>
      </c>
      <c r="H4051" s="5">
        <v>1.9421145253548263E-3</v>
      </c>
      <c r="I4051">
        <v>4</v>
      </c>
      <c r="J4051" t="b">
        <f>AND(CCData[[#This Row],[Date]]&gt;=Calculation!$E$3,CCData[[#This Row],[Date]]&lt;Calculation!$E$3+7)</f>
        <v>0</v>
      </c>
    </row>
    <row r="4052" spans="1:10">
      <c r="A4052" t="s">
        <v>4051</v>
      </c>
      <c r="B4052" s="2">
        <v>42075.561999999998</v>
      </c>
      <c r="C4052" s="3" t="s">
        <v>5005</v>
      </c>
      <c r="D4052" t="s">
        <v>5012</v>
      </c>
      <c r="E4052" t="s">
        <v>5018</v>
      </c>
      <c r="F4052" t="s">
        <v>5018</v>
      </c>
      <c r="G4052">
        <v>21</v>
      </c>
      <c r="H4052" s="5">
        <v>4.5544800350683446E-3</v>
      </c>
      <c r="I4052">
        <v>5</v>
      </c>
      <c r="J4052" t="b">
        <f>AND(CCData[[#This Row],[Date]]&gt;=Calculation!$E$3,CCData[[#This Row],[Date]]&lt;Calculation!$E$3+7)</f>
        <v>0</v>
      </c>
    </row>
    <row r="4053" spans="1:10">
      <c r="A4053" t="s">
        <v>4052</v>
      </c>
      <c r="B4053" s="2">
        <v>42075.561999999998</v>
      </c>
      <c r="C4053" s="3" t="s">
        <v>5006</v>
      </c>
      <c r="D4053" t="s">
        <v>5013</v>
      </c>
      <c r="E4053" t="s">
        <v>5019</v>
      </c>
      <c r="F4053" t="s">
        <v>5019</v>
      </c>
      <c r="G4053" t="s">
        <v>5022</v>
      </c>
      <c r="H4053" s="5" t="s">
        <v>5022</v>
      </c>
      <c r="I4053" t="s">
        <v>5022</v>
      </c>
      <c r="J4053" t="b">
        <f>AND(CCData[[#This Row],[Date]]&gt;=Calculation!$E$3,CCData[[#This Row],[Date]]&lt;Calculation!$E$3+7)</f>
        <v>0</v>
      </c>
    </row>
    <row r="4054" spans="1:10">
      <c r="A4054" t="s">
        <v>4053</v>
      </c>
      <c r="B4054" s="2">
        <v>42075.584000000003</v>
      </c>
      <c r="C4054" s="3" t="s">
        <v>5010</v>
      </c>
      <c r="D4054" t="s">
        <v>5016</v>
      </c>
      <c r="E4054" t="s">
        <v>5018</v>
      </c>
      <c r="F4054" t="s">
        <v>5019</v>
      </c>
      <c r="G4054">
        <v>118</v>
      </c>
      <c r="H4054" s="5">
        <v>1.8174194675401247E-3</v>
      </c>
      <c r="I4054">
        <v>3</v>
      </c>
      <c r="J4054" t="b">
        <f>AND(CCData[[#This Row],[Date]]&gt;=Calculation!$E$3,CCData[[#This Row],[Date]]&lt;Calculation!$E$3+7)</f>
        <v>0</v>
      </c>
    </row>
    <row r="4055" spans="1:10">
      <c r="A4055" t="s">
        <v>4054</v>
      </c>
      <c r="B4055" s="2">
        <v>42075.584000000003</v>
      </c>
      <c r="C4055" s="3" t="s">
        <v>5005</v>
      </c>
      <c r="D4055" t="s">
        <v>5015</v>
      </c>
      <c r="E4055" t="s">
        <v>5018</v>
      </c>
      <c r="F4055" t="s">
        <v>5018</v>
      </c>
      <c r="G4055">
        <v>105</v>
      </c>
      <c r="H4055" s="5">
        <v>3.7949655610256972E-3</v>
      </c>
      <c r="I4055">
        <v>2</v>
      </c>
      <c r="J4055" t="b">
        <f>AND(CCData[[#This Row],[Date]]&gt;=Calculation!$E$3,CCData[[#This Row],[Date]]&lt;Calculation!$E$3+7)</f>
        <v>0</v>
      </c>
    </row>
    <row r="4056" spans="1:10">
      <c r="A4056" t="s">
        <v>4055</v>
      </c>
      <c r="B4056" s="2">
        <v>42075.595999999998</v>
      </c>
      <c r="C4056" s="3" t="s">
        <v>5008</v>
      </c>
      <c r="D4056" t="s">
        <v>5013</v>
      </c>
      <c r="E4056" t="s">
        <v>5018</v>
      </c>
      <c r="F4056" t="s">
        <v>5018</v>
      </c>
      <c r="G4056">
        <v>117</v>
      </c>
      <c r="H4056" s="5">
        <v>5.3065571003754243E-4</v>
      </c>
      <c r="I4056">
        <v>4</v>
      </c>
      <c r="J4056" t="b">
        <f>AND(CCData[[#This Row],[Date]]&gt;=Calculation!$E$3,CCData[[#This Row],[Date]]&lt;Calculation!$E$3+7)</f>
        <v>0</v>
      </c>
    </row>
    <row r="4057" spans="1:10">
      <c r="A4057" t="s">
        <v>4056</v>
      </c>
      <c r="B4057" s="2">
        <v>42075.595999999998</v>
      </c>
      <c r="C4057" s="3" t="s">
        <v>5009</v>
      </c>
      <c r="D4057" t="s">
        <v>5014</v>
      </c>
      <c r="E4057" t="s">
        <v>5018</v>
      </c>
      <c r="F4057" t="s">
        <v>5019</v>
      </c>
      <c r="G4057">
        <v>16</v>
      </c>
      <c r="H4057" s="5">
        <v>2.4688510646274273E-3</v>
      </c>
      <c r="I4057">
        <v>4</v>
      </c>
      <c r="J4057" t="b">
        <f>AND(CCData[[#This Row],[Date]]&gt;=Calculation!$E$3,CCData[[#This Row],[Date]]&lt;Calculation!$E$3+7)</f>
        <v>0</v>
      </c>
    </row>
    <row r="4058" spans="1:10">
      <c r="A4058" t="s">
        <v>4057</v>
      </c>
      <c r="B4058" s="2">
        <v>42075.605000000003</v>
      </c>
      <c r="C4058" s="3" t="s">
        <v>5008</v>
      </c>
      <c r="D4058" t="s">
        <v>5015</v>
      </c>
      <c r="E4058" t="s">
        <v>5018</v>
      </c>
      <c r="F4058" t="s">
        <v>5018</v>
      </c>
      <c r="G4058">
        <v>110</v>
      </c>
      <c r="H4058" s="5">
        <v>1.3993044552516949E-3</v>
      </c>
      <c r="I4058">
        <v>5</v>
      </c>
      <c r="J4058" t="b">
        <f>AND(CCData[[#This Row],[Date]]&gt;=Calculation!$E$3,CCData[[#This Row],[Date]]&lt;Calculation!$E$3+7)</f>
        <v>0</v>
      </c>
    </row>
    <row r="4059" spans="1:10">
      <c r="A4059" t="s">
        <v>4058</v>
      </c>
      <c r="B4059" s="2">
        <v>42075.605000000003</v>
      </c>
      <c r="C4059" s="3" t="s">
        <v>5003</v>
      </c>
      <c r="D4059" t="s">
        <v>5015</v>
      </c>
      <c r="E4059" t="s">
        <v>5019</v>
      </c>
      <c r="F4059" t="s">
        <v>5019</v>
      </c>
      <c r="G4059" t="s">
        <v>5022</v>
      </c>
      <c r="H4059" s="5" t="s">
        <v>5022</v>
      </c>
      <c r="I4059" t="s">
        <v>5022</v>
      </c>
      <c r="J4059" t="b">
        <f>AND(CCData[[#This Row],[Date]]&gt;=Calculation!$E$3,CCData[[#This Row],[Date]]&lt;Calculation!$E$3+7)</f>
        <v>0</v>
      </c>
    </row>
    <row r="4060" spans="1:10">
      <c r="A4060" t="s">
        <v>4059</v>
      </c>
      <c r="B4060" s="2">
        <v>42075.606</v>
      </c>
      <c r="C4060" s="3" t="s">
        <v>5005</v>
      </c>
      <c r="D4060" t="s">
        <v>5015</v>
      </c>
      <c r="E4060" t="s">
        <v>5018</v>
      </c>
      <c r="F4060" t="s">
        <v>5018</v>
      </c>
      <c r="G4060">
        <v>57</v>
      </c>
      <c r="H4060" s="5">
        <v>1.4410247175827057E-3</v>
      </c>
      <c r="I4060">
        <v>5</v>
      </c>
      <c r="J4060" t="b">
        <f>AND(CCData[[#This Row],[Date]]&gt;=Calculation!$E$3,CCData[[#This Row],[Date]]&lt;Calculation!$E$3+7)</f>
        <v>0</v>
      </c>
    </row>
    <row r="4061" spans="1:10">
      <c r="A4061" t="s">
        <v>4060</v>
      </c>
      <c r="B4061" s="2">
        <v>42075.606</v>
      </c>
      <c r="C4061" s="3" t="s">
        <v>5008</v>
      </c>
      <c r="D4061" t="s">
        <v>5013</v>
      </c>
      <c r="E4061" t="s">
        <v>5018</v>
      </c>
      <c r="F4061" t="s">
        <v>5018</v>
      </c>
      <c r="G4061">
        <v>105</v>
      </c>
      <c r="H4061" s="5">
        <v>4.7439044947722156E-3</v>
      </c>
      <c r="I4061">
        <v>3</v>
      </c>
      <c r="J4061" t="b">
        <f>AND(CCData[[#This Row],[Date]]&gt;=Calculation!$E$3,CCData[[#This Row],[Date]]&lt;Calculation!$E$3+7)</f>
        <v>0</v>
      </c>
    </row>
    <row r="4062" spans="1:10">
      <c r="A4062" t="s">
        <v>4061</v>
      </c>
      <c r="B4062" s="2">
        <v>42075.623</v>
      </c>
      <c r="C4062" s="3" t="s">
        <v>5006</v>
      </c>
      <c r="D4062" t="s">
        <v>5015</v>
      </c>
      <c r="E4062" t="s">
        <v>5018</v>
      </c>
      <c r="F4062" t="s">
        <v>5018</v>
      </c>
      <c r="G4062">
        <v>95</v>
      </c>
      <c r="H4062" s="5">
        <v>4.3002307129389834E-3</v>
      </c>
      <c r="I4062">
        <v>5</v>
      </c>
      <c r="J4062" t="b">
        <f>AND(CCData[[#This Row],[Date]]&gt;=Calculation!$E$3,CCData[[#This Row],[Date]]&lt;Calculation!$E$3+7)</f>
        <v>0</v>
      </c>
    </row>
    <row r="4063" spans="1:10">
      <c r="A4063" t="s">
        <v>4062</v>
      </c>
      <c r="B4063" s="2">
        <v>42075.623</v>
      </c>
      <c r="C4063" s="3" t="s">
        <v>5007</v>
      </c>
      <c r="D4063" t="s">
        <v>5013</v>
      </c>
      <c r="E4063" t="s">
        <v>5018</v>
      </c>
      <c r="F4063" t="s">
        <v>5018</v>
      </c>
      <c r="G4063">
        <v>19</v>
      </c>
      <c r="H4063" s="5">
        <v>4.0205793000214771E-3</v>
      </c>
      <c r="I4063">
        <v>2</v>
      </c>
      <c r="J4063" t="b">
        <f>AND(CCData[[#This Row],[Date]]&gt;=Calculation!$E$3,CCData[[#This Row],[Date]]&lt;Calculation!$E$3+7)</f>
        <v>0</v>
      </c>
    </row>
    <row r="4064" spans="1:10">
      <c r="A4064" t="s">
        <v>4063</v>
      </c>
      <c r="B4064" s="2">
        <v>42075.671000000002</v>
      </c>
      <c r="C4064" s="3" t="s">
        <v>5004</v>
      </c>
      <c r="D4064" t="s">
        <v>5013</v>
      </c>
      <c r="E4064" t="s">
        <v>5018</v>
      </c>
      <c r="F4064" t="s">
        <v>5018</v>
      </c>
      <c r="G4064">
        <v>25</v>
      </c>
      <c r="H4064" s="5">
        <v>3.5902908757663578E-3</v>
      </c>
      <c r="I4064">
        <v>3</v>
      </c>
      <c r="J4064" t="b">
        <f>AND(CCData[[#This Row],[Date]]&gt;=Calculation!$E$3,CCData[[#This Row],[Date]]&lt;Calculation!$E$3+7)</f>
        <v>0</v>
      </c>
    </row>
    <row r="4065" spans="1:10">
      <c r="A4065" t="s">
        <v>4064</v>
      </c>
      <c r="B4065" s="2">
        <v>42075.671000000002</v>
      </c>
      <c r="C4065" s="3" t="s">
        <v>5004</v>
      </c>
      <c r="D4065" t="s">
        <v>5016</v>
      </c>
      <c r="E4065" t="s">
        <v>5018</v>
      </c>
      <c r="F4065" t="s">
        <v>5019</v>
      </c>
      <c r="G4065">
        <v>65</v>
      </c>
      <c r="H4065" s="5">
        <v>1.4665396541290643E-3</v>
      </c>
      <c r="I4065">
        <v>2</v>
      </c>
      <c r="J4065" t="b">
        <f>AND(CCData[[#This Row],[Date]]&gt;=Calculation!$E$3,CCData[[#This Row],[Date]]&lt;Calculation!$E$3+7)</f>
        <v>0</v>
      </c>
    </row>
    <row r="4066" spans="1:10">
      <c r="A4066" t="s">
        <v>4065</v>
      </c>
      <c r="B4066" s="2">
        <v>42075.682999999997</v>
      </c>
      <c r="C4066" s="3" t="s">
        <v>5007</v>
      </c>
      <c r="D4066" t="s">
        <v>5013</v>
      </c>
      <c r="E4066" t="s">
        <v>5018</v>
      </c>
      <c r="F4066" t="s">
        <v>5018</v>
      </c>
      <c r="G4066">
        <v>27</v>
      </c>
      <c r="H4066" s="5">
        <v>1.9411875426007111E-3</v>
      </c>
      <c r="I4066">
        <v>1</v>
      </c>
      <c r="J4066" t="b">
        <f>AND(CCData[[#This Row],[Date]]&gt;=Calculation!$E$3,CCData[[#This Row],[Date]]&lt;Calculation!$E$3+7)</f>
        <v>0</v>
      </c>
    </row>
    <row r="4067" spans="1:10">
      <c r="A4067" t="s">
        <v>4066</v>
      </c>
      <c r="B4067" s="2">
        <v>42075.682999999997</v>
      </c>
      <c r="C4067" s="3" t="s">
        <v>5007</v>
      </c>
      <c r="D4067" t="s">
        <v>5012</v>
      </c>
      <c r="E4067" t="s">
        <v>5018</v>
      </c>
      <c r="F4067" t="s">
        <v>5018</v>
      </c>
      <c r="G4067">
        <v>107</v>
      </c>
      <c r="H4067" s="5">
        <v>1.6517356492067373E-3</v>
      </c>
      <c r="I4067">
        <v>1</v>
      </c>
      <c r="J4067" t="b">
        <f>AND(CCData[[#This Row],[Date]]&gt;=Calculation!$E$3,CCData[[#This Row],[Date]]&lt;Calculation!$E$3+7)</f>
        <v>0</v>
      </c>
    </row>
    <row r="4068" spans="1:10">
      <c r="A4068" t="s">
        <v>4067</v>
      </c>
      <c r="B4068" s="2">
        <v>42075.709000000003</v>
      </c>
      <c r="C4068" s="3" t="s">
        <v>5004</v>
      </c>
      <c r="D4068" t="s">
        <v>5015</v>
      </c>
      <c r="E4068" t="s">
        <v>5018</v>
      </c>
      <c r="F4068" t="s">
        <v>5018</v>
      </c>
      <c r="G4068">
        <v>90</v>
      </c>
      <c r="H4068" s="5">
        <v>2.5320846898288876E-3</v>
      </c>
      <c r="I4068">
        <v>3</v>
      </c>
      <c r="J4068" t="b">
        <f>AND(CCData[[#This Row],[Date]]&gt;=Calculation!$E$3,CCData[[#This Row],[Date]]&lt;Calculation!$E$3+7)</f>
        <v>0</v>
      </c>
    </row>
    <row r="4069" spans="1:10">
      <c r="A4069" t="s">
        <v>4068</v>
      </c>
      <c r="B4069" s="2">
        <v>42075.709000000003</v>
      </c>
      <c r="C4069" s="3" t="s">
        <v>5004</v>
      </c>
      <c r="D4069" t="s">
        <v>5014</v>
      </c>
      <c r="E4069" t="s">
        <v>5018</v>
      </c>
      <c r="F4069" t="s">
        <v>5018</v>
      </c>
      <c r="G4069">
        <v>45</v>
      </c>
      <c r="H4069" s="5">
        <v>1.051907116232334E-3</v>
      </c>
      <c r="I4069">
        <v>3</v>
      </c>
      <c r="J4069" t="b">
        <f>AND(CCData[[#This Row],[Date]]&gt;=Calculation!$E$3,CCData[[#This Row],[Date]]&lt;Calculation!$E$3+7)</f>
        <v>0</v>
      </c>
    </row>
    <row r="4070" spans="1:10">
      <c r="A4070" t="s">
        <v>4069</v>
      </c>
      <c r="B4070" s="2">
        <v>42075.716</v>
      </c>
      <c r="C4070" s="3" t="s">
        <v>5010</v>
      </c>
      <c r="D4070" t="s">
        <v>5014</v>
      </c>
      <c r="E4070" t="s">
        <v>5018</v>
      </c>
      <c r="F4070" t="s">
        <v>5018</v>
      </c>
      <c r="G4070">
        <v>39</v>
      </c>
      <c r="H4070" s="5">
        <v>3.9658485474456011E-3</v>
      </c>
      <c r="I4070">
        <v>4</v>
      </c>
      <c r="J4070" t="b">
        <f>AND(CCData[[#This Row],[Date]]&gt;=Calculation!$E$3,CCData[[#This Row],[Date]]&lt;Calculation!$E$3+7)</f>
        <v>0</v>
      </c>
    </row>
    <row r="4071" spans="1:10">
      <c r="A4071" t="s">
        <v>4070</v>
      </c>
      <c r="B4071" s="2">
        <v>42075.716</v>
      </c>
      <c r="C4071" s="3" t="s">
        <v>5008</v>
      </c>
      <c r="D4071" t="s">
        <v>5016</v>
      </c>
      <c r="E4071" t="s">
        <v>5018</v>
      </c>
      <c r="F4071" t="s">
        <v>5018</v>
      </c>
      <c r="G4071">
        <v>63</v>
      </c>
      <c r="H4071" s="5">
        <v>3.2726286939840786E-3</v>
      </c>
      <c r="I4071">
        <v>5</v>
      </c>
      <c r="J4071" t="b">
        <f>AND(CCData[[#This Row],[Date]]&gt;=Calculation!$E$3,CCData[[#This Row],[Date]]&lt;Calculation!$E$3+7)</f>
        <v>0</v>
      </c>
    </row>
    <row r="4072" spans="1:10">
      <c r="A4072" t="s">
        <v>4071</v>
      </c>
      <c r="B4072" s="2">
        <v>42075.745000000003</v>
      </c>
      <c r="C4072" s="3" t="s">
        <v>5006</v>
      </c>
      <c r="D4072" t="s">
        <v>5015</v>
      </c>
      <c r="E4072" t="s">
        <v>5018</v>
      </c>
      <c r="F4072" t="s">
        <v>5019</v>
      </c>
      <c r="G4072">
        <v>95</v>
      </c>
      <c r="H4072" s="5">
        <v>4.4466959218087071E-4</v>
      </c>
      <c r="I4072">
        <v>1</v>
      </c>
      <c r="J4072" t="b">
        <f>AND(CCData[[#This Row],[Date]]&gt;=Calculation!$E$3,CCData[[#This Row],[Date]]&lt;Calculation!$E$3+7)</f>
        <v>0</v>
      </c>
    </row>
    <row r="4073" spans="1:10">
      <c r="A4073" t="s">
        <v>4072</v>
      </c>
      <c r="B4073" s="2">
        <v>42075.745000000003</v>
      </c>
      <c r="C4073" s="3" t="s">
        <v>5008</v>
      </c>
      <c r="D4073" t="s">
        <v>5015</v>
      </c>
      <c r="E4073" t="s">
        <v>5018</v>
      </c>
      <c r="F4073" t="s">
        <v>5018</v>
      </c>
      <c r="G4073">
        <v>39</v>
      </c>
      <c r="H4073" s="5">
        <v>3.7456242145503835E-3</v>
      </c>
      <c r="I4073">
        <v>4</v>
      </c>
      <c r="J4073" t="b">
        <f>AND(CCData[[#This Row],[Date]]&gt;=Calculation!$E$3,CCData[[#This Row],[Date]]&lt;Calculation!$E$3+7)</f>
        <v>0</v>
      </c>
    </row>
    <row r="4074" spans="1:10">
      <c r="A4074" t="s">
        <v>4073</v>
      </c>
      <c r="B4074" s="2">
        <v>42076.377</v>
      </c>
      <c r="C4074" s="3" t="s">
        <v>5003</v>
      </c>
      <c r="D4074" t="s">
        <v>5015</v>
      </c>
      <c r="E4074" t="s">
        <v>5019</v>
      </c>
      <c r="F4074" t="s">
        <v>5019</v>
      </c>
      <c r="G4074" t="s">
        <v>5022</v>
      </c>
      <c r="H4074" s="5" t="s">
        <v>5022</v>
      </c>
      <c r="I4074" t="s">
        <v>5022</v>
      </c>
      <c r="J4074" t="b">
        <f>AND(CCData[[#This Row],[Date]]&gt;=Calculation!$E$3,CCData[[#This Row],[Date]]&lt;Calculation!$E$3+7)</f>
        <v>0</v>
      </c>
    </row>
    <row r="4075" spans="1:10">
      <c r="A4075" t="s">
        <v>4074</v>
      </c>
      <c r="B4075" s="2">
        <v>42076.377</v>
      </c>
      <c r="C4075" s="3" t="s">
        <v>5009</v>
      </c>
      <c r="D4075" t="s">
        <v>5015</v>
      </c>
      <c r="E4075" t="s">
        <v>5019</v>
      </c>
      <c r="F4075" t="s">
        <v>5019</v>
      </c>
      <c r="G4075" t="s">
        <v>5022</v>
      </c>
      <c r="H4075" s="5" t="s">
        <v>5022</v>
      </c>
      <c r="I4075" t="s">
        <v>5022</v>
      </c>
      <c r="J4075" t="b">
        <f>AND(CCData[[#This Row],[Date]]&gt;=Calculation!$E$3,CCData[[#This Row],[Date]]&lt;Calculation!$E$3+7)</f>
        <v>0</v>
      </c>
    </row>
    <row r="4076" spans="1:10">
      <c r="A4076" t="s">
        <v>4075</v>
      </c>
      <c r="B4076" s="2">
        <v>42076.377</v>
      </c>
      <c r="C4076" s="3" t="s">
        <v>5009</v>
      </c>
      <c r="D4076" t="s">
        <v>5015</v>
      </c>
      <c r="E4076" t="s">
        <v>5018</v>
      </c>
      <c r="F4076" t="s">
        <v>5018</v>
      </c>
      <c r="G4076">
        <v>125</v>
      </c>
      <c r="H4076" s="5">
        <v>6.9810688059480084E-4</v>
      </c>
      <c r="I4076">
        <v>3</v>
      </c>
      <c r="J4076" t="b">
        <f>AND(CCData[[#This Row],[Date]]&gt;=Calculation!$E$3,CCData[[#This Row],[Date]]&lt;Calculation!$E$3+7)</f>
        <v>0</v>
      </c>
    </row>
    <row r="4077" spans="1:10">
      <c r="A4077" t="s">
        <v>4076</v>
      </c>
      <c r="B4077" s="2">
        <v>42076.377</v>
      </c>
      <c r="C4077" s="3" t="s">
        <v>5009</v>
      </c>
      <c r="D4077" t="s">
        <v>5013</v>
      </c>
      <c r="E4077" t="s">
        <v>5018</v>
      </c>
      <c r="F4077" t="s">
        <v>5018</v>
      </c>
      <c r="G4077">
        <v>73</v>
      </c>
      <c r="H4077" s="5">
        <v>1.0406082252249931E-3</v>
      </c>
      <c r="I4077">
        <v>4</v>
      </c>
      <c r="J4077" t="b">
        <f>AND(CCData[[#This Row],[Date]]&gt;=Calculation!$E$3,CCData[[#This Row],[Date]]&lt;Calculation!$E$3+7)</f>
        <v>0</v>
      </c>
    </row>
    <row r="4078" spans="1:10">
      <c r="A4078" t="s">
        <v>4077</v>
      </c>
      <c r="B4078" s="2">
        <v>42076.402000000002</v>
      </c>
      <c r="C4078" s="3" t="s">
        <v>5006</v>
      </c>
      <c r="D4078" t="s">
        <v>5015</v>
      </c>
      <c r="E4078" t="s">
        <v>5018</v>
      </c>
      <c r="F4078" t="s">
        <v>5018</v>
      </c>
      <c r="G4078">
        <v>116</v>
      </c>
      <c r="H4078" s="5">
        <v>6.4689412790494875E-4</v>
      </c>
      <c r="I4078">
        <v>4</v>
      </c>
      <c r="J4078" t="b">
        <f>AND(CCData[[#This Row],[Date]]&gt;=Calculation!$E$3,CCData[[#This Row],[Date]]&lt;Calculation!$E$3+7)</f>
        <v>0</v>
      </c>
    </row>
    <row r="4079" spans="1:10">
      <c r="A4079" t="s">
        <v>4078</v>
      </c>
      <c r="B4079" s="2">
        <v>42076.402000000002</v>
      </c>
      <c r="C4079" s="3" t="s">
        <v>5008</v>
      </c>
      <c r="D4079" t="s">
        <v>5013</v>
      </c>
      <c r="E4079" t="s">
        <v>5018</v>
      </c>
      <c r="F4079" t="s">
        <v>5018</v>
      </c>
      <c r="G4079">
        <v>115</v>
      </c>
      <c r="H4079" s="5">
        <v>1.6334437133177868E-3</v>
      </c>
      <c r="I4079">
        <v>2</v>
      </c>
      <c r="J4079" t="b">
        <f>AND(CCData[[#This Row],[Date]]&gt;=Calculation!$E$3,CCData[[#This Row],[Date]]&lt;Calculation!$E$3+7)</f>
        <v>0</v>
      </c>
    </row>
    <row r="4080" spans="1:10">
      <c r="A4080" t="s">
        <v>4079</v>
      </c>
      <c r="B4080" s="2">
        <v>42076.451000000001</v>
      </c>
      <c r="C4080" s="3" t="s">
        <v>5008</v>
      </c>
      <c r="D4080" t="s">
        <v>5015</v>
      </c>
      <c r="E4080" t="s">
        <v>5019</v>
      </c>
      <c r="F4080" t="s">
        <v>5019</v>
      </c>
      <c r="G4080" t="s">
        <v>5022</v>
      </c>
      <c r="H4080" s="5" t="s">
        <v>5022</v>
      </c>
      <c r="I4080" t="s">
        <v>5022</v>
      </c>
      <c r="J4080" t="b">
        <f>AND(CCData[[#This Row],[Date]]&gt;=Calculation!$E$3,CCData[[#This Row],[Date]]&lt;Calculation!$E$3+7)</f>
        <v>0</v>
      </c>
    </row>
    <row r="4081" spans="1:10">
      <c r="A4081" t="s">
        <v>4080</v>
      </c>
      <c r="B4081" s="2">
        <v>42076.451000000001</v>
      </c>
      <c r="C4081" s="3" t="s">
        <v>5005</v>
      </c>
      <c r="D4081" t="s">
        <v>5014</v>
      </c>
      <c r="E4081" t="s">
        <v>5018</v>
      </c>
      <c r="F4081" t="s">
        <v>5018</v>
      </c>
      <c r="G4081">
        <v>56</v>
      </c>
      <c r="H4081" s="5">
        <v>4.248114869638376E-3</v>
      </c>
      <c r="I4081">
        <v>2</v>
      </c>
      <c r="J4081" t="b">
        <f>AND(CCData[[#This Row],[Date]]&gt;=Calculation!$E$3,CCData[[#This Row],[Date]]&lt;Calculation!$E$3+7)</f>
        <v>0</v>
      </c>
    </row>
    <row r="4082" spans="1:10">
      <c r="A4082" t="s">
        <v>4081</v>
      </c>
      <c r="B4082" s="2">
        <v>42076.468999999997</v>
      </c>
      <c r="C4082" s="3" t="s">
        <v>5010</v>
      </c>
      <c r="D4082" t="s">
        <v>5013</v>
      </c>
      <c r="E4082" t="s">
        <v>5018</v>
      </c>
      <c r="F4082" t="s">
        <v>5018</v>
      </c>
      <c r="G4082">
        <v>123</v>
      </c>
      <c r="H4082" s="5">
        <v>1.8417994775336236E-3</v>
      </c>
      <c r="I4082">
        <v>2</v>
      </c>
      <c r="J4082" t="b">
        <f>AND(CCData[[#This Row],[Date]]&gt;=Calculation!$E$3,CCData[[#This Row],[Date]]&lt;Calculation!$E$3+7)</f>
        <v>0</v>
      </c>
    </row>
    <row r="4083" spans="1:10">
      <c r="A4083" t="s">
        <v>4082</v>
      </c>
      <c r="B4083" s="2">
        <v>42076.468999999997</v>
      </c>
      <c r="C4083" s="3" t="s">
        <v>5004</v>
      </c>
      <c r="D4083" t="s">
        <v>5015</v>
      </c>
      <c r="E4083" t="s">
        <v>5018</v>
      </c>
      <c r="F4083" t="s">
        <v>5018</v>
      </c>
      <c r="G4083">
        <v>36</v>
      </c>
      <c r="H4083" s="5">
        <v>5.8232245399799981E-4</v>
      </c>
      <c r="I4083">
        <v>1</v>
      </c>
      <c r="J4083" t="b">
        <f>AND(CCData[[#This Row],[Date]]&gt;=Calculation!$E$3,CCData[[#This Row],[Date]]&lt;Calculation!$E$3+7)</f>
        <v>0</v>
      </c>
    </row>
    <row r="4084" spans="1:10">
      <c r="A4084" t="s">
        <v>4083</v>
      </c>
      <c r="B4084" s="2">
        <v>42076.478000000003</v>
      </c>
      <c r="C4084" s="3" t="s">
        <v>5006</v>
      </c>
      <c r="D4084" t="s">
        <v>5013</v>
      </c>
      <c r="E4084" t="s">
        <v>5018</v>
      </c>
      <c r="F4084" t="s">
        <v>5018</v>
      </c>
      <c r="G4084">
        <v>84</v>
      </c>
      <c r="H4084" s="5">
        <v>1.0768265021725597E-3</v>
      </c>
      <c r="I4084">
        <v>5</v>
      </c>
      <c r="J4084" t="b">
        <f>AND(CCData[[#This Row],[Date]]&gt;=Calculation!$E$3,CCData[[#This Row],[Date]]&lt;Calculation!$E$3+7)</f>
        <v>0</v>
      </c>
    </row>
    <row r="4085" spans="1:10">
      <c r="A4085" t="s">
        <v>4084</v>
      </c>
      <c r="B4085" s="2">
        <v>42076.478000000003</v>
      </c>
      <c r="C4085" s="3" t="s">
        <v>5009</v>
      </c>
      <c r="D4085" t="s">
        <v>5016</v>
      </c>
      <c r="E4085" t="s">
        <v>5018</v>
      </c>
      <c r="F4085" t="s">
        <v>5018</v>
      </c>
      <c r="G4085">
        <v>74</v>
      </c>
      <c r="H4085" s="5">
        <v>2.1000428039892488E-3</v>
      </c>
      <c r="I4085">
        <v>3</v>
      </c>
      <c r="J4085" t="b">
        <f>AND(CCData[[#This Row],[Date]]&gt;=Calculation!$E$3,CCData[[#This Row],[Date]]&lt;Calculation!$E$3+7)</f>
        <v>0</v>
      </c>
    </row>
    <row r="4086" spans="1:10">
      <c r="A4086" t="s">
        <v>4085</v>
      </c>
      <c r="B4086" s="2">
        <v>42076.485000000001</v>
      </c>
      <c r="C4086" s="3" t="s">
        <v>5007</v>
      </c>
      <c r="D4086" t="s">
        <v>5016</v>
      </c>
      <c r="E4086" t="s">
        <v>5018</v>
      </c>
      <c r="F4086" t="s">
        <v>5018</v>
      </c>
      <c r="G4086">
        <v>20</v>
      </c>
      <c r="H4086" s="5">
        <v>2.9679135253548872E-3</v>
      </c>
      <c r="I4086">
        <v>5</v>
      </c>
      <c r="J4086" t="b">
        <f>AND(CCData[[#This Row],[Date]]&gt;=Calculation!$E$3,CCData[[#This Row],[Date]]&lt;Calculation!$E$3+7)</f>
        <v>0</v>
      </c>
    </row>
    <row r="4087" spans="1:10">
      <c r="A4087" t="s">
        <v>4086</v>
      </c>
      <c r="B4087" s="2">
        <v>42076.485000000001</v>
      </c>
      <c r="C4087" s="3" t="s">
        <v>5009</v>
      </c>
      <c r="D4087" t="s">
        <v>5016</v>
      </c>
      <c r="E4087" t="s">
        <v>5019</v>
      </c>
      <c r="F4087" t="s">
        <v>5019</v>
      </c>
      <c r="G4087" t="s">
        <v>5022</v>
      </c>
      <c r="H4087" s="5" t="s">
        <v>5022</v>
      </c>
      <c r="I4087" t="s">
        <v>5022</v>
      </c>
      <c r="J4087" t="b">
        <f>AND(CCData[[#This Row],[Date]]&gt;=Calculation!$E$3,CCData[[#This Row],[Date]]&lt;Calculation!$E$3+7)</f>
        <v>0</v>
      </c>
    </row>
    <row r="4088" spans="1:10">
      <c r="A4088" t="s">
        <v>4087</v>
      </c>
      <c r="B4088" s="2">
        <v>42076.487999999998</v>
      </c>
      <c r="C4088" s="3" t="s">
        <v>5003</v>
      </c>
      <c r="D4088" t="s">
        <v>5014</v>
      </c>
      <c r="E4088" t="s">
        <v>5018</v>
      </c>
      <c r="F4088" t="s">
        <v>5018</v>
      </c>
      <c r="G4088">
        <v>13</v>
      </c>
      <c r="H4088" s="5">
        <v>3.1562094655475125E-3</v>
      </c>
      <c r="I4088">
        <v>3</v>
      </c>
      <c r="J4088" t="b">
        <f>AND(CCData[[#This Row],[Date]]&gt;=Calculation!$E$3,CCData[[#This Row],[Date]]&lt;Calculation!$E$3+7)</f>
        <v>0</v>
      </c>
    </row>
    <row r="4089" spans="1:10">
      <c r="A4089" t="s">
        <v>4088</v>
      </c>
      <c r="B4089" s="2">
        <v>42076.487999999998</v>
      </c>
      <c r="C4089" s="3" t="s">
        <v>5006</v>
      </c>
      <c r="D4089" t="s">
        <v>5012</v>
      </c>
      <c r="E4089" t="s">
        <v>5018</v>
      </c>
      <c r="F4089" t="s">
        <v>5019</v>
      </c>
      <c r="G4089">
        <v>28</v>
      </c>
      <c r="H4089" s="5">
        <v>6.8548777341171123E-4</v>
      </c>
      <c r="I4089">
        <v>3</v>
      </c>
      <c r="J4089" t="b">
        <f>AND(CCData[[#This Row],[Date]]&gt;=Calculation!$E$3,CCData[[#This Row],[Date]]&lt;Calculation!$E$3+7)</f>
        <v>0</v>
      </c>
    </row>
    <row r="4090" spans="1:10">
      <c r="A4090" t="s">
        <v>4089</v>
      </c>
      <c r="B4090" s="2">
        <v>42076.571000000004</v>
      </c>
      <c r="C4090" s="3" t="s">
        <v>5010</v>
      </c>
      <c r="D4090" t="s">
        <v>5012</v>
      </c>
      <c r="E4090" t="s">
        <v>5018</v>
      </c>
      <c r="F4090" t="s">
        <v>5018</v>
      </c>
      <c r="G4090">
        <v>13</v>
      </c>
      <c r="H4090" s="5">
        <v>1.3302132449939579E-3</v>
      </c>
      <c r="I4090">
        <v>4</v>
      </c>
      <c r="J4090" t="b">
        <f>AND(CCData[[#This Row],[Date]]&gt;=Calculation!$E$3,CCData[[#This Row],[Date]]&lt;Calculation!$E$3+7)</f>
        <v>0</v>
      </c>
    </row>
    <row r="4091" spans="1:10">
      <c r="A4091" t="s">
        <v>4090</v>
      </c>
      <c r="B4091" s="2">
        <v>42076.571000000004</v>
      </c>
      <c r="C4091" s="3" t="s">
        <v>5009</v>
      </c>
      <c r="D4091" t="s">
        <v>5016</v>
      </c>
      <c r="E4091" t="s">
        <v>5018</v>
      </c>
      <c r="F4091" t="s">
        <v>5018</v>
      </c>
      <c r="G4091">
        <v>100</v>
      </c>
      <c r="H4091" s="5">
        <v>8.4731808379202498E-4</v>
      </c>
      <c r="I4091">
        <v>3</v>
      </c>
      <c r="J4091" t="b">
        <f>AND(CCData[[#This Row],[Date]]&gt;=Calculation!$E$3,CCData[[#This Row],[Date]]&lt;Calculation!$E$3+7)</f>
        <v>0</v>
      </c>
    </row>
    <row r="4092" spans="1:10">
      <c r="A4092" t="s">
        <v>4091</v>
      </c>
      <c r="B4092" s="2">
        <v>42076.593000000001</v>
      </c>
      <c r="C4092" s="3" t="s">
        <v>5007</v>
      </c>
      <c r="D4092" t="s">
        <v>5012</v>
      </c>
      <c r="E4092" t="s">
        <v>5018</v>
      </c>
      <c r="F4092" t="s">
        <v>5018</v>
      </c>
      <c r="G4092">
        <v>119</v>
      </c>
      <c r="H4092" s="5">
        <v>2.0231567152687643E-3</v>
      </c>
      <c r="I4092">
        <v>3</v>
      </c>
      <c r="J4092" t="b">
        <f>AND(CCData[[#This Row],[Date]]&gt;=Calculation!$E$3,CCData[[#This Row],[Date]]&lt;Calculation!$E$3+7)</f>
        <v>0</v>
      </c>
    </row>
    <row r="4093" spans="1:10">
      <c r="A4093" t="s">
        <v>4092</v>
      </c>
      <c r="B4093" s="2">
        <v>42076.593000000001</v>
      </c>
      <c r="C4093" s="3" t="s">
        <v>5005</v>
      </c>
      <c r="D4093" t="s">
        <v>5013</v>
      </c>
      <c r="E4093" t="s">
        <v>5019</v>
      </c>
      <c r="F4093" t="s">
        <v>5019</v>
      </c>
      <c r="G4093" t="s">
        <v>5022</v>
      </c>
      <c r="H4093" s="5" t="s">
        <v>5022</v>
      </c>
      <c r="I4093" t="s">
        <v>5022</v>
      </c>
      <c r="J4093" t="b">
        <f>AND(CCData[[#This Row],[Date]]&gt;=Calculation!$E$3,CCData[[#This Row],[Date]]&lt;Calculation!$E$3+7)</f>
        <v>0</v>
      </c>
    </row>
    <row r="4094" spans="1:10">
      <c r="A4094" t="s">
        <v>4093</v>
      </c>
      <c r="B4094" s="2">
        <v>42076.595999999998</v>
      </c>
      <c r="C4094" s="3" t="s">
        <v>5009</v>
      </c>
      <c r="D4094" t="s">
        <v>5013</v>
      </c>
      <c r="E4094" t="s">
        <v>5018</v>
      </c>
      <c r="F4094" t="s">
        <v>5018</v>
      </c>
      <c r="G4094">
        <v>125</v>
      </c>
      <c r="H4094" s="5">
        <v>3.9699317847605416E-3</v>
      </c>
      <c r="I4094">
        <v>5</v>
      </c>
      <c r="J4094" t="b">
        <f>AND(CCData[[#This Row],[Date]]&gt;=Calculation!$E$3,CCData[[#This Row],[Date]]&lt;Calculation!$E$3+7)</f>
        <v>0</v>
      </c>
    </row>
    <row r="4095" spans="1:10">
      <c r="A4095" t="s">
        <v>4094</v>
      </c>
      <c r="B4095" s="2">
        <v>42076.595999999998</v>
      </c>
      <c r="C4095" s="3" t="s">
        <v>5008</v>
      </c>
      <c r="D4095" t="s">
        <v>5016</v>
      </c>
      <c r="E4095" t="s">
        <v>5019</v>
      </c>
      <c r="F4095" t="s">
        <v>5019</v>
      </c>
      <c r="G4095" t="s">
        <v>5022</v>
      </c>
      <c r="H4095" s="5" t="s">
        <v>5022</v>
      </c>
      <c r="I4095" t="s">
        <v>5022</v>
      </c>
      <c r="J4095" t="b">
        <f>AND(CCData[[#This Row],[Date]]&gt;=Calculation!$E$3,CCData[[#This Row],[Date]]&lt;Calculation!$E$3+7)</f>
        <v>0</v>
      </c>
    </row>
    <row r="4096" spans="1:10">
      <c r="A4096" t="s">
        <v>4095</v>
      </c>
      <c r="B4096" s="2">
        <v>42076.61</v>
      </c>
      <c r="C4096" s="3" t="s">
        <v>5007</v>
      </c>
      <c r="D4096" t="s">
        <v>5013</v>
      </c>
      <c r="E4096" t="s">
        <v>5018</v>
      </c>
      <c r="F4096" t="s">
        <v>5019</v>
      </c>
      <c r="G4096">
        <v>88</v>
      </c>
      <c r="H4096" s="5">
        <v>1.2339832128667359E-3</v>
      </c>
      <c r="I4096">
        <v>4</v>
      </c>
      <c r="J4096" t="b">
        <f>AND(CCData[[#This Row],[Date]]&gt;=Calculation!$E$3,CCData[[#This Row],[Date]]&lt;Calculation!$E$3+7)</f>
        <v>0</v>
      </c>
    </row>
    <row r="4097" spans="1:10">
      <c r="A4097" t="s">
        <v>4096</v>
      </c>
      <c r="B4097" s="2">
        <v>42076.61</v>
      </c>
      <c r="C4097" s="3" t="s">
        <v>5004</v>
      </c>
      <c r="D4097" t="s">
        <v>5013</v>
      </c>
      <c r="E4097" t="s">
        <v>5018</v>
      </c>
      <c r="F4097" t="s">
        <v>5018</v>
      </c>
      <c r="G4097">
        <v>71</v>
      </c>
      <c r="H4097" s="5">
        <v>3.9249188826965631E-4</v>
      </c>
      <c r="I4097">
        <v>4</v>
      </c>
      <c r="J4097" t="b">
        <f>AND(CCData[[#This Row],[Date]]&gt;=Calculation!$E$3,CCData[[#This Row],[Date]]&lt;Calculation!$E$3+7)</f>
        <v>0</v>
      </c>
    </row>
    <row r="4098" spans="1:10">
      <c r="A4098" t="s">
        <v>4097</v>
      </c>
      <c r="B4098" s="2">
        <v>42076.612000000001</v>
      </c>
      <c r="C4098" s="3" t="s">
        <v>5010</v>
      </c>
      <c r="D4098" t="s">
        <v>5012</v>
      </c>
      <c r="E4098" t="s">
        <v>5018</v>
      </c>
      <c r="F4098" t="s">
        <v>5018</v>
      </c>
      <c r="G4098">
        <v>99</v>
      </c>
      <c r="H4098" s="5">
        <v>3.9474834496338321E-4</v>
      </c>
      <c r="I4098">
        <v>4</v>
      </c>
      <c r="J4098" t="b">
        <f>AND(CCData[[#This Row],[Date]]&gt;=Calculation!$E$3,CCData[[#This Row],[Date]]&lt;Calculation!$E$3+7)</f>
        <v>0</v>
      </c>
    </row>
    <row r="4099" spans="1:10">
      <c r="A4099" t="s">
        <v>4098</v>
      </c>
      <c r="B4099" s="2">
        <v>42076.612000000001</v>
      </c>
      <c r="C4099" s="3" t="s">
        <v>5010</v>
      </c>
      <c r="D4099" t="s">
        <v>5015</v>
      </c>
      <c r="E4099" t="s">
        <v>5018</v>
      </c>
      <c r="F4099" t="s">
        <v>5018</v>
      </c>
      <c r="G4099">
        <v>94</v>
      </c>
      <c r="H4099" s="5">
        <v>4.0683752556208803E-3</v>
      </c>
      <c r="I4099">
        <v>1</v>
      </c>
      <c r="J4099" t="b">
        <f>AND(CCData[[#This Row],[Date]]&gt;=Calculation!$E$3,CCData[[#This Row],[Date]]&lt;Calculation!$E$3+7)</f>
        <v>0</v>
      </c>
    </row>
    <row r="4100" spans="1:10">
      <c r="A4100" t="s">
        <v>4099</v>
      </c>
      <c r="B4100" s="2">
        <v>42076.625</v>
      </c>
      <c r="C4100" s="3" t="s">
        <v>5004</v>
      </c>
      <c r="D4100" t="s">
        <v>5015</v>
      </c>
      <c r="E4100" t="s">
        <v>5018</v>
      </c>
      <c r="F4100" t="s">
        <v>5018</v>
      </c>
      <c r="G4100">
        <v>115</v>
      </c>
      <c r="H4100" s="5">
        <v>3.6056043570979386E-3</v>
      </c>
      <c r="I4100">
        <v>1</v>
      </c>
      <c r="J4100" t="b">
        <f>AND(CCData[[#This Row],[Date]]&gt;=Calculation!$E$3,CCData[[#This Row],[Date]]&lt;Calculation!$E$3+7)</f>
        <v>0</v>
      </c>
    </row>
    <row r="4101" spans="1:10">
      <c r="A4101" t="s">
        <v>4100</v>
      </c>
      <c r="B4101" s="2">
        <v>42076.625</v>
      </c>
      <c r="C4101" s="3" t="s">
        <v>5004</v>
      </c>
      <c r="D4101" t="s">
        <v>5012</v>
      </c>
      <c r="E4101" t="s">
        <v>5018</v>
      </c>
      <c r="F4101" t="s">
        <v>5018</v>
      </c>
      <c r="G4101">
        <v>36</v>
      </c>
      <c r="H4101" s="5">
        <v>3.5983711637370664E-3</v>
      </c>
      <c r="I4101">
        <v>5</v>
      </c>
      <c r="J4101" t="b">
        <f>AND(CCData[[#This Row],[Date]]&gt;=Calculation!$E$3,CCData[[#This Row],[Date]]&lt;Calculation!$E$3+7)</f>
        <v>0</v>
      </c>
    </row>
    <row r="4102" spans="1:10">
      <c r="A4102" t="s">
        <v>4101</v>
      </c>
      <c r="B4102" s="2">
        <v>42076.627</v>
      </c>
      <c r="C4102" s="3" t="s">
        <v>5005</v>
      </c>
      <c r="D4102" t="s">
        <v>5014</v>
      </c>
      <c r="E4102" t="s">
        <v>5018</v>
      </c>
      <c r="F4102" t="s">
        <v>5018</v>
      </c>
      <c r="G4102">
        <v>72</v>
      </c>
      <c r="H4102" s="5">
        <v>2.6819015051074971E-3</v>
      </c>
      <c r="I4102">
        <v>3</v>
      </c>
      <c r="J4102" t="b">
        <f>AND(CCData[[#This Row],[Date]]&gt;=Calculation!$E$3,CCData[[#This Row],[Date]]&lt;Calculation!$E$3+7)</f>
        <v>0</v>
      </c>
    </row>
    <row r="4103" spans="1:10">
      <c r="A4103" t="s">
        <v>4102</v>
      </c>
      <c r="B4103" s="2">
        <v>42076.627</v>
      </c>
      <c r="C4103" s="3" t="s">
        <v>5004</v>
      </c>
      <c r="D4103" t="s">
        <v>5012</v>
      </c>
      <c r="E4103" t="s">
        <v>5018</v>
      </c>
      <c r="F4103" t="s">
        <v>5018</v>
      </c>
      <c r="G4103">
        <v>51</v>
      </c>
      <c r="H4103" s="5">
        <v>7.3295181464447451E-4</v>
      </c>
      <c r="I4103">
        <v>3</v>
      </c>
      <c r="J4103" t="b">
        <f>AND(CCData[[#This Row],[Date]]&gt;=Calculation!$E$3,CCData[[#This Row],[Date]]&lt;Calculation!$E$3+7)</f>
        <v>0</v>
      </c>
    </row>
    <row r="4104" spans="1:10">
      <c r="A4104" t="s">
        <v>4103</v>
      </c>
      <c r="B4104" s="2">
        <v>42076.65</v>
      </c>
      <c r="C4104" s="3" t="s">
        <v>5003</v>
      </c>
      <c r="D4104" t="s">
        <v>5015</v>
      </c>
      <c r="E4104" t="s">
        <v>5018</v>
      </c>
      <c r="F4104" t="s">
        <v>5018</v>
      </c>
      <c r="G4104">
        <v>11</v>
      </c>
      <c r="H4104" s="5">
        <v>3.1568735049902273E-3</v>
      </c>
      <c r="I4104">
        <v>2</v>
      </c>
      <c r="J4104" t="b">
        <f>AND(CCData[[#This Row],[Date]]&gt;=Calculation!$E$3,CCData[[#This Row],[Date]]&lt;Calculation!$E$3+7)</f>
        <v>0</v>
      </c>
    </row>
    <row r="4105" spans="1:10">
      <c r="A4105" t="s">
        <v>4104</v>
      </c>
      <c r="B4105" s="2">
        <v>42076.65</v>
      </c>
      <c r="C4105" s="3" t="s">
        <v>5005</v>
      </c>
      <c r="D4105" t="s">
        <v>5015</v>
      </c>
      <c r="E4105" t="s">
        <v>5018</v>
      </c>
      <c r="F4105" t="s">
        <v>5019</v>
      </c>
      <c r="G4105">
        <v>101</v>
      </c>
      <c r="H4105" s="5">
        <v>3.9988857584636467E-3</v>
      </c>
      <c r="I4105">
        <v>5</v>
      </c>
      <c r="J4105" t="b">
        <f>AND(CCData[[#This Row],[Date]]&gt;=Calculation!$E$3,CCData[[#This Row],[Date]]&lt;Calculation!$E$3+7)</f>
        <v>0</v>
      </c>
    </row>
    <row r="4106" spans="1:10">
      <c r="A4106" t="s">
        <v>4105</v>
      </c>
      <c r="B4106" s="2">
        <v>42076.652000000002</v>
      </c>
      <c r="C4106" s="3" t="s">
        <v>5005</v>
      </c>
      <c r="D4106" t="s">
        <v>5015</v>
      </c>
      <c r="E4106" t="s">
        <v>5018</v>
      </c>
      <c r="F4106" t="s">
        <v>5018</v>
      </c>
      <c r="G4106">
        <v>119</v>
      </c>
      <c r="H4106" s="5">
        <v>3.8998648363182827E-3</v>
      </c>
      <c r="I4106">
        <v>3</v>
      </c>
      <c r="J4106" t="b">
        <f>AND(CCData[[#This Row],[Date]]&gt;=Calculation!$E$3,CCData[[#This Row],[Date]]&lt;Calculation!$E$3+7)</f>
        <v>0</v>
      </c>
    </row>
    <row r="4107" spans="1:10">
      <c r="A4107" t="s">
        <v>4106</v>
      </c>
      <c r="B4107" s="2">
        <v>42076.652000000002</v>
      </c>
      <c r="C4107" s="3" t="s">
        <v>5003</v>
      </c>
      <c r="D4107" t="s">
        <v>5013</v>
      </c>
      <c r="E4107" t="s">
        <v>5018</v>
      </c>
      <c r="F4107" t="s">
        <v>5018</v>
      </c>
      <c r="G4107">
        <v>64</v>
      </c>
      <c r="H4107" s="5">
        <v>1.8126391064973088E-3</v>
      </c>
      <c r="I4107">
        <v>3</v>
      </c>
      <c r="J4107" t="b">
        <f>AND(CCData[[#This Row],[Date]]&gt;=Calculation!$E$3,CCData[[#This Row],[Date]]&lt;Calculation!$E$3+7)</f>
        <v>0</v>
      </c>
    </row>
    <row r="4108" spans="1:10">
      <c r="A4108" t="s">
        <v>4107</v>
      </c>
      <c r="B4108" s="2">
        <v>42076.656000000003</v>
      </c>
      <c r="C4108" s="3" t="s">
        <v>5009</v>
      </c>
      <c r="D4108" t="s">
        <v>5013</v>
      </c>
      <c r="E4108" t="s">
        <v>5018</v>
      </c>
      <c r="F4108" t="s">
        <v>5018</v>
      </c>
      <c r="G4108">
        <v>12</v>
      </c>
      <c r="H4108" s="5">
        <v>2.889309821661204E-3</v>
      </c>
      <c r="I4108">
        <v>3</v>
      </c>
      <c r="J4108" t="b">
        <f>AND(CCData[[#This Row],[Date]]&gt;=Calculation!$E$3,CCData[[#This Row],[Date]]&lt;Calculation!$E$3+7)</f>
        <v>0</v>
      </c>
    </row>
    <row r="4109" spans="1:10">
      <c r="A4109" t="s">
        <v>4108</v>
      </c>
      <c r="B4109" s="2">
        <v>42076.656000000003</v>
      </c>
      <c r="C4109" s="3" t="s">
        <v>5006</v>
      </c>
      <c r="D4109" t="s">
        <v>5016</v>
      </c>
      <c r="E4109" t="s">
        <v>5018</v>
      </c>
      <c r="F4109" t="s">
        <v>5018</v>
      </c>
      <c r="G4109">
        <v>118</v>
      </c>
      <c r="H4109" s="5">
        <v>3.5967808971998573E-3</v>
      </c>
      <c r="I4109">
        <v>3</v>
      </c>
      <c r="J4109" t="b">
        <f>AND(CCData[[#This Row],[Date]]&gt;=Calculation!$E$3,CCData[[#This Row],[Date]]&lt;Calculation!$E$3+7)</f>
        <v>0</v>
      </c>
    </row>
    <row r="4110" spans="1:10">
      <c r="A4110" t="s">
        <v>4109</v>
      </c>
      <c r="B4110" s="2">
        <v>42076.665999999997</v>
      </c>
      <c r="C4110" s="3" t="s">
        <v>5006</v>
      </c>
      <c r="D4110" t="s">
        <v>5014</v>
      </c>
      <c r="E4110" t="s">
        <v>5018</v>
      </c>
      <c r="F4110" t="s">
        <v>5018</v>
      </c>
      <c r="G4110">
        <v>107</v>
      </c>
      <c r="H4110" s="5">
        <v>1.7432315440918957E-3</v>
      </c>
      <c r="I4110">
        <v>2</v>
      </c>
      <c r="J4110" t="b">
        <f>AND(CCData[[#This Row],[Date]]&gt;=Calculation!$E$3,CCData[[#This Row],[Date]]&lt;Calculation!$E$3+7)</f>
        <v>0</v>
      </c>
    </row>
    <row r="4111" spans="1:10">
      <c r="A4111" t="s">
        <v>4110</v>
      </c>
      <c r="B4111" s="2">
        <v>42076.665999999997</v>
      </c>
      <c r="C4111" s="3" t="s">
        <v>5009</v>
      </c>
      <c r="D4111" t="s">
        <v>5014</v>
      </c>
      <c r="E4111" t="s">
        <v>5018</v>
      </c>
      <c r="F4111" t="s">
        <v>5018</v>
      </c>
      <c r="G4111">
        <v>122</v>
      </c>
      <c r="H4111" s="5">
        <v>3.508432886179465E-3</v>
      </c>
      <c r="I4111">
        <v>3</v>
      </c>
      <c r="J4111" t="b">
        <f>AND(CCData[[#This Row],[Date]]&gt;=Calculation!$E$3,CCData[[#This Row],[Date]]&lt;Calculation!$E$3+7)</f>
        <v>0</v>
      </c>
    </row>
    <row r="4112" spans="1:10">
      <c r="A4112" t="s">
        <v>4111</v>
      </c>
      <c r="B4112" s="2">
        <v>42076.678999999996</v>
      </c>
      <c r="C4112" s="3" t="s">
        <v>5004</v>
      </c>
      <c r="D4112" t="s">
        <v>5014</v>
      </c>
      <c r="E4112" t="s">
        <v>5018</v>
      </c>
      <c r="F4112" t="s">
        <v>5018</v>
      </c>
      <c r="G4112">
        <v>41</v>
      </c>
      <c r="H4112" s="5">
        <v>2.5591709994249017E-3</v>
      </c>
      <c r="I4112">
        <v>4</v>
      </c>
      <c r="J4112" t="b">
        <f>AND(CCData[[#This Row],[Date]]&gt;=Calculation!$E$3,CCData[[#This Row],[Date]]&lt;Calculation!$E$3+7)</f>
        <v>0</v>
      </c>
    </row>
    <row r="4113" spans="1:10">
      <c r="A4113" t="s">
        <v>4112</v>
      </c>
      <c r="B4113" s="2">
        <v>42076.678999999996</v>
      </c>
      <c r="C4113" s="3" t="s">
        <v>5004</v>
      </c>
      <c r="D4113" t="s">
        <v>5016</v>
      </c>
      <c r="E4113" t="s">
        <v>5018</v>
      </c>
      <c r="F4113" t="s">
        <v>5018</v>
      </c>
      <c r="G4113">
        <v>22</v>
      </c>
      <c r="H4113" s="5">
        <v>4.9271536628578882E-4</v>
      </c>
      <c r="I4113">
        <v>1</v>
      </c>
      <c r="J4113" t="b">
        <f>AND(CCData[[#This Row],[Date]]&gt;=Calculation!$E$3,CCData[[#This Row],[Date]]&lt;Calculation!$E$3+7)</f>
        <v>0</v>
      </c>
    </row>
    <row r="4114" spans="1:10">
      <c r="A4114" t="s">
        <v>4113</v>
      </c>
      <c r="B4114" s="2">
        <v>42076.703999999998</v>
      </c>
      <c r="C4114" s="3" t="s">
        <v>5009</v>
      </c>
      <c r="D4114" t="s">
        <v>5013</v>
      </c>
      <c r="E4114" t="s">
        <v>5019</v>
      </c>
      <c r="F4114" t="s">
        <v>5019</v>
      </c>
      <c r="G4114" t="s">
        <v>5022</v>
      </c>
      <c r="H4114" s="5" t="s">
        <v>5022</v>
      </c>
      <c r="I4114" t="s">
        <v>5022</v>
      </c>
      <c r="J4114" t="b">
        <f>AND(CCData[[#This Row],[Date]]&gt;=Calculation!$E$3,CCData[[#This Row],[Date]]&lt;Calculation!$E$3+7)</f>
        <v>0</v>
      </c>
    </row>
    <row r="4115" spans="1:10">
      <c r="A4115" t="s">
        <v>4114</v>
      </c>
      <c r="B4115" s="2">
        <v>42076.703999999998</v>
      </c>
      <c r="C4115" s="3" t="s">
        <v>5009</v>
      </c>
      <c r="D4115" t="s">
        <v>5012</v>
      </c>
      <c r="E4115" t="s">
        <v>5018</v>
      </c>
      <c r="F4115" t="s">
        <v>5018</v>
      </c>
      <c r="G4115">
        <v>93</v>
      </c>
      <c r="H4115" s="5">
        <v>2.5372830948065159E-3</v>
      </c>
      <c r="I4115">
        <v>3</v>
      </c>
      <c r="J4115" t="b">
        <f>AND(CCData[[#This Row],[Date]]&gt;=Calculation!$E$3,CCData[[#This Row],[Date]]&lt;Calculation!$E$3+7)</f>
        <v>0</v>
      </c>
    </row>
    <row r="4116" spans="1:10">
      <c r="A4116" t="s">
        <v>4115</v>
      </c>
      <c r="B4116" s="2">
        <v>42076.71</v>
      </c>
      <c r="C4116" s="3" t="s">
        <v>5007</v>
      </c>
      <c r="D4116" t="s">
        <v>5015</v>
      </c>
      <c r="E4116" t="s">
        <v>5018</v>
      </c>
      <c r="F4116" t="s">
        <v>5018</v>
      </c>
      <c r="G4116">
        <v>20</v>
      </c>
      <c r="H4116" s="5">
        <v>3.0137488394303283E-3</v>
      </c>
      <c r="I4116">
        <v>5</v>
      </c>
      <c r="J4116" t="b">
        <f>AND(CCData[[#This Row],[Date]]&gt;=Calculation!$E$3,CCData[[#This Row],[Date]]&lt;Calculation!$E$3+7)</f>
        <v>0</v>
      </c>
    </row>
    <row r="4117" spans="1:10">
      <c r="A4117" t="s">
        <v>4116</v>
      </c>
      <c r="B4117" s="2">
        <v>42076.71</v>
      </c>
      <c r="C4117" s="3" t="s">
        <v>5010</v>
      </c>
      <c r="D4117" t="s">
        <v>5012</v>
      </c>
      <c r="E4117" t="s">
        <v>5018</v>
      </c>
      <c r="F4117" t="s">
        <v>5018</v>
      </c>
      <c r="G4117">
        <v>90</v>
      </c>
      <c r="H4117" s="5">
        <v>2.8360098550752133E-3</v>
      </c>
      <c r="I4117">
        <v>4</v>
      </c>
      <c r="J4117" t="b">
        <f>AND(CCData[[#This Row],[Date]]&gt;=Calculation!$E$3,CCData[[#This Row],[Date]]&lt;Calculation!$E$3+7)</f>
        <v>0</v>
      </c>
    </row>
    <row r="4118" spans="1:10">
      <c r="A4118" t="s">
        <v>4117</v>
      </c>
      <c r="B4118" s="2">
        <v>42076.724999999999</v>
      </c>
      <c r="C4118" s="3" t="s">
        <v>5004</v>
      </c>
      <c r="D4118" t="s">
        <v>5013</v>
      </c>
      <c r="E4118" t="s">
        <v>5018</v>
      </c>
      <c r="F4118" t="s">
        <v>5018</v>
      </c>
      <c r="G4118">
        <v>107</v>
      </c>
      <c r="H4118" s="5">
        <v>4.548729009790321E-3</v>
      </c>
      <c r="I4118">
        <v>3</v>
      </c>
      <c r="J4118" t="b">
        <f>AND(CCData[[#This Row],[Date]]&gt;=Calculation!$E$3,CCData[[#This Row],[Date]]&lt;Calculation!$E$3+7)</f>
        <v>0</v>
      </c>
    </row>
    <row r="4119" spans="1:10">
      <c r="A4119" t="s">
        <v>4118</v>
      </c>
      <c r="B4119" s="2">
        <v>42076.724999999999</v>
      </c>
      <c r="C4119" s="3" t="s">
        <v>5007</v>
      </c>
      <c r="D4119" t="s">
        <v>5013</v>
      </c>
      <c r="E4119" t="s">
        <v>5019</v>
      </c>
      <c r="F4119" t="s">
        <v>5019</v>
      </c>
      <c r="G4119" t="s">
        <v>5022</v>
      </c>
      <c r="H4119" s="5" t="s">
        <v>5022</v>
      </c>
      <c r="I4119" t="s">
        <v>5022</v>
      </c>
      <c r="J4119" t="b">
        <f>AND(CCData[[#This Row],[Date]]&gt;=Calculation!$E$3,CCData[[#This Row],[Date]]&lt;Calculation!$E$3+7)</f>
        <v>0</v>
      </c>
    </row>
    <row r="4120" spans="1:10">
      <c r="A4120" t="s">
        <v>4119</v>
      </c>
      <c r="B4120" s="2">
        <v>42076.739000000001</v>
      </c>
      <c r="C4120" s="3" t="s">
        <v>5010</v>
      </c>
      <c r="D4120" t="s">
        <v>5012</v>
      </c>
      <c r="E4120" t="s">
        <v>5018</v>
      </c>
      <c r="F4120" t="s">
        <v>5018</v>
      </c>
      <c r="G4120">
        <v>38</v>
      </c>
      <c r="H4120" s="5">
        <v>3.9696089872028138E-3</v>
      </c>
      <c r="I4120">
        <v>3</v>
      </c>
      <c r="J4120" t="b">
        <f>AND(CCData[[#This Row],[Date]]&gt;=Calculation!$E$3,CCData[[#This Row],[Date]]&lt;Calculation!$E$3+7)</f>
        <v>0</v>
      </c>
    </row>
    <row r="4121" spans="1:10">
      <c r="A4121" t="s">
        <v>4120</v>
      </c>
      <c r="B4121" s="2">
        <v>42076.739000000001</v>
      </c>
      <c r="C4121" s="3" t="s">
        <v>5008</v>
      </c>
      <c r="D4121" t="s">
        <v>5012</v>
      </c>
      <c r="E4121" t="s">
        <v>5019</v>
      </c>
      <c r="F4121" t="s">
        <v>5019</v>
      </c>
      <c r="G4121" t="s">
        <v>5022</v>
      </c>
      <c r="H4121" s="5" t="s">
        <v>5022</v>
      </c>
      <c r="I4121" t="s">
        <v>5022</v>
      </c>
      <c r="J4121" t="b">
        <f>AND(CCData[[#This Row],[Date]]&gt;=Calculation!$E$3,CCData[[#This Row],[Date]]&lt;Calculation!$E$3+7)</f>
        <v>0</v>
      </c>
    </row>
    <row r="4122" spans="1:10">
      <c r="A4122" t="s">
        <v>4121</v>
      </c>
      <c r="B4122" s="2">
        <v>42077.375</v>
      </c>
      <c r="C4122" s="3" t="s">
        <v>5004</v>
      </c>
      <c r="D4122" t="s">
        <v>5016</v>
      </c>
      <c r="E4122" t="s">
        <v>5018</v>
      </c>
      <c r="F4122" t="s">
        <v>5018</v>
      </c>
      <c r="G4122">
        <v>50</v>
      </c>
      <c r="H4122" s="5">
        <v>1.3520274171902448E-3</v>
      </c>
      <c r="I4122">
        <v>4</v>
      </c>
      <c r="J4122" t="b">
        <f>AND(CCData[[#This Row],[Date]]&gt;=Calculation!$E$3,CCData[[#This Row],[Date]]&lt;Calculation!$E$3+7)</f>
        <v>0</v>
      </c>
    </row>
    <row r="4123" spans="1:10">
      <c r="A4123" t="s">
        <v>4122</v>
      </c>
      <c r="B4123" s="2">
        <v>42077.375</v>
      </c>
      <c r="C4123" s="3" t="s">
        <v>5006</v>
      </c>
      <c r="D4123" t="s">
        <v>5015</v>
      </c>
      <c r="E4123" t="s">
        <v>5018</v>
      </c>
      <c r="F4123" t="s">
        <v>5018</v>
      </c>
      <c r="G4123">
        <v>90</v>
      </c>
      <c r="H4123" s="5">
        <v>3.5408604597085298E-3</v>
      </c>
      <c r="I4123">
        <v>4</v>
      </c>
      <c r="J4123" t="b">
        <f>AND(CCData[[#This Row],[Date]]&gt;=Calculation!$E$3,CCData[[#This Row],[Date]]&lt;Calculation!$E$3+7)</f>
        <v>0</v>
      </c>
    </row>
    <row r="4124" spans="1:10">
      <c r="A4124" t="s">
        <v>4123</v>
      </c>
      <c r="B4124" s="2">
        <v>42077.389000000003</v>
      </c>
      <c r="C4124" s="3" t="s">
        <v>5004</v>
      </c>
      <c r="D4124" t="s">
        <v>5015</v>
      </c>
      <c r="E4124" t="s">
        <v>5018</v>
      </c>
      <c r="F4124" t="s">
        <v>5018</v>
      </c>
      <c r="G4124">
        <v>22</v>
      </c>
      <c r="H4124" s="5">
        <v>3.0202215180524785E-3</v>
      </c>
      <c r="I4124">
        <v>4</v>
      </c>
      <c r="J4124" t="b">
        <f>AND(CCData[[#This Row],[Date]]&gt;=Calculation!$E$3,CCData[[#This Row],[Date]]&lt;Calculation!$E$3+7)</f>
        <v>0</v>
      </c>
    </row>
    <row r="4125" spans="1:10">
      <c r="A4125" t="s">
        <v>4124</v>
      </c>
      <c r="B4125" s="2">
        <v>42077.389000000003</v>
      </c>
      <c r="C4125" s="3" t="s">
        <v>5008</v>
      </c>
      <c r="D4125" t="s">
        <v>5015</v>
      </c>
      <c r="E4125" t="s">
        <v>5019</v>
      </c>
      <c r="F4125" t="s">
        <v>5019</v>
      </c>
      <c r="G4125" t="s">
        <v>5022</v>
      </c>
      <c r="H4125" s="5" t="s">
        <v>5022</v>
      </c>
      <c r="I4125" t="s">
        <v>5022</v>
      </c>
      <c r="J4125" t="b">
        <f>AND(CCData[[#This Row],[Date]]&gt;=Calculation!$E$3,CCData[[#This Row],[Date]]&lt;Calculation!$E$3+7)</f>
        <v>0</v>
      </c>
    </row>
    <row r="4126" spans="1:10">
      <c r="A4126" t="s">
        <v>4125</v>
      </c>
      <c r="B4126" s="2">
        <v>42077.415000000001</v>
      </c>
      <c r="C4126" s="3" t="s">
        <v>5009</v>
      </c>
      <c r="D4126" t="s">
        <v>5016</v>
      </c>
      <c r="E4126" t="s">
        <v>5018</v>
      </c>
      <c r="F4126" t="s">
        <v>5018</v>
      </c>
      <c r="G4126">
        <v>67</v>
      </c>
      <c r="H4126" s="5">
        <v>3.5279576330158298E-3</v>
      </c>
      <c r="I4126">
        <v>4</v>
      </c>
      <c r="J4126" t="b">
        <f>AND(CCData[[#This Row],[Date]]&gt;=Calculation!$E$3,CCData[[#This Row],[Date]]&lt;Calculation!$E$3+7)</f>
        <v>0</v>
      </c>
    </row>
    <row r="4127" spans="1:10">
      <c r="A4127" t="s">
        <v>4126</v>
      </c>
      <c r="B4127" s="2">
        <v>42077.415000000001</v>
      </c>
      <c r="C4127" s="3" t="s">
        <v>5010</v>
      </c>
      <c r="D4127" t="s">
        <v>5012</v>
      </c>
      <c r="E4127" t="s">
        <v>5018</v>
      </c>
      <c r="F4127" t="s">
        <v>5018</v>
      </c>
      <c r="G4127">
        <v>89</v>
      </c>
      <c r="H4127" s="5">
        <v>4.4005910467294915E-3</v>
      </c>
      <c r="I4127">
        <v>3</v>
      </c>
      <c r="J4127" t="b">
        <f>AND(CCData[[#This Row],[Date]]&gt;=Calculation!$E$3,CCData[[#This Row],[Date]]&lt;Calculation!$E$3+7)</f>
        <v>0</v>
      </c>
    </row>
    <row r="4128" spans="1:10">
      <c r="A4128" t="s">
        <v>4127</v>
      </c>
      <c r="B4128" s="2">
        <v>42077.421999999999</v>
      </c>
      <c r="C4128" s="3" t="s">
        <v>5004</v>
      </c>
      <c r="D4128" t="s">
        <v>5014</v>
      </c>
      <c r="E4128" t="s">
        <v>5018</v>
      </c>
      <c r="F4128" t="s">
        <v>5018</v>
      </c>
      <c r="G4128">
        <v>21</v>
      </c>
      <c r="H4128" s="5">
        <v>4.0018136332684133E-3</v>
      </c>
      <c r="I4128">
        <v>3</v>
      </c>
      <c r="J4128" t="b">
        <f>AND(CCData[[#This Row],[Date]]&gt;=Calculation!$E$3,CCData[[#This Row],[Date]]&lt;Calculation!$E$3+7)</f>
        <v>0</v>
      </c>
    </row>
    <row r="4129" spans="1:10">
      <c r="A4129" t="s">
        <v>4128</v>
      </c>
      <c r="B4129" s="2">
        <v>42077.421999999999</v>
      </c>
      <c r="C4129" s="3" t="s">
        <v>5003</v>
      </c>
      <c r="D4129" t="s">
        <v>5012</v>
      </c>
      <c r="E4129" t="s">
        <v>5018</v>
      </c>
      <c r="F4129" t="s">
        <v>5018</v>
      </c>
      <c r="G4129">
        <v>34</v>
      </c>
      <c r="H4129" s="5">
        <v>7.4646797839103475E-4</v>
      </c>
      <c r="I4129">
        <v>4</v>
      </c>
      <c r="J4129" t="b">
        <f>AND(CCData[[#This Row],[Date]]&gt;=Calculation!$E$3,CCData[[#This Row],[Date]]&lt;Calculation!$E$3+7)</f>
        <v>0</v>
      </c>
    </row>
    <row r="4130" spans="1:10">
      <c r="A4130" t="s">
        <v>4129</v>
      </c>
      <c r="B4130" s="2">
        <v>42077.423000000003</v>
      </c>
      <c r="C4130" s="3" t="s">
        <v>5003</v>
      </c>
      <c r="D4130" t="s">
        <v>5012</v>
      </c>
      <c r="E4130" t="s">
        <v>5018</v>
      </c>
      <c r="F4130" t="s">
        <v>5018</v>
      </c>
      <c r="G4130">
        <v>77</v>
      </c>
      <c r="H4130" s="5">
        <v>5.5931171297517244E-4</v>
      </c>
      <c r="I4130">
        <v>2</v>
      </c>
      <c r="J4130" t="b">
        <f>AND(CCData[[#This Row],[Date]]&gt;=Calculation!$E$3,CCData[[#This Row],[Date]]&lt;Calculation!$E$3+7)</f>
        <v>0</v>
      </c>
    </row>
    <row r="4131" spans="1:10">
      <c r="A4131" t="s">
        <v>4130</v>
      </c>
      <c r="B4131" s="2">
        <v>42077.423000000003</v>
      </c>
      <c r="C4131" s="3" t="s">
        <v>5003</v>
      </c>
      <c r="D4131" t="s">
        <v>5015</v>
      </c>
      <c r="E4131" t="s">
        <v>5018</v>
      </c>
      <c r="F4131" t="s">
        <v>5018</v>
      </c>
      <c r="G4131">
        <v>72</v>
      </c>
      <c r="H4131" s="5">
        <v>1.9093719671750323E-3</v>
      </c>
      <c r="I4131">
        <v>1</v>
      </c>
      <c r="J4131" t="b">
        <f>AND(CCData[[#This Row],[Date]]&gt;=Calculation!$E$3,CCData[[#This Row],[Date]]&lt;Calculation!$E$3+7)</f>
        <v>0</v>
      </c>
    </row>
    <row r="4132" spans="1:10">
      <c r="A4132" t="s">
        <v>4131</v>
      </c>
      <c r="B4132" s="2">
        <v>42077.438999999998</v>
      </c>
      <c r="C4132" s="3" t="s">
        <v>5008</v>
      </c>
      <c r="D4132" t="s">
        <v>5016</v>
      </c>
      <c r="E4132" t="s">
        <v>5018</v>
      </c>
      <c r="F4132" t="s">
        <v>5018</v>
      </c>
      <c r="G4132">
        <v>83</v>
      </c>
      <c r="H4132" s="5">
        <v>1.3958953175527635E-3</v>
      </c>
      <c r="I4132">
        <v>3</v>
      </c>
      <c r="J4132" t="b">
        <f>AND(CCData[[#This Row],[Date]]&gt;=Calculation!$E$3,CCData[[#This Row],[Date]]&lt;Calculation!$E$3+7)</f>
        <v>0</v>
      </c>
    </row>
    <row r="4133" spans="1:10">
      <c r="A4133" t="s">
        <v>4132</v>
      </c>
      <c r="B4133" s="2">
        <v>42077.438999999998</v>
      </c>
      <c r="C4133" s="3" t="s">
        <v>5007</v>
      </c>
      <c r="D4133" t="s">
        <v>5016</v>
      </c>
      <c r="E4133" t="s">
        <v>5018</v>
      </c>
      <c r="F4133" t="s">
        <v>5018</v>
      </c>
      <c r="G4133">
        <v>120</v>
      </c>
      <c r="H4133" s="5">
        <v>1.2216783567546542E-3</v>
      </c>
      <c r="I4133">
        <v>3</v>
      </c>
      <c r="J4133" t="b">
        <f>AND(CCData[[#This Row],[Date]]&gt;=Calculation!$E$3,CCData[[#This Row],[Date]]&lt;Calculation!$E$3+7)</f>
        <v>0</v>
      </c>
    </row>
    <row r="4134" spans="1:10">
      <c r="A4134" t="s">
        <v>4133</v>
      </c>
      <c r="B4134" s="2">
        <v>42077.464999999997</v>
      </c>
      <c r="C4134" s="3" t="s">
        <v>5003</v>
      </c>
      <c r="D4134" t="s">
        <v>5012</v>
      </c>
      <c r="E4134" t="s">
        <v>5018</v>
      </c>
      <c r="F4134" t="s">
        <v>5018</v>
      </c>
      <c r="G4134">
        <v>82</v>
      </c>
      <c r="H4134" s="5">
        <v>2.9634918340745997E-3</v>
      </c>
      <c r="I4134">
        <v>5</v>
      </c>
      <c r="J4134" t="b">
        <f>AND(CCData[[#This Row],[Date]]&gt;=Calculation!$E$3,CCData[[#This Row],[Date]]&lt;Calculation!$E$3+7)</f>
        <v>0</v>
      </c>
    </row>
    <row r="4135" spans="1:10">
      <c r="A4135" t="s">
        <v>4134</v>
      </c>
      <c r="B4135" s="2">
        <v>42077.464999999997</v>
      </c>
      <c r="C4135" s="3" t="s">
        <v>5009</v>
      </c>
      <c r="D4135" t="s">
        <v>5016</v>
      </c>
      <c r="E4135" t="s">
        <v>5018</v>
      </c>
      <c r="F4135" t="s">
        <v>5018</v>
      </c>
      <c r="G4135">
        <v>61</v>
      </c>
      <c r="H4135" s="5">
        <v>4.6177566352807202E-3</v>
      </c>
      <c r="I4135">
        <v>5</v>
      </c>
      <c r="J4135" t="b">
        <f>AND(CCData[[#This Row],[Date]]&gt;=Calculation!$E$3,CCData[[#This Row],[Date]]&lt;Calculation!$E$3+7)</f>
        <v>0</v>
      </c>
    </row>
    <row r="4136" spans="1:10">
      <c r="A4136" t="s">
        <v>4135</v>
      </c>
      <c r="B4136" s="2">
        <v>42077.476000000002</v>
      </c>
      <c r="C4136" s="3" t="s">
        <v>5007</v>
      </c>
      <c r="D4136" t="s">
        <v>5012</v>
      </c>
      <c r="E4136" t="s">
        <v>5018</v>
      </c>
      <c r="F4136" t="s">
        <v>5018</v>
      </c>
      <c r="G4136">
        <v>69</v>
      </c>
      <c r="H4136" s="5">
        <v>1.8436679206649703E-3</v>
      </c>
      <c r="I4136">
        <v>2</v>
      </c>
      <c r="J4136" t="b">
        <f>AND(CCData[[#This Row],[Date]]&gt;=Calculation!$E$3,CCData[[#This Row],[Date]]&lt;Calculation!$E$3+7)</f>
        <v>0</v>
      </c>
    </row>
    <row r="4137" spans="1:10">
      <c r="A4137" t="s">
        <v>4136</v>
      </c>
      <c r="B4137" s="2">
        <v>42077.476000000002</v>
      </c>
      <c r="C4137" s="3" t="s">
        <v>5007</v>
      </c>
      <c r="D4137" t="s">
        <v>5013</v>
      </c>
      <c r="E4137" t="s">
        <v>5018</v>
      </c>
      <c r="F4137" t="s">
        <v>5019</v>
      </c>
      <c r="G4137">
        <v>19</v>
      </c>
      <c r="H4137" s="5">
        <v>2.9780090150493218E-3</v>
      </c>
      <c r="I4137">
        <v>4</v>
      </c>
      <c r="J4137" t="b">
        <f>AND(CCData[[#This Row],[Date]]&gt;=Calculation!$E$3,CCData[[#This Row],[Date]]&lt;Calculation!$E$3+7)</f>
        <v>0</v>
      </c>
    </row>
    <row r="4138" spans="1:10">
      <c r="A4138" t="s">
        <v>4137</v>
      </c>
      <c r="B4138" s="2">
        <v>42077.483999999997</v>
      </c>
      <c r="C4138" s="3" t="s">
        <v>5003</v>
      </c>
      <c r="D4138" t="s">
        <v>5013</v>
      </c>
      <c r="E4138" t="s">
        <v>5018</v>
      </c>
      <c r="F4138" t="s">
        <v>5018</v>
      </c>
      <c r="G4138">
        <v>35</v>
      </c>
      <c r="H4138" s="5">
        <v>2.9498899357023726E-3</v>
      </c>
      <c r="I4138">
        <v>2</v>
      </c>
      <c r="J4138" t="b">
        <f>AND(CCData[[#This Row],[Date]]&gt;=Calculation!$E$3,CCData[[#This Row],[Date]]&lt;Calculation!$E$3+7)</f>
        <v>0</v>
      </c>
    </row>
    <row r="4139" spans="1:10">
      <c r="A4139" t="s">
        <v>4138</v>
      </c>
      <c r="B4139" s="2">
        <v>42077.483999999997</v>
      </c>
      <c r="C4139" s="3" t="s">
        <v>5007</v>
      </c>
      <c r="D4139" t="s">
        <v>5014</v>
      </c>
      <c r="E4139" t="s">
        <v>5019</v>
      </c>
      <c r="F4139" t="s">
        <v>5019</v>
      </c>
      <c r="G4139" t="s">
        <v>5022</v>
      </c>
      <c r="H4139" s="5" t="s">
        <v>5022</v>
      </c>
      <c r="I4139" t="s">
        <v>5022</v>
      </c>
      <c r="J4139" t="b">
        <f>AND(CCData[[#This Row],[Date]]&gt;=Calculation!$E$3,CCData[[#This Row],[Date]]&lt;Calculation!$E$3+7)</f>
        <v>0</v>
      </c>
    </row>
    <row r="4140" spans="1:10">
      <c r="A4140" t="s">
        <v>4139</v>
      </c>
      <c r="B4140" s="2">
        <v>42077.495000000003</v>
      </c>
      <c r="C4140" s="3" t="s">
        <v>5007</v>
      </c>
      <c r="D4140" t="s">
        <v>5012</v>
      </c>
      <c r="E4140" t="s">
        <v>5018</v>
      </c>
      <c r="F4140" t="s">
        <v>5018</v>
      </c>
      <c r="G4140">
        <v>11</v>
      </c>
      <c r="H4140" s="5">
        <v>4.4910319111918185E-3</v>
      </c>
      <c r="I4140">
        <v>3</v>
      </c>
      <c r="J4140" t="b">
        <f>AND(CCData[[#This Row],[Date]]&gt;=Calculation!$E$3,CCData[[#This Row],[Date]]&lt;Calculation!$E$3+7)</f>
        <v>0</v>
      </c>
    </row>
    <row r="4141" spans="1:10">
      <c r="A4141" t="s">
        <v>4140</v>
      </c>
      <c r="B4141" s="2">
        <v>42077.495000000003</v>
      </c>
      <c r="C4141" s="3" t="s">
        <v>5007</v>
      </c>
      <c r="D4141" t="s">
        <v>5015</v>
      </c>
      <c r="E4141" t="s">
        <v>5018</v>
      </c>
      <c r="F4141" t="s">
        <v>5018</v>
      </c>
      <c r="G4141">
        <v>110</v>
      </c>
      <c r="H4141" s="5">
        <v>5.7177046011171054E-4</v>
      </c>
      <c r="I4141">
        <v>3</v>
      </c>
      <c r="J4141" t="b">
        <f>AND(CCData[[#This Row],[Date]]&gt;=Calculation!$E$3,CCData[[#This Row],[Date]]&lt;Calculation!$E$3+7)</f>
        <v>0</v>
      </c>
    </row>
    <row r="4142" spans="1:10">
      <c r="A4142" t="s">
        <v>4141</v>
      </c>
      <c r="B4142" s="2">
        <v>42077.542000000001</v>
      </c>
      <c r="C4142" s="3" t="s">
        <v>5010</v>
      </c>
      <c r="D4142" t="s">
        <v>5014</v>
      </c>
      <c r="E4142" t="s">
        <v>5018</v>
      </c>
      <c r="F4142" t="s">
        <v>5018</v>
      </c>
      <c r="G4142">
        <v>119</v>
      </c>
      <c r="H4142" s="5">
        <v>1.5874500935105971E-3</v>
      </c>
      <c r="I4142">
        <v>1</v>
      </c>
      <c r="J4142" t="b">
        <f>AND(CCData[[#This Row],[Date]]&gt;=Calculation!$E$3,CCData[[#This Row],[Date]]&lt;Calculation!$E$3+7)</f>
        <v>0</v>
      </c>
    </row>
    <row r="4143" spans="1:10">
      <c r="A4143" t="s">
        <v>4142</v>
      </c>
      <c r="B4143" s="2">
        <v>42077.542000000001</v>
      </c>
      <c r="C4143" s="3" t="s">
        <v>5007</v>
      </c>
      <c r="D4143" t="s">
        <v>5012</v>
      </c>
      <c r="E4143" t="s">
        <v>5018</v>
      </c>
      <c r="F4143" t="s">
        <v>5018</v>
      </c>
      <c r="G4143">
        <v>38</v>
      </c>
      <c r="H4143" s="5">
        <v>1.0111326371655717E-3</v>
      </c>
      <c r="I4143">
        <v>4</v>
      </c>
      <c r="J4143" t="b">
        <f>AND(CCData[[#This Row],[Date]]&gt;=Calculation!$E$3,CCData[[#This Row],[Date]]&lt;Calculation!$E$3+7)</f>
        <v>0</v>
      </c>
    </row>
    <row r="4144" spans="1:10">
      <c r="A4144" t="s">
        <v>4143</v>
      </c>
      <c r="B4144" s="2">
        <v>42077.548000000003</v>
      </c>
      <c r="C4144" s="3" t="s">
        <v>5008</v>
      </c>
      <c r="D4144" t="s">
        <v>5014</v>
      </c>
      <c r="E4144" t="s">
        <v>5018</v>
      </c>
      <c r="F4144" t="s">
        <v>5018</v>
      </c>
      <c r="G4144">
        <v>40</v>
      </c>
      <c r="H4144" s="5">
        <v>3.5697514640582405E-3</v>
      </c>
      <c r="I4144">
        <v>4</v>
      </c>
      <c r="J4144" t="b">
        <f>AND(CCData[[#This Row],[Date]]&gt;=Calculation!$E$3,CCData[[#This Row],[Date]]&lt;Calculation!$E$3+7)</f>
        <v>0</v>
      </c>
    </row>
    <row r="4145" spans="1:10">
      <c r="A4145" t="s">
        <v>4144</v>
      </c>
      <c r="B4145" s="2">
        <v>42077.548000000003</v>
      </c>
      <c r="C4145" s="3" t="s">
        <v>5010</v>
      </c>
      <c r="D4145" t="s">
        <v>5016</v>
      </c>
      <c r="E4145" t="s">
        <v>5018</v>
      </c>
      <c r="F4145" t="s">
        <v>5018</v>
      </c>
      <c r="G4145">
        <v>19</v>
      </c>
      <c r="H4145" s="5">
        <v>3.0739560484002938E-3</v>
      </c>
      <c r="I4145">
        <v>5</v>
      </c>
      <c r="J4145" t="b">
        <f>AND(CCData[[#This Row],[Date]]&gt;=Calculation!$E$3,CCData[[#This Row],[Date]]&lt;Calculation!$E$3+7)</f>
        <v>0</v>
      </c>
    </row>
    <row r="4146" spans="1:10">
      <c r="A4146" t="s">
        <v>4145</v>
      </c>
      <c r="B4146" s="2">
        <v>42077.553</v>
      </c>
      <c r="C4146" s="3" t="s">
        <v>5010</v>
      </c>
      <c r="D4146" t="s">
        <v>5013</v>
      </c>
      <c r="E4146" t="s">
        <v>5019</v>
      </c>
      <c r="F4146" t="s">
        <v>5019</v>
      </c>
      <c r="G4146" t="s">
        <v>5022</v>
      </c>
      <c r="H4146" s="5" t="s">
        <v>5022</v>
      </c>
      <c r="I4146" t="s">
        <v>5022</v>
      </c>
      <c r="J4146" t="b">
        <f>AND(CCData[[#This Row],[Date]]&gt;=Calculation!$E$3,CCData[[#This Row],[Date]]&lt;Calculation!$E$3+7)</f>
        <v>0</v>
      </c>
    </row>
    <row r="4147" spans="1:10">
      <c r="A4147" t="s">
        <v>4146</v>
      </c>
      <c r="B4147" s="2">
        <v>42077.553</v>
      </c>
      <c r="C4147" s="3" t="s">
        <v>5009</v>
      </c>
      <c r="D4147" t="s">
        <v>5014</v>
      </c>
      <c r="E4147" t="s">
        <v>5018</v>
      </c>
      <c r="F4147" t="s">
        <v>5018</v>
      </c>
      <c r="G4147">
        <v>63</v>
      </c>
      <c r="H4147" s="5">
        <v>3.9896862963334102E-3</v>
      </c>
      <c r="I4147">
        <v>3</v>
      </c>
      <c r="J4147" t="b">
        <f>AND(CCData[[#This Row],[Date]]&gt;=Calculation!$E$3,CCData[[#This Row],[Date]]&lt;Calculation!$E$3+7)</f>
        <v>0</v>
      </c>
    </row>
    <row r="4148" spans="1:10">
      <c r="A4148" t="s">
        <v>4147</v>
      </c>
      <c r="B4148" s="2">
        <v>42077.559000000001</v>
      </c>
      <c r="C4148" s="3" t="s">
        <v>5007</v>
      </c>
      <c r="D4148" t="s">
        <v>5013</v>
      </c>
      <c r="E4148" t="s">
        <v>5018</v>
      </c>
      <c r="F4148" t="s">
        <v>5018</v>
      </c>
      <c r="G4148">
        <v>33</v>
      </c>
      <c r="H4148" s="5">
        <v>2.1975062299312113E-3</v>
      </c>
      <c r="I4148">
        <v>5</v>
      </c>
      <c r="J4148" t="b">
        <f>AND(CCData[[#This Row],[Date]]&gt;=Calculation!$E$3,CCData[[#This Row],[Date]]&lt;Calculation!$E$3+7)</f>
        <v>0</v>
      </c>
    </row>
    <row r="4149" spans="1:10">
      <c r="A4149" t="s">
        <v>4148</v>
      </c>
      <c r="B4149" s="2">
        <v>42077.559000000001</v>
      </c>
      <c r="C4149" s="3" t="s">
        <v>5004</v>
      </c>
      <c r="D4149" t="s">
        <v>5013</v>
      </c>
      <c r="E4149" t="s">
        <v>5019</v>
      </c>
      <c r="F4149" t="s">
        <v>5019</v>
      </c>
      <c r="G4149" t="s">
        <v>5022</v>
      </c>
      <c r="H4149" s="5" t="s">
        <v>5022</v>
      </c>
      <c r="I4149" t="s">
        <v>5022</v>
      </c>
      <c r="J4149" t="b">
        <f>AND(CCData[[#This Row],[Date]]&gt;=Calculation!$E$3,CCData[[#This Row],[Date]]&lt;Calculation!$E$3+7)</f>
        <v>0</v>
      </c>
    </row>
    <row r="4150" spans="1:10">
      <c r="A4150" t="s">
        <v>4149</v>
      </c>
      <c r="B4150" s="2">
        <v>42077.57</v>
      </c>
      <c r="C4150" s="3" t="s">
        <v>5007</v>
      </c>
      <c r="D4150" t="s">
        <v>5015</v>
      </c>
      <c r="E4150" t="s">
        <v>5018</v>
      </c>
      <c r="F4150" t="s">
        <v>5019</v>
      </c>
      <c r="G4150">
        <v>26</v>
      </c>
      <c r="H4150" s="5">
        <v>3.5687384421435771E-3</v>
      </c>
      <c r="I4150">
        <v>5</v>
      </c>
      <c r="J4150" t="b">
        <f>AND(CCData[[#This Row],[Date]]&gt;=Calculation!$E$3,CCData[[#This Row],[Date]]&lt;Calculation!$E$3+7)</f>
        <v>0</v>
      </c>
    </row>
    <row r="4151" spans="1:10">
      <c r="A4151" t="s">
        <v>4150</v>
      </c>
      <c r="B4151" s="2">
        <v>42077.57</v>
      </c>
      <c r="C4151" s="3" t="s">
        <v>5007</v>
      </c>
      <c r="D4151" t="s">
        <v>5016</v>
      </c>
      <c r="E4151" t="s">
        <v>5019</v>
      </c>
      <c r="F4151" t="s">
        <v>5019</v>
      </c>
      <c r="G4151" t="s">
        <v>5022</v>
      </c>
      <c r="H4151" s="5" t="s">
        <v>5022</v>
      </c>
      <c r="I4151" t="s">
        <v>5022</v>
      </c>
      <c r="J4151" t="b">
        <f>AND(CCData[[#This Row],[Date]]&gt;=Calculation!$E$3,CCData[[#This Row],[Date]]&lt;Calculation!$E$3+7)</f>
        <v>0</v>
      </c>
    </row>
    <row r="4152" spans="1:10">
      <c r="A4152" t="s">
        <v>4151</v>
      </c>
      <c r="B4152" s="2">
        <v>42077.574000000001</v>
      </c>
      <c r="C4152" s="3" t="s">
        <v>5003</v>
      </c>
      <c r="D4152" t="s">
        <v>5012</v>
      </c>
      <c r="E4152" t="s">
        <v>5019</v>
      </c>
      <c r="F4152" t="s">
        <v>5019</v>
      </c>
      <c r="G4152" t="s">
        <v>5022</v>
      </c>
      <c r="H4152" s="5" t="s">
        <v>5022</v>
      </c>
      <c r="I4152" t="s">
        <v>5022</v>
      </c>
      <c r="J4152" t="b">
        <f>AND(CCData[[#This Row],[Date]]&gt;=Calculation!$E$3,CCData[[#This Row],[Date]]&lt;Calculation!$E$3+7)</f>
        <v>0</v>
      </c>
    </row>
    <row r="4153" spans="1:10">
      <c r="A4153" t="s">
        <v>4152</v>
      </c>
      <c r="B4153" s="2">
        <v>42077.574000000001</v>
      </c>
      <c r="C4153" s="3" t="s">
        <v>5007</v>
      </c>
      <c r="D4153" t="s">
        <v>5015</v>
      </c>
      <c r="E4153" t="s">
        <v>5018</v>
      </c>
      <c r="F4153" t="s">
        <v>5018</v>
      </c>
      <c r="G4153">
        <v>81</v>
      </c>
      <c r="H4153" s="5">
        <v>2.43952176665602E-3</v>
      </c>
      <c r="I4153">
        <v>5</v>
      </c>
      <c r="J4153" t="b">
        <f>AND(CCData[[#This Row],[Date]]&gt;=Calculation!$E$3,CCData[[#This Row],[Date]]&lt;Calculation!$E$3+7)</f>
        <v>0</v>
      </c>
    </row>
    <row r="4154" spans="1:10">
      <c r="A4154" t="s">
        <v>4153</v>
      </c>
      <c r="B4154" s="2">
        <v>42077.586000000003</v>
      </c>
      <c r="C4154" s="3" t="s">
        <v>5009</v>
      </c>
      <c r="D4154" t="s">
        <v>5013</v>
      </c>
      <c r="E4154" t="s">
        <v>5018</v>
      </c>
      <c r="F4154" t="s">
        <v>5018</v>
      </c>
      <c r="G4154">
        <v>65</v>
      </c>
      <c r="H4154" s="5">
        <v>4.4960401950775043E-3</v>
      </c>
      <c r="I4154">
        <v>3</v>
      </c>
      <c r="J4154" t="b">
        <f>AND(CCData[[#This Row],[Date]]&gt;=Calculation!$E$3,CCData[[#This Row],[Date]]&lt;Calculation!$E$3+7)</f>
        <v>0</v>
      </c>
    </row>
    <row r="4155" spans="1:10">
      <c r="A4155" t="s">
        <v>4154</v>
      </c>
      <c r="B4155" s="2">
        <v>42077.586000000003</v>
      </c>
      <c r="C4155" s="3" t="s">
        <v>5007</v>
      </c>
      <c r="D4155" t="s">
        <v>5015</v>
      </c>
      <c r="E4155" t="s">
        <v>5018</v>
      </c>
      <c r="F4155" t="s">
        <v>5018</v>
      </c>
      <c r="G4155">
        <v>84</v>
      </c>
      <c r="H4155" s="5">
        <v>2.9411446577298091E-3</v>
      </c>
      <c r="I4155">
        <v>3</v>
      </c>
      <c r="J4155" t="b">
        <f>AND(CCData[[#This Row],[Date]]&gt;=Calculation!$E$3,CCData[[#This Row],[Date]]&lt;Calculation!$E$3+7)</f>
        <v>0</v>
      </c>
    </row>
    <row r="4156" spans="1:10">
      <c r="A4156" t="s">
        <v>4155</v>
      </c>
      <c r="B4156" s="2">
        <v>42077.601000000002</v>
      </c>
      <c r="C4156" s="3" t="s">
        <v>5007</v>
      </c>
      <c r="D4156" t="s">
        <v>5015</v>
      </c>
      <c r="E4156" t="s">
        <v>5018</v>
      </c>
      <c r="F4156" t="s">
        <v>5018</v>
      </c>
      <c r="G4156">
        <v>42</v>
      </c>
      <c r="H4156" s="5">
        <v>3.3796837115504814E-3</v>
      </c>
      <c r="I4156">
        <v>1</v>
      </c>
      <c r="J4156" t="b">
        <f>AND(CCData[[#This Row],[Date]]&gt;=Calculation!$E$3,CCData[[#This Row],[Date]]&lt;Calculation!$E$3+7)</f>
        <v>0</v>
      </c>
    </row>
    <row r="4157" spans="1:10">
      <c r="A4157" t="s">
        <v>4156</v>
      </c>
      <c r="B4157" s="2">
        <v>42077.601000000002</v>
      </c>
      <c r="C4157" s="3" t="s">
        <v>5010</v>
      </c>
      <c r="D4157" t="s">
        <v>5015</v>
      </c>
      <c r="E4157" t="s">
        <v>5019</v>
      </c>
      <c r="F4157" t="s">
        <v>5019</v>
      </c>
      <c r="G4157" t="s">
        <v>5022</v>
      </c>
      <c r="H4157" s="5" t="s">
        <v>5022</v>
      </c>
      <c r="I4157" t="s">
        <v>5022</v>
      </c>
      <c r="J4157" t="b">
        <f>AND(CCData[[#This Row],[Date]]&gt;=Calculation!$E$3,CCData[[#This Row],[Date]]&lt;Calculation!$E$3+7)</f>
        <v>0</v>
      </c>
    </row>
    <row r="4158" spans="1:10">
      <c r="A4158" t="s">
        <v>4157</v>
      </c>
      <c r="B4158" s="2">
        <v>42077.610999999997</v>
      </c>
      <c r="C4158" s="3" t="s">
        <v>5004</v>
      </c>
      <c r="D4158" t="s">
        <v>5015</v>
      </c>
      <c r="E4158" t="s">
        <v>5019</v>
      </c>
      <c r="F4158" t="s">
        <v>5019</v>
      </c>
      <c r="G4158" t="s">
        <v>5022</v>
      </c>
      <c r="H4158" s="5" t="s">
        <v>5022</v>
      </c>
      <c r="I4158" t="s">
        <v>5022</v>
      </c>
      <c r="J4158" t="b">
        <f>AND(CCData[[#This Row],[Date]]&gt;=Calculation!$E$3,CCData[[#This Row],[Date]]&lt;Calculation!$E$3+7)</f>
        <v>0</v>
      </c>
    </row>
    <row r="4159" spans="1:10">
      <c r="A4159" t="s">
        <v>4158</v>
      </c>
      <c r="B4159" s="2">
        <v>42077.610999999997</v>
      </c>
      <c r="C4159" s="3" t="s">
        <v>5009</v>
      </c>
      <c r="D4159" t="s">
        <v>5016</v>
      </c>
      <c r="E4159" t="s">
        <v>5018</v>
      </c>
      <c r="F4159" t="s">
        <v>5018</v>
      </c>
      <c r="G4159">
        <v>123</v>
      </c>
      <c r="H4159" s="5">
        <v>2.5213991566854568E-3</v>
      </c>
      <c r="I4159">
        <v>2</v>
      </c>
      <c r="J4159" t="b">
        <f>AND(CCData[[#This Row],[Date]]&gt;=Calculation!$E$3,CCData[[#This Row],[Date]]&lt;Calculation!$E$3+7)</f>
        <v>0</v>
      </c>
    </row>
    <row r="4160" spans="1:10">
      <c r="A4160" t="s">
        <v>4159</v>
      </c>
      <c r="B4160" s="2">
        <v>42077.637000000002</v>
      </c>
      <c r="C4160" s="3" t="s">
        <v>5006</v>
      </c>
      <c r="D4160" t="s">
        <v>5012</v>
      </c>
      <c r="E4160" t="s">
        <v>5018</v>
      </c>
      <c r="F4160" t="s">
        <v>5018</v>
      </c>
      <c r="G4160">
        <v>65</v>
      </c>
      <c r="H4160" s="5">
        <v>4.5953050082398819E-3</v>
      </c>
      <c r="I4160">
        <v>4</v>
      </c>
      <c r="J4160" t="b">
        <f>AND(CCData[[#This Row],[Date]]&gt;=Calculation!$E$3,CCData[[#This Row],[Date]]&lt;Calculation!$E$3+7)</f>
        <v>0</v>
      </c>
    </row>
    <row r="4161" spans="1:10">
      <c r="A4161" t="s">
        <v>4160</v>
      </c>
      <c r="B4161" s="2">
        <v>42077.637000000002</v>
      </c>
      <c r="C4161" s="3" t="s">
        <v>5003</v>
      </c>
      <c r="D4161" t="s">
        <v>5012</v>
      </c>
      <c r="E4161" t="s">
        <v>5018</v>
      </c>
      <c r="F4161" t="s">
        <v>5018</v>
      </c>
      <c r="G4161">
        <v>33</v>
      </c>
      <c r="H4161" s="5">
        <v>3.9696141837082186E-3</v>
      </c>
      <c r="I4161">
        <v>5</v>
      </c>
      <c r="J4161" t="b">
        <f>AND(CCData[[#This Row],[Date]]&gt;=Calculation!$E$3,CCData[[#This Row],[Date]]&lt;Calculation!$E$3+7)</f>
        <v>0</v>
      </c>
    </row>
    <row r="4162" spans="1:10">
      <c r="A4162" t="s">
        <v>4161</v>
      </c>
      <c r="B4162" s="2">
        <v>42077.644</v>
      </c>
      <c r="C4162" s="3" t="s">
        <v>5003</v>
      </c>
      <c r="D4162" t="s">
        <v>5014</v>
      </c>
      <c r="E4162" t="s">
        <v>5018</v>
      </c>
      <c r="F4162" t="s">
        <v>5018</v>
      </c>
      <c r="G4162">
        <v>117</v>
      </c>
      <c r="H4162" s="5">
        <v>2.8270382897297029E-3</v>
      </c>
      <c r="I4162">
        <v>3</v>
      </c>
      <c r="J4162" t="b">
        <f>AND(CCData[[#This Row],[Date]]&gt;=Calculation!$E$3,CCData[[#This Row],[Date]]&lt;Calculation!$E$3+7)</f>
        <v>0</v>
      </c>
    </row>
    <row r="4163" spans="1:10">
      <c r="A4163" t="s">
        <v>4162</v>
      </c>
      <c r="B4163" s="2">
        <v>42077.644</v>
      </c>
      <c r="C4163" s="3" t="s">
        <v>5003</v>
      </c>
      <c r="D4163" t="s">
        <v>5016</v>
      </c>
      <c r="E4163" t="s">
        <v>5018</v>
      </c>
      <c r="F4163" t="s">
        <v>5018</v>
      </c>
      <c r="G4163">
        <v>122</v>
      </c>
      <c r="H4163" s="5">
        <v>1.1127774408777916E-3</v>
      </c>
      <c r="I4163">
        <v>3</v>
      </c>
      <c r="J4163" t="b">
        <f>AND(CCData[[#This Row],[Date]]&gt;=Calculation!$E$3,CCData[[#This Row],[Date]]&lt;Calculation!$E$3+7)</f>
        <v>0</v>
      </c>
    </row>
    <row r="4164" spans="1:10">
      <c r="A4164" t="s">
        <v>4163</v>
      </c>
      <c r="B4164" s="2">
        <v>42077.654999999999</v>
      </c>
      <c r="C4164" s="3" t="s">
        <v>5007</v>
      </c>
      <c r="D4164" t="s">
        <v>5013</v>
      </c>
      <c r="E4164" t="s">
        <v>5018</v>
      </c>
      <c r="F4164" t="s">
        <v>5018</v>
      </c>
      <c r="G4164">
        <v>21</v>
      </c>
      <c r="H4164" s="5">
        <v>3.7636518830016998E-3</v>
      </c>
      <c r="I4164">
        <v>4</v>
      </c>
      <c r="J4164" t="b">
        <f>AND(CCData[[#This Row],[Date]]&gt;=Calculation!$E$3,CCData[[#This Row],[Date]]&lt;Calculation!$E$3+7)</f>
        <v>0</v>
      </c>
    </row>
    <row r="4165" spans="1:10">
      <c r="A4165" t="s">
        <v>4164</v>
      </c>
      <c r="B4165" s="2">
        <v>42077.654999999999</v>
      </c>
      <c r="C4165" s="3" t="s">
        <v>5010</v>
      </c>
      <c r="D4165" t="s">
        <v>5016</v>
      </c>
      <c r="E4165" t="s">
        <v>5018</v>
      </c>
      <c r="F4165" t="s">
        <v>5019</v>
      </c>
      <c r="G4165">
        <v>48</v>
      </c>
      <c r="H4165" s="5">
        <v>2.9628244161910415E-3</v>
      </c>
      <c r="I4165">
        <v>4</v>
      </c>
      <c r="J4165" t="b">
        <f>AND(CCData[[#This Row],[Date]]&gt;=Calculation!$E$3,CCData[[#This Row],[Date]]&lt;Calculation!$E$3+7)</f>
        <v>0</v>
      </c>
    </row>
    <row r="4166" spans="1:10">
      <c r="A4166" t="s">
        <v>4165</v>
      </c>
      <c r="B4166" s="2">
        <v>42077.692000000003</v>
      </c>
      <c r="C4166" s="3" t="s">
        <v>5006</v>
      </c>
      <c r="D4166" t="s">
        <v>5012</v>
      </c>
      <c r="E4166" t="s">
        <v>5019</v>
      </c>
      <c r="F4166" t="s">
        <v>5019</v>
      </c>
      <c r="G4166" t="s">
        <v>5022</v>
      </c>
      <c r="H4166" s="5" t="s">
        <v>5022</v>
      </c>
      <c r="I4166" t="s">
        <v>5022</v>
      </c>
      <c r="J4166" t="b">
        <f>AND(CCData[[#This Row],[Date]]&gt;=Calculation!$E$3,CCData[[#This Row],[Date]]&lt;Calculation!$E$3+7)</f>
        <v>0</v>
      </c>
    </row>
    <row r="4167" spans="1:10">
      <c r="A4167" t="s">
        <v>4166</v>
      </c>
      <c r="B4167" s="2">
        <v>42077.692000000003</v>
      </c>
      <c r="C4167" s="3" t="s">
        <v>5003</v>
      </c>
      <c r="D4167" t="s">
        <v>5013</v>
      </c>
      <c r="E4167" t="s">
        <v>5018</v>
      </c>
      <c r="F4167" t="s">
        <v>5018</v>
      </c>
      <c r="G4167">
        <v>98</v>
      </c>
      <c r="H4167" s="5">
        <v>2.0454868315221593E-3</v>
      </c>
      <c r="I4167">
        <v>1</v>
      </c>
      <c r="J4167" t="b">
        <f>AND(CCData[[#This Row],[Date]]&gt;=Calculation!$E$3,CCData[[#This Row],[Date]]&lt;Calculation!$E$3+7)</f>
        <v>0</v>
      </c>
    </row>
    <row r="4168" spans="1:10">
      <c r="A4168" t="s">
        <v>4167</v>
      </c>
      <c r="B4168" s="2">
        <v>42077.692000000003</v>
      </c>
      <c r="C4168" s="3" t="s">
        <v>5010</v>
      </c>
      <c r="D4168" t="s">
        <v>5016</v>
      </c>
      <c r="E4168" t="s">
        <v>5018</v>
      </c>
      <c r="F4168" t="s">
        <v>5018</v>
      </c>
      <c r="G4168">
        <v>95</v>
      </c>
      <c r="H4168" s="5">
        <v>1.7429198293611053E-3</v>
      </c>
      <c r="I4168">
        <v>4</v>
      </c>
      <c r="J4168" t="b">
        <f>AND(CCData[[#This Row],[Date]]&gt;=Calculation!$E$3,CCData[[#This Row],[Date]]&lt;Calculation!$E$3+7)</f>
        <v>0</v>
      </c>
    </row>
    <row r="4169" spans="1:10">
      <c r="A4169" t="s">
        <v>4168</v>
      </c>
      <c r="B4169" s="2">
        <v>42077.692000000003</v>
      </c>
      <c r="C4169" s="3" t="s">
        <v>5010</v>
      </c>
      <c r="D4169" t="s">
        <v>5012</v>
      </c>
      <c r="E4169" t="s">
        <v>5018</v>
      </c>
      <c r="F4169" t="s">
        <v>5018</v>
      </c>
      <c r="G4169">
        <v>28</v>
      </c>
      <c r="H4169" s="5">
        <v>4.7279204396824632E-3</v>
      </c>
      <c r="I4169">
        <v>3</v>
      </c>
      <c r="J4169" t="b">
        <f>AND(CCData[[#This Row],[Date]]&gt;=Calculation!$E$3,CCData[[#This Row],[Date]]&lt;Calculation!$E$3+7)</f>
        <v>0</v>
      </c>
    </row>
    <row r="4170" spans="1:10">
      <c r="A4170" t="s">
        <v>4169</v>
      </c>
      <c r="B4170" s="2">
        <v>42077.748</v>
      </c>
      <c r="C4170" s="3" t="s">
        <v>5008</v>
      </c>
      <c r="D4170" t="s">
        <v>5015</v>
      </c>
      <c r="E4170" t="s">
        <v>5019</v>
      </c>
      <c r="F4170" t="s">
        <v>5019</v>
      </c>
      <c r="G4170" t="s">
        <v>5022</v>
      </c>
      <c r="H4170" s="5" t="s">
        <v>5022</v>
      </c>
      <c r="I4170" t="s">
        <v>5022</v>
      </c>
      <c r="J4170" t="b">
        <f>AND(CCData[[#This Row],[Date]]&gt;=Calculation!$E$3,CCData[[#This Row],[Date]]&lt;Calculation!$E$3+7)</f>
        <v>0</v>
      </c>
    </row>
    <row r="4171" spans="1:10">
      <c r="A4171" t="s">
        <v>4170</v>
      </c>
      <c r="B4171" s="2">
        <v>42077.748</v>
      </c>
      <c r="C4171" s="3" t="s">
        <v>5010</v>
      </c>
      <c r="D4171" t="s">
        <v>5016</v>
      </c>
      <c r="E4171" t="s">
        <v>5019</v>
      </c>
      <c r="F4171" t="s">
        <v>5019</v>
      </c>
      <c r="G4171" t="s">
        <v>5022</v>
      </c>
      <c r="H4171" s="5" t="s">
        <v>5022</v>
      </c>
      <c r="I4171" t="s">
        <v>5022</v>
      </c>
      <c r="J4171" t="b">
        <f>AND(CCData[[#This Row],[Date]]&gt;=Calculation!$E$3,CCData[[#This Row],[Date]]&lt;Calculation!$E$3+7)</f>
        <v>0</v>
      </c>
    </row>
    <row r="4172" spans="1:10">
      <c r="A4172" t="s">
        <v>4171</v>
      </c>
      <c r="B4172" s="2">
        <v>42078.381000000001</v>
      </c>
      <c r="C4172" s="3" t="s">
        <v>5010</v>
      </c>
      <c r="D4172" t="s">
        <v>5015</v>
      </c>
      <c r="E4172" t="s">
        <v>5019</v>
      </c>
      <c r="F4172" t="s">
        <v>5019</v>
      </c>
      <c r="G4172" t="s">
        <v>5022</v>
      </c>
      <c r="H4172" s="5" t="s">
        <v>5022</v>
      </c>
      <c r="I4172" t="s">
        <v>5022</v>
      </c>
      <c r="J4172" t="b">
        <f>AND(CCData[[#This Row],[Date]]&gt;=Calculation!$E$3,CCData[[#This Row],[Date]]&lt;Calculation!$E$3+7)</f>
        <v>0</v>
      </c>
    </row>
    <row r="4173" spans="1:10">
      <c r="A4173" t="s">
        <v>4172</v>
      </c>
      <c r="B4173" s="2">
        <v>42078.381000000001</v>
      </c>
      <c r="C4173" s="3" t="s">
        <v>5006</v>
      </c>
      <c r="D4173" t="s">
        <v>5016</v>
      </c>
      <c r="E4173" t="s">
        <v>5018</v>
      </c>
      <c r="F4173" t="s">
        <v>5018</v>
      </c>
      <c r="G4173">
        <v>40</v>
      </c>
      <c r="H4173" s="5">
        <v>3.3837962915306843E-3</v>
      </c>
      <c r="I4173">
        <v>3</v>
      </c>
      <c r="J4173" t="b">
        <f>AND(CCData[[#This Row],[Date]]&gt;=Calculation!$E$3,CCData[[#This Row],[Date]]&lt;Calculation!$E$3+7)</f>
        <v>0</v>
      </c>
    </row>
    <row r="4174" spans="1:10">
      <c r="A4174" t="s">
        <v>4173</v>
      </c>
      <c r="B4174" s="2">
        <v>42078.396000000001</v>
      </c>
      <c r="C4174" s="3" t="s">
        <v>5009</v>
      </c>
      <c r="D4174" t="s">
        <v>5016</v>
      </c>
      <c r="E4174" t="s">
        <v>5018</v>
      </c>
      <c r="F4174" t="s">
        <v>5018</v>
      </c>
      <c r="G4174">
        <v>13</v>
      </c>
      <c r="H4174" s="5">
        <v>2.5761122601372166E-3</v>
      </c>
      <c r="I4174">
        <v>2</v>
      </c>
      <c r="J4174" t="b">
        <f>AND(CCData[[#This Row],[Date]]&gt;=Calculation!$E$3,CCData[[#This Row],[Date]]&lt;Calculation!$E$3+7)</f>
        <v>0</v>
      </c>
    </row>
    <row r="4175" spans="1:10">
      <c r="A4175" t="s">
        <v>4174</v>
      </c>
      <c r="B4175" s="2">
        <v>42078.396000000001</v>
      </c>
      <c r="C4175" s="3" t="s">
        <v>5004</v>
      </c>
      <c r="D4175" t="s">
        <v>5016</v>
      </c>
      <c r="E4175" t="s">
        <v>5018</v>
      </c>
      <c r="F4175" t="s">
        <v>5018</v>
      </c>
      <c r="G4175">
        <v>71</v>
      </c>
      <c r="H4175" s="5">
        <v>9.1566852341037745E-4</v>
      </c>
      <c r="I4175">
        <v>5</v>
      </c>
      <c r="J4175" t="b">
        <f>AND(CCData[[#This Row],[Date]]&gt;=Calculation!$E$3,CCData[[#This Row],[Date]]&lt;Calculation!$E$3+7)</f>
        <v>0</v>
      </c>
    </row>
    <row r="4176" spans="1:10">
      <c r="A4176" t="s">
        <v>4175</v>
      </c>
      <c r="B4176" s="2">
        <v>42078.406000000003</v>
      </c>
      <c r="C4176" s="3" t="s">
        <v>5009</v>
      </c>
      <c r="D4176" t="s">
        <v>5013</v>
      </c>
      <c r="E4176" t="s">
        <v>5018</v>
      </c>
      <c r="F4176" t="s">
        <v>5018</v>
      </c>
      <c r="G4176">
        <v>106</v>
      </c>
      <c r="H4176" s="5">
        <v>5.2929820189378152E-4</v>
      </c>
      <c r="I4176">
        <v>4</v>
      </c>
      <c r="J4176" t="b">
        <f>AND(CCData[[#This Row],[Date]]&gt;=Calculation!$E$3,CCData[[#This Row],[Date]]&lt;Calculation!$E$3+7)</f>
        <v>0</v>
      </c>
    </row>
    <row r="4177" spans="1:10">
      <c r="A4177" t="s">
        <v>4176</v>
      </c>
      <c r="B4177" s="2">
        <v>42078.406000000003</v>
      </c>
      <c r="C4177" s="3" t="s">
        <v>5010</v>
      </c>
      <c r="D4177" t="s">
        <v>5016</v>
      </c>
      <c r="E4177" t="s">
        <v>5018</v>
      </c>
      <c r="F4177" t="s">
        <v>5019</v>
      </c>
      <c r="G4177">
        <v>94</v>
      </c>
      <c r="H4177" s="5">
        <v>2.4475745793366361E-3</v>
      </c>
      <c r="I4177">
        <v>4</v>
      </c>
      <c r="J4177" t="b">
        <f>AND(CCData[[#This Row],[Date]]&gt;=Calculation!$E$3,CCData[[#This Row],[Date]]&lt;Calculation!$E$3+7)</f>
        <v>0</v>
      </c>
    </row>
    <row r="4178" spans="1:10">
      <c r="A4178" t="s">
        <v>4177</v>
      </c>
      <c r="B4178" s="2">
        <v>42078.417000000001</v>
      </c>
      <c r="C4178" s="3" t="s">
        <v>5006</v>
      </c>
      <c r="D4178" t="s">
        <v>5014</v>
      </c>
      <c r="E4178" t="s">
        <v>5018</v>
      </c>
      <c r="F4178" t="s">
        <v>5018</v>
      </c>
      <c r="G4178">
        <v>74</v>
      </c>
      <c r="H4178" s="5">
        <v>2.7712181123881489E-3</v>
      </c>
      <c r="I4178">
        <v>5</v>
      </c>
      <c r="J4178" t="b">
        <f>AND(CCData[[#This Row],[Date]]&gt;=Calculation!$E$3,CCData[[#This Row],[Date]]&lt;Calculation!$E$3+7)</f>
        <v>0</v>
      </c>
    </row>
    <row r="4179" spans="1:10">
      <c r="A4179" t="s">
        <v>4178</v>
      </c>
      <c r="B4179" s="2">
        <v>42078.417000000001</v>
      </c>
      <c r="C4179" s="3" t="s">
        <v>5010</v>
      </c>
      <c r="D4179" t="s">
        <v>5012</v>
      </c>
      <c r="E4179" t="s">
        <v>5018</v>
      </c>
      <c r="F4179" t="s">
        <v>5018</v>
      </c>
      <c r="G4179">
        <v>34</v>
      </c>
      <c r="H4179" s="5">
        <v>4.4237736529232816E-4</v>
      </c>
      <c r="I4179">
        <v>4</v>
      </c>
      <c r="J4179" t="b">
        <f>AND(CCData[[#This Row],[Date]]&gt;=Calculation!$E$3,CCData[[#This Row],[Date]]&lt;Calculation!$E$3+7)</f>
        <v>0</v>
      </c>
    </row>
    <row r="4180" spans="1:10">
      <c r="A4180" t="s">
        <v>4179</v>
      </c>
      <c r="B4180" s="2">
        <v>42078.423000000003</v>
      </c>
      <c r="C4180" s="3" t="s">
        <v>5007</v>
      </c>
      <c r="D4180" t="s">
        <v>5015</v>
      </c>
      <c r="E4180" t="s">
        <v>5018</v>
      </c>
      <c r="F4180" t="s">
        <v>5018</v>
      </c>
      <c r="G4180">
        <v>38</v>
      </c>
      <c r="H4180" s="5">
        <v>1.463029130180909E-3</v>
      </c>
      <c r="I4180">
        <v>2</v>
      </c>
      <c r="J4180" t="b">
        <f>AND(CCData[[#This Row],[Date]]&gt;=Calculation!$E$3,CCData[[#This Row],[Date]]&lt;Calculation!$E$3+7)</f>
        <v>0</v>
      </c>
    </row>
    <row r="4181" spans="1:10">
      <c r="A4181" t="s">
        <v>4180</v>
      </c>
      <c r="B4181" s="2">
        <v>42078.423000000003</v>
      </c>
      <c r="C4181" s="3" t="s">
        <v>5007</v>
      </c>
      <c r="D4181" t="s">
        <v>5013</v>
      </c>
      <c r="E4181" t="s">
        <v>5018</v>
      </c>
      <c r="F4181" t="s">
        <v>5018</v>
      </c>
      <c r="G4181">
        <v>31</v>
      </c>
      <c r="H4181" s="5">
        <v>2.0008778511797407E-3</v>
      </c>
      <c r="I4181">
        <v>4</v>
      </c>
      <c r="J4181" t="b">
        <f>AND(CCData[[#This Row],[Date]]&gt;=Calculation!$E$3,CCData[[#This Row],[Date]]&lt;Calculation!$E$3+7)</f>
        <v>0</v>
      </c>
    </row>
    <row r="4182" spans="1:10">
      <c r="A4182" t="s">
        <v>4181</v>
      </c>
      <c r="B4182" s="2">
        <v>42078.425999999999</v>
      </c>
      <c r="C4182" s="3" t="s">
        <v>5009</v>
      </c>
      <c r="D4182" t="s">
        <v>5012</v>
      </c>
      <c r="E4182" t="s">
        <v>5018</v>
      </c>
      <c r="F4182" t="s">
        <v>5018</v>
      </c>
      <c r="G4182">
        <v>13</v>
      </c>
      <c r="H4182" s="5">
        <v>2.1360518204025605E-3</v>
      </c>
      <c r="I4182">
        <v>3</v>
      </c>
      <c r="J4182" t="b">
        <f>AND(CCData[[#This Row],[Date]]&gt;=Calculation!$E$3,CCData[[#This Row],[Date]]&lt;Calculation!$E$3+7)</f>
        <v>0</v>
      </c>
    </row>
    <row r="4183" spans="1:10">
      <c r="A4183" t="s">
        <v>4182</v>
      </c>
      <c r="B4183" s="2">
        <v>42078.425999999999</v>
      </c>
      <c r="C4183" s="3" t="s">
        <v>5005</v>
      </c>
      <c r="D4183" t="s">
        <v>5013</v>
      </c>
      <c r="E4183" t="s">
        <v>5018</v>
      </c>
      <c r="F4183" t="s">
        <v>5018</v>
      </c>
      <c r="G4183">
        <v>79</v>
      </c>
      <c r="H4183" s="5">
        <v>1.2499729831905988E-3</v>
      </c>
      <c r="I4183">
        <v>3</v>
      </c>
      <c r="J4183" t="b">
        <f>AND(CCData[[#This Row],[Date]]&gt;=Calculation!$E$3,CCData[[#This Row],[Date]]&lt;Calculation!$E$3+7)</f>
        <v>0</v>
      </c>
    </row>
    <row r="4184" spans="1:10">
      <c r="A4184" t="s">
        <v>4183</v>
      </c>
      <c r="B4184" s="2">
        <v>42078.463000000003</v>
      </c>
      <c r="C4184" s="3" t="s">
        <v>5005</v>
      </c>
      <c r="D4184" t="s">
        <v>5012</v>
      </c>
      <c r="E4184" t="s">
        <v>5018</v>
      </c>
      <c r="F4184" t="s">
        <v>5018</v>
      </c>
      <c r="G4184">
        <v>49</v>
      </c>
      <c r="H4184" s="5">
        <v>3.4735009784093189E-3</v>
      </c>
      <c r="I4184">
        <v>2</v>
      </c>
      <c r="J4184" t="b">
        <f>AND(CCData[[#This Row],[Date]]&gt;=Calculation!$E$3,CCData[[#This Row],[Date]]&lt;Calculation!$E$3+7)</f>
        <v>0</v>
      </c>
    </row>
    <row r="4185" spans="1:10">
      <c r="A4185" t="s">
        <v>4184</v>
      </c>
      <c r="B4185" s="2">
        <v>42078.463000000003</v>
      </c>
      <c r="C4185" s="3" t="s">
        <v>5005</v>
      </c>
      <c r="D4185" t="s">
        <v>5013</v>
      </c>
      <c r="E4185" t="s">
        <v>5018</v>
      </c>
      <c r="F4185" t="s">
        <v>5018</v>
      </c>
      <c r="G4185">
        <v>89</v>
      </c>
      <c r="H4185" s="5">
        <v>2.7711717782678068E-3</v>
      </c>
      <c r="I4185">
        <v>1</v>
      </c>
      <c r="J4185" t="b">
        <f>AND(CCData[[#This Row],[Date]]&gt;=Calculation!$E$3,CCData[[#This Row],[Date]]&lt;Calculation!$E$3+7)</f>
        <v>0</v>
      </c>
    </row>
    <row r="4186" spans="1:10">
      <c r="A4186" t="s">
        <v>4185</v>
      </c>
      <c r="B4186" s="2">
        <v>42078.464999999997</v>
      </c>
      <c r="C4186" s="3" t="s">
        <v>5007</v>
      </c>
      <c r="D4186" t="s">
        <v>5016</v>
      </c>
      <c r="E4186" t="s">
        <v>5018</v>
      </c>
      <c r="F4186" t="s">
        <v>5018</v>
      </c>
      <c r="G4186">
        <v>37</v>
      </c>
      <c r="H4186" s="5">
        <v>3.4427785739892069E-3</v>
      </c>
      <c r="I4186">
        <v>5</v>
      </c>
      <c r="J4186" t="b">
        <f>AND(CCData[[#This Row],[Date]]&gt;=Calculation!$E$3,CCData[[#This Row],[Date]]&lt;Calculation!$E$3+7)</f>
        <v>0</v>
      </c>
    </row>
    <row r="4187" spans="1:10">
      <c r="A4187" t="s">
        <v>4186</v>
      </c>
      <c r="B4187" s="2">
        <v>42078.464999999997</v>
      </c>
      <c r="C4187" s="3" t="s">
        <v>5004</v>
      </c>
      <c r="D4187" t="s">
        <v>5016</v>
      </c>
      <c r="E4187" t="s">
        <v>5019</v>
      </c>
      <c r="F4187" t="s">
        <v>5019</v>
      </c>
      <c r="G4187" t="s">
        <v>5022</v>
      </c>
      <c r="H4187" s="5" t="s">
        <v>5022</v>
      </c>
      <c r="I4187" t="s">
        <v>5022</v>
      </c>
      <c r="J4187" t="b">
        <f>AND(CCData[[#This Row],[Date]]&gt;=Calculation!$E$3,CCData[[#This Row],[Date]]&lt;Calculation!$E$3+7)</f>
        <v>0</v>
      </c>
    </row>
    <row r="4188" spans="1:10">
      <c r="A4188" t="s">
        <v>4187</v>
      </c>
      <c r="B4188" s="2">
        <v>42078.499000000003</v>
      </c>
      <c r="C4188" s="3" t="s">
        <v>5007</v>
      </c>
      <c r="D4188" t="s">
        <v>5012</v>
      </c>
      <c r="E4188" t="s">
        <v>5019</v>
      </c>
      <c r="F4188" t="s">
        <v>5019</v>
      </c>
      <c r="G4188" t="s">
        <v>5022</v>
      </c>
      <c r="H4188" s="5" t="s">
        <v>5022</v>
      </c>
      <c r="I4188" t="s">
        <v>5022</v>
      </c>
      <c r="J4188" t="b">
        <f>AND(CCData[[#This Row],[Date]]&gt;=Calculation!$E$3,CCData[[#This Row],[Date]]&lt;Calculation!$E$3+7)</f>
        <v>0</v>
      </c>
    </row>
    <row r="4189" spans="1:10">
      <c r="A4189" t="s">
        <v>4188</v>
      </c>
      <c r="B4189" s="2">
        <v>42078.499000000003</v>
      </c>
      <c r="C4189" s="3" t="s">
        <v>5003</v>
      </c>
      <c r="D4189" t="s">
        <v>5015</v>
      </c>
      <c r="E4189" t="s">
        <v>5018</v>
      </c>
      <c r="F4189" t="s">
        <v>5018</v>
      </c>
      <c r="G4189">
        <v>51</v>
      </c>
      <c r="H4189" s="5">
        <v>1.6436605878990113E-3</v>
      </c>
      <c r="I4189">
        <v>3</v>
      </c>
      <c r="J4189" t="b">
        <f>AND(CCData[[#This Row],[Date]]&gt;=Calculation!$E$3,CCData[[#This Row],[Date]]&lt;Calculation!$E$3+7)</f>
        <v>0</v>
      </c>
    </row>
    <row r="4190" spans="1:10">
      <c r="A4190" t="s">
        <v>4189</v>
      </c>
      <c r="B4190" s="2">
        <v>42078.506999999998</v>
      </c>
      <c r="C4190" s="3" t="s">
        <v>5006</v>
      </c>
      <c r="D4190" t="s">
        <v>5014</v>
      </c>
      <c r="E4190" t="s">
        <v>5018</v>
      </c>
      <c r="F4190" t="s">
        <v>5018</v>
      </c>
      <c r="G4190">
        <v>49</v>
      </c>
      <c r="H4190" s="5">
        <v>1.5151791071933722E-3</v>
      </c>
      <c r="I4190">
        <v>1</v>
      </c>
      <c r="J4190" t="b">
        <f>AND(CCData[[#This Row],[Date]]&gt;=Calculation!$E$3,CCData[[#This Row],[Date]]&lt;Calculation!$E$3+7)</f>
        <v>0</v>
      </c>
    </row>
    <row r="4191" spans="1:10">
      <c r="A4191" t="s">
        <v>4190</v>
      </c>
      <c r="B4191" s="2">
        <v>42078.506999999998</v>
      </c>
      <c r="C4191" s="3" t="s">
        <v>5007</v>
      </c>
      <c r="D4191" t="s">
        <v>5014</v>
      </c>
      <c r="E4191" t="s">
        <v>5019</v>
      </c>
      <c r="F4191" t="s">
        <v>5019</v>
      </c>
      <c r="G4191" t="s">
        <v>5022</v>
      </c>
      <c r="H4191" s="5" t="s">
        <v>5022</v>
      </c>
      <c r="I4191" t="s">
        <v>5022</v>
      </c>
      <c r="J4191" t="b">
        <f>AND(CCData[[#This Row],[Date]]&gt;=Calculation!$E$3,CCData[[#This Row],[Date]]&lt;Calculation!$E$3+7)</f>
        <v>0</v>
      </c>
    </row>
    <row r="4192" spans="1:10">
      <c r="A4192" t="s">
        <v>4191</v>
      </c>
      <c r="B4192" s="2">
        <v>42078.52</v>
      </c>
      <c r="C4192" s="3" t="s">
        <v>5004</v>
      </c>
      <c r="D4192" t="s">
        <v>5015</v>
      </c>
      <c r="E4192" t="s">
        <v>5018</v>
      </c>
      <c r="F4192" t="s">
        <v>5018</v>
      </c>
      <c r="G4192">
        <v>14</v>
      </c>
      <c r="H4192" s="5">
        <v>3.9787813313842931E-3</v>
      </c>
      <c r="I4192">
        <v>4</v>
      </c>
      <c r="J4192" t="b">
        <f>AND(CCData[[#This Row],[Date]]&gt;=Calculation!$E$3,CCData[[#This Row],[Date]]&lt;Calculation!$E$3+7)</f>
        <v>0</v>
      </c>
    </row>
    <row r="4193" spans="1:10">
      <c r="A4193" t="s">
        <v>4192</v>
      </c>
      <c r="B4193" s="2">
        <v>42078.52</v>
      </c>
      <c r="C4193" s="3" t="s">
        <v>5008</v>
      </c>
      <c r="D4193" t="s">
        <v>5014</v>
      </c>
      <c r="E4193" t="s">
        <v>5018</v>
      </c>
      <c r="F4193" t="s">
        <v>5018</v>
      </c>
      <c r="G4193">
        <v>91</v>
      </c>
      <c r="H4193" s="5">
        <v>3.3220889269678635E-3</v>
      </c>
      <c r="I4193">
        <v>3</v>
      </c>
      <c r="J4193" t="b">
        <f>AND(CCData[[#This Row],[Date]]&gt;=Calculation!$E$3,CCData[[#This Row],[Date]]&lt;Calculation!$E$3+7)</f>
        <v>0</v>
      </c>
    </row>
    <row r="4194" spans="1:10">
      <c r="A4194" t="s">
        <v>4193</v>
      </c>
      <c r="B4194" s="2">
        <v>42078.546999999999</v>
      </c>
      <c r="C4194" s="3" t="s">
        <v>5004</v>
      </c>
      <c r="D4194" t="s">
        <v>5012</v>
      </c>
      <c r="E4194" t="s">
        <v>5019</v>
      </c>
      <c r="F4194" t="s">
        <v>5019</v>
      </c>
      <c r="G4194" t="s">
        <v>5022</v>
      </c>
      <c r="H4194" s="5" t="s">
        <v>5022</v>
      </c>
      <c r="I4194" t="s">
        <v>5022</v>
      </c>
      <c r="J4194" t="b">
        <f>AND(CCData[[#This Row],[Date]]&gt;=Calculation!$E$3,CCData[[#This Row],[Date]]&lt;Calculation!$E$3+7)</f>
        <v>0</v>
      </c>
    </row>
    <row r="4195" spans="1:10">
      <c r="A4195" t="s">
        <v>4194</v>
      </c>
      <c r="B4195" s="2">
        <v>42078.546999999999</v>
      </c>
      <c r="C4195" s="3" t="s">
        <v>5006</v>
      </c>
      <c r="D4195" t="s">
        <v>5015</v>
      </c>
      <c r="E4195" t="s">
        <v>5018</v>
      </c>
      <c r="F4195" t="s">
        <v>5018</v>
      </c>
      <c r="G4195">
        <v>111</v>
      </c>
      <c r="H4195" s="5">
        <v>2.1754952353129106E-3</v>
      </c>
      <c r="I4195">
        <v>3</v>
      </c>
      <c r="J4195" t="b">
        <f>AND(CCData[[#This Row],[Date]]&gt;=Calculation!$E$3,CCData[[#This Row],[Date]]&lt;Calculation!$E$3+7)</f>
        <v>0</v>
      </c>
    </row>
    <row r="4196" spans="1:10">
      <c r="A4196" t="s">
        <v>4195</v>
      </c>
      <c r="B4196" s="2">
        <v>42078.565000000002</v>
      </c>
      <c r="C4196" s="3" t="s">
        <v>5009</v>
      </c>
      <c r="D4196" t="s">
        <v>5012</v>
      </c>
      <c r="E4196" t="s">
        <v>5018</v>
      </c>
      <c r="F4196" t="s">
        <v>5018</v>
      </c>
      <c r="G4196">
        <v>80</v>
      </c>
      <c r="H4196" s="5">
        <v>3.3155079289701596E-3</v>
      </c>
      <c r="I4196">
        <v>5</v>
      </c>
      <c r="J4196" t="b">
        <f>AND(CCData[[#This Row],[Date]]&gt;=Calculation!$E$3,CCData[[#This Row],[Date]]&lt;Calculation!$E$3+7)</f>
        <v>0</v>
      </c>
    </row>
    <row r="4197" spans="1:10">
      <c r="A4197" t="s">
        <v>4196</v>
      </c>
      <c r="B4197" s="2">
        <v>42078.565000000002</v>
      </c>
      <c r="C4197" s="3" t="s">
        <v>5010</v>
      </c>
      <c r="D4197" t="s">
        <v>5015</v>
      </c>
      <c r="E4197" t="s">
        <v>5018</v>
      </c>
      <c r="F4197" t="s">
        <v>5018</v>
      </c>
      <c r="G4197">
        <v>119</v>
      </c>
      <c r="H4197" s="5">
        <v>1.3161755131725064E-3</v>
      </c>
      <c r="I4197">
        <v>3</v>
      </c>
      <c r="J4197" t="b">
        <f>AND(CCData[[#This Row],[Date]]&gt;=Calculation!$E$3,CCData[[#This Row],[Date]]&lt;Calculation!$E$3+7)</f>
        <v>0</v>
      </c>
    </row>
    <row r="4198" spans="1:10">
      <c r="A4198" t="s">
        <v>4197</v>
      </c>
      <c r="B4198" s="2">
        <v>42078.578000000001</v>
      </c>
      <c r="C4198" s="3" t="s">
        <v>5007</v>
      </c>
      <c r="D4198" t="s">
        <v>5012</v>
      </c>
      <c r="E4198" t="s">
        <v>5018</v>
      </c>
      <c r="F4198" t="s">
        <v>5018</v>
      </c>
      <c r="G4198">
        <v>68</v>
      </c>
      <c r="H4198" s="5">
        <v>2.2782631478759302E-3</v>
      </c>
      <c r="I4198">
        <v>3</v>
      </c>
      <c r="J4198" t="b">
        <f>AND(CCData[[#This Row],[Date]]&gt;=Calculation!$E$3,CCData[[#This Row],[Date]]&lt;Calculation!$E$3+7)</f>
        <v>0</v>
      </c>
    </row>
    <row r="4199" spans="1:10">
      <c r="A4199" t="s">
        <v>4198</v>
      </c>
      <c r="B4199" s="2">
        <v>42078.578000000001</v>
      </c>
      <c r="C4199" s="3" t="s">
        <v>5005</v>
      </c>
      <c r="D4199" t="s">
        <v>5014</v>
      </c>
      <c r="E4199" t="s">
        <v>5019</v>
      </c>
      <c r="F4199" t="s">
        <v>5019</v>
      </c>
      <c r="G4199" t="s">
        <v>5022</v>
      </c>
      <c r="H4199" s="5" t="s">
        <v>5022</v>
      </c>
      <c r="I4199" t="s">
        <v>5022</v>
      </c>
      <c r="J4199" t="b">
        <f>AND(CCData[[#This Row],[Date]]&gt;=Calculation!$E$3,CCData[[#This Row],[Date]]&lt;Calculation!$E$3+7)</f>
        <v>0</v>
      </c>
    </row>
    <row r="4200" spans="1:10">
      <c r="A4200" t="s">
        <v>4199</v>
      </c>
      <c r="B4200" s="2">
        <v>42078.59</v>
      </c>
      <c r="C4200" s="3" t="s">
        <v>5007</v>
      </c>
      <c r="D4200" t="s">
        <v>5012</v>
      </c>
      <c r="E4200" t="s">
        <v>5018</v>
      </c>
      <c r="F4200" t="s">
        <v>5018</v>
      </c>
      <c r="G4200">
        <v>109</v>
      </c>
      <c r="H4200" s="5">
        <v>1.6828744104641657E-3</v>
      </c>
      <c r="I4200">
        <v>3</v>
      </c>
      <c r="J4200" t="b">
        <f>AND(CCData[[#This Row],[Date]]&gt;=Calculation!$E$3,CCData[[#This Row],[Date]]&lt;Calculation!$E$3+7)</f>
        <v>0</v>
      </c>
    </row>
    <row r="4201" spans="1:10">
      <c r="A4201" t="s">
        <v>4200</v>
      </c>
      <c r="B4201" s="2">
        <v>42078.59</v>
      </c>
      <c r="C4201" s="3" t="s">
        <v>5005</v>
      </c>
      <c r="D4201" t="s">
        <v>5016</v>
      </c>
      <c r="E4201" t="s">
        <v>5018</v>
      </c>
      <c r="F4201" t="s">
        <v>5018</v>
      </c>
      <c r="G4201">
        <v>24</v>
      </c>
      <c r="H4201" s="5">
        <v>4.8196427585406251E-3</v>
      </c>
      <c r="I4201">
        <v>4</v>
      </c>
      <c r="J4201" t="b">
        <f>AND(CCData[[#This Row],[Date]]&gt;=Calculation!$E$3,CCData[[#This Row],[Date]]&lt;Calculation!$E$3+7)</f>
        <v>0</v>
      </c>
    </row>
    <row r="4202" spans="1:10">
      <c r="A4202" t="s">
        <v>4201</v>
      </c>
      <c r="B4202" s="2">
        <v>42078.601999999999</v>
      </c>
      <c r="C4202" s="3" t="s">
        <v>5003</v>
      </c>
      <c r="D4202" t="s">
        <v>5013</v>
      </c>
      <c r="E4202" t="s">
        <v>5018</v>
      </c>
      <c r="F4202" t="s">
        <v>5018</v>
      </c>
      <c r="G4202">
        <v>55</v>
      </c>
      <c r="H4202" s="5">
        <v>1.6750416212528247E-3</v>
      </c>
      <c r="I4202">
        <v>5</v>
      </c>
      <c r="J4202" t="b">
        <f>AND(CCData[[#This Row],[Date]]&gt;=Calculation!$E$3,CCData[[#This Row],[Date]]&lt;Calculation!$E$3+7)</f>
        <v>0</v>
      </c>
    </row>
    <row r="4203" spans="1:10">
      <c r="A4203" t="s">
        <v>4202</v>
      </c>
      <c r="B4203" s="2">
        <v>42078.601999999999</v>
      </c>
      <c r="C4203" s="3" t="s">
        <v>5010</v>
      </c>
      <c r="D4203" t="s">
        <v>5015</v>
      </c>
      <c r="E4203" t="s">
        <v>5018</v>
      </c>
      <c r="F4203" t="s">
        <v>5018</v>
      </c>
      <c r="G4203">
        <v>92</v>
      </c>
      <c r="H4203" s="5">
        <v>2.9428292984479119E-3</v>
      </c>
      <c r="I4203">
        <v>5</v>
      </c>
      <c r="J4203" t="b">
        <f>AND(CCData[[#This Row],[Date]]&gt;=Calculation!$E$3,CCData[[#This Row],[Date]]&lt;Calculation!$E$3+7)</f>
        <v>0</v>
      </c>
    </row>
    <row r="4204" spans="1:10">
      <c r="A4204" t="s">
        <v>4203</v>
      </c>
      <c r="B4204" s="2">
        <v>42078.661</v>
      </c>
      <c r="C4204" s="3" t="s">
        <v>5009</v>
      </c>
      <c r="D4204" t="s">
        <v>5013</v>
      </c>
      <c r="E4204" t="s">
        <v>5018</v>
      </c>
      <c r="F4204" t="s">
        <v>5018</v>
      </c>
      <c r="G4204">
        <v>106</v>
      </c>
      <c r="H4204" s="5">
        <v>2.3416217313142868E-3</v>
      </c>
      <c r="I4204">
        <v>3</v>
      </c>
      <c r="J4204" t="b">
        <f>AND(CCData[[#This Row],[Date]]&gt;=Calculation!$E$3,CCData[[#This Row],[Date]]&lt;Calculation!$E$3+7)</f>
        <v>0</v>
      </c>
    </row>
    <row r="4205" spans="1:10">
      <c r="A4205" t="s">
        <v>4204</v>
      </c>
      <c r="B4205" s="2">
        <v>42078.661</v>
      </c>
      <c r="C4205" s="3" t="s">
        <v>5003</v>
      </c>
      <c r="D4205" t="s">
        <v>5015</v>
      </c>
      <c r="E4205" t="s">
        <v>5018</v>
      </c>
      <c r="F4205" t="s">
        <v>5018</v>
      </c>
      <c r="G4205">
        <v>28</v>
      </c>
      <c r="H4205" s="5">
        <v>9.7996289911172715E-4</v>
      </c>
      <c r="I4205">
        <v>3</v>
      </c>
      <c r="J4205" t="b">
        <f>AND(CCData[[#This Row],[Date]]&gt;=Calculation!$E$3,CCData[[#This Row],[Date]]&lt;Calculation!$E$3+7)</f>
        <v>0</v>
      </c>
    </row>
    <row r="4206" spans="1:10">
      <c r="A4206" t="s">
        <v>4205</v>
      </c>
      <c r="B4206" s="2">
        <v>42078.67</v>
      </c>
      <c r="C4206" s="3" t="s">
        <v>5004</v>
      </c>
      <c r="D4206" t="s">
        <v>5014</v>
      </c>
      <c r="E4206" t="s">
        <v>5018</v>
      </c>
      <c r="F4206" t="s">
        <v>5018</v>
      </c>
      <c r="G4206">
        <v>28</v>
      </c>
      <c r="H4206" s="5">
        <v>1.7621837277507139E-3</v>
      </c>
      <c r="I4206">
        <v>5</v>
      </c>
      <c r="J4206" t="b">
        <f>AND(CCData[[#This Row],[Date]]&gt;=Calculation!$E$3,CCData[[#This Row],[Date]]&lt;Calculation!$E$3+7)</f>
        <v>0</v>
      </c>
    </row>
    <row r="4207" spans="1:10">
      <c r="A4207" t="s">
        <v>4206</v>
      </c>
      <c r="B4207" s="2">
        <v>42078.67</v>
      </c>
      <c r="C4207" s="3" t="s">
        <v>5010</v>
      </c>
      <c r="D4207" t="s">
        <v>5012</v>
      </c>
      <c r="E4207" t="s">
        <v>5018</v>
      </c>
      <c r="F4207" t="s">
        <v>5019</v>
      </c>
      <c r="G4207">
        <v>40</v>
      </c>
      <c r="H4207" s="5">
        <v>4.12743611733831E-3</v>
      </c>
      <c r="I4207">
        <v>2</v>
      </c>
      <c r="J4207" t="b">
        <f>AND(CCData[[#This Row],[Date]]&gt;=Calculation!$E$3,CCData[[#This Row],[Date]]&lt;Calculation!$E$3+7)</f>
        <v>0</v>
      </c>
    </row>
    <row r="4208" spans="1:10">
      <c r="A4208" t="s">
        <v>4207</v>
      </c>
      <c r="B4208" s="2">
        <v>42078.686000000002</v>
      </c>
      <c r="C4208" s="3" t="s">
        <v>5006</v>
      </c>
      <c r="D4208" t="s">
        <v>5013</v>
      </c>
      <c r="E4208" t="s">
        <v>5018</v>
      </c>
      <c r="F4208" t="s">
        <v>5018</v>
      </c>
      <c r="G4208">
        <v>12</v>
      </c>
      <c r="H4208" s="5">
        <v>4.6842580315064244E-3</v>
      </c>
      <c r="I4208">
        <v>5</v>
      </c>
      <c r="J4208" t="b">
        <f>AND(CCData[[#This Row],[Date]]&gt;=Calculation!$E$3,CCData[[#This Row],[Date]]&lt;Calculation!$E$3+7)</f>
        <v>0</v>
      </c>
    </row>
    <row r="4209" spans="1:10">
      <c r="A4209" t="s">
        <v>4208</v>
      </c>
      <c r="B4209" s="2">
        <v>42078.686000000002</v>
      </c>
      <c r="C4209" s="3" t="s">
        <v>5008</v>
      </c>
      <c r="D4209" t="s">
        <v>5016</v>
      </c>
      <c r="E4209" t="s">
        <v>5018</v>
      </c>
      <c r="F4209" t="s">
        <v>5018</v>
      </c>
      <c r="G4209">
        <v>61</v>
      </c>
      <c r="H4209" s="5">
        <v>1.7244548969271559E-3</v>
      </c>
      <c r="I4209">
        <v>5</v>
      </c>
      <c r="J4209" t="b">
        <f>AND(CCData[[#This Row],[Date]]&gt;=Calculation!$E$3,CCData[[#This Row],[Date]]&lt;Calculation!$E$3+7)</f>
        <v>0</v>
      </c>
    </row>
    <row r="4210" spans="1:10">
      <c r="A4210" t="s">
        <v>4209</v>
      </c>
      <c r="B4210" s="2">
        <v>42078.712</v>
      </c>
      <c r="C4210" s="3" t="s">
        <v>5004</v>
      </c>
      <c r="D4210" t="s">
        <v>5016</v>
      </c>
      <c r="E4210" t="s">
        <v>5018</v>
      </c>
      <c r="F4210" t="s">
        <v>5018</v>
      </c>
      <c r="G4210">
        <v>92</v>
      </c>
      <c r="H4210" s="5">
        <v>9.7510805324600269E-4</v>
      </c>
      <c r="I4210">
        <v>1</v>
      </c>
      <c r="J4210" t="b">
        <f>AND(CCData[[#This Row],[Date]]&gt;=Calculation!$E$3,CCData[[#This Row],[Date]]&lt;Calculation!$E$3+7)</f>
        <v>0</v>
      </c>
    </row>
    <row r="4211" spans="1:10">
      <c r="A4211" t="s">
        <v>4210</v>
      </c>
      <c r="B4211" s="2">
        <v>42078.712</v>
      </c>
      <c r="C4211" s="3" t="s">
        <v>5007</v>
      </c>
      <c r="D4211" t="s">
        <v>5013</v>
      </c>
      <c r="E4211" t="s">
        <v>5019</v>
      </c>
      <c r="F4211" t="s">
        <v>5019</v>
      </c>
      <c r="G4211" t="s">
        <v>5022</v>
      </c>
      <c r="H4211" s="5" t="s">
        <v>5022</v>
      </c>
      <c r="I4211" t="s">
        <v>5022</v>
      </c>
      <c r="J4211" t="b">
        <f>AND(CCData[[#This Row],[Date]]&gt;=Calculation!$E$3,CCData[[#This Row],[Date]]&lt;Calculation!$E$3+7)</f>
        <v>0</v>
      </c>
    </row>
    <row r="4212" spans="1:10">
      <c r="A4212" t="s">
        <v>4211</v>
      </c>
      <c r="B4212" s="2">
        <v>42078.716</v>
      </c>
      <c r="C4212" s="3" t="s">
        <v>5006</v>
      </c>
      <c r="D4212" t="s">
        <v>5014</v>
      </c>
      <c r="E4212" t="s">
        <v>5019</v>
      </c>
      <c r="F4212" t="s">
        <v>5019</v>
      </c>
      <c r="G4212" t="s">
        <v>5022</v>
      </c>
      <c r="H4212" s="5" t="s">
        <v>5022</v>
      </c>
      <c r="I4212" t="s">
        <v>5022</v>
      </c>
      <c r="J4212" t="b">
        <f>AND(CCData[[#This Row],[Date]]&gt;=Calculation!$E$3,CCData[[#This Row],[Date]]&lt;Calculation!$E$3+7)</f>
        <v>0</v>
      </c>
    </row>
    <row r="4213" spans="1:10">
      <c r="A4213" t="s">
        <v>4212</v>
      </c>
      <c r="B4213" s="2">
        <v>42078.716</v>
      </c>
      <c r="C4213" s="3" t="s">
        <v>5006</v>
      </c>
      <c r="D4213" t="s">
        <v>5015</v>
      </c>
      <c r="E4213" t="s">
        <v>5018</v>
      </c>
      <c r="F4213" t="s">
        <v>5018</v>
      </c>
      <c r="G4213">
        <v>43</v>
      </c>
      <c r="H4213" s="5">
        <v>4.1890060479053074E-4</v>
      </c>
      <c r="I4213">
        <v>3</v>
      </c>
      <c r="J4213" t="b">
        <f>AND(CCData[[#This Row],[Date]]&gt;=Calculation!$E$3,CCData[[#This Row],[Date]]&lt;Calculation!$E$3+7)</f>
        <v>0</v>
      </c>
    </row>
    <row r="4214" spans="1:10">
      <c r="A4214" t="s">
        <v>4213</v>
      </c>
      <c r="B4214" s="2">
        <v>42078.720999999998</v>
      </c>
      <c r="C4214" s="3" t="s">
        <v>5008</v>
      </c>
      <c r="D4214" t="s">
        <v>5015</v>
      </c>
      <c r="E4214" t="s">
        <v>5018</v>
      </c>
      <c r="F4214" t="s">
        <v>5018</v>
      </c>
      <c r="G4214">
        <v>46</v>
      </c>
      <c r="H4214" s="5">
        <v>2.6982472253012507E-3</v>
      </c>
      <c r="I4214">
        <v>5</v>
      </c>
      <c r="J4214" t="b">
        <f>AND(CCData[[#This Row],[Date]]&gt;=Calculation!$E$3,CCData[[#This Row],[Date]]&lt;Calculation!$E$3+7)</f>
        <v>0</v>
      </c>
    </row>
    <row r="4215" spans="1:10">
      <c r="A4215" t="s">
        <v>4214</v>
      </c>
      <c r="B4215" s="2">
        <v>42078.720999999998</v>
      </c>
      <c r="C4215" s="3" t="s">
        <v>5010</v>
      </c>
      <c r="D4215" t="s">
        <v>5013</v>
      </c>
      <c r="E4215" t="s">
        <v>5018</v>
      </c>
      <c r="F4215" t="s">
        <v>5018</v>
      </c>
      <c r="G4215">
        <v>51</v>
      </c>
      <c r="H4215" s="5">
        <v>4.1910585697708391E-3</v>
      </c>
      <c r="I4215">
        <v>4</v>
      </c>
      <c r="J4215" t="b">
        <f>AND(CCData[[#This Row],[Date]]&gt;=Calculation!$E$3,CCData[[#This Row],[Date]]&lt;Calculation!$E$3+7)</f>
        <v>0</v>
      </c>
    </row>
    <row r="4216" spans="1:10">
      <c r="A4216" t="s">
        <v>4215</v>
      </c>
      <c r="B4216" s="2">
        <v>42078.728000000003</v>
      </c>
      <c r="C4216" s="3" t="s">
        <v>5003</v>
      </c>
      <c r="D4216" t="s">
        <v>5012</v>
      </c>
      <c r="E4216" t="s">
        <v>5018</v>
      </c>
      <c r="F4216" t="s">
        <v>5018</v>
      </c>
      <c r="G4216">
        <v>13</v>
      </c>
      <c r="H4216" s="5">
        <v>8.6045956007424766E-4</v>
      </c>
      <c r="I4216">
        <v>3</v>
      </c>
      <c r="J4216" t="b">
        <f>AND(CCData[[#This Row],[Date]]&gt;=Calculation!$E$3,CCData[[#This Row],[Date]]&lt;Calculation!$E$3+7)</f>
        <v>0</v>
      </c>
    </row>
    <row r="4217" spans="1:10">
      <c r="A4217" t="s">
        <v>4216</v>
      </c>
      <c r="B4217" s="2">
        <v>42078.728000000003</v>
      </c>
      <c r="C4217" s="3" t="s">
        <v>5003</v>
      </c>
      <c r="D4217" t="s">
        <v>5014</v>
      </c>
      <c r="E4217" t="s">
        <v>5018</v>
      </c>
      <c r="F4217" t="s">
        <v>5019</v>
      </c>
      <c r="G4217">
        <v>19</v>
      </c>
      <c r="H4217" s="5">
        <v>1.2083225526859709E-3</v>
      </c>
      <c r="I4217">
        <v>5</v>
      </c>
      <c r="J4217" t="b">
        <f>AND(CCData[[#This Row],[Date]]&gt;=Calculation!$E$3,CCData[[#This Row],[Date]]&lt;Calculation!$E$3+7)</f>
        <v>0</v>
      </c>
    </row>
    <row r="4218" spans="1:10">
      <c r="A4218" t="s">
        <v>4217</v>
      </c>
      <c r="B4218" s="2">
        <v>42078.731</v>
      </c>
      <c r="C4218" s="3" t="s">
        <v>5004</v>
      </c>
      <c r="D4218" t="s">
        <v>5015</v>
      </c>
      <c r="E4218" t="s">
        <v>5018</v>
      </c>
      <c r="F4218" t="s">
        <v>5018</v>
      </c>
      <c r="G4218">
        <v>30</v>
      </c>
      <c r="H4218" s="5">
        <v>2.4184289295839743E-3</v>
      </c>
      <c r="I4218">
        <v>3</v>
      </c>
      <c r="J4218" t="b">
        <f>AND(CCData[[#This Row],[Date]]&gt;=Calculation!$E$3,CCData[[#This Row],[Date]]&lt;Calculation!$E$3+7)</f>
        <v>0</v>
      </c>
    </row>
    <row r="4219" spans="1:10">
      <c r="A4219" t="s">
        <v>4218</v>
      </c>
      <c r="B4219" s="2">
        <v>42078.731</v>
      </c>
      <c r="C4219" s="3" t="s">
        <v>5010</v>
      </c>
      <c r="D4219" t="s">
        <v>5013</v>
      </c>
      <c r="E4219" t="s">
        <v>5018</v>
      </c>
      <c r="F4219" t="s">
        <v>5018</v>
      </c>
      <c r="G4219">
        <v>122</v>
      </c>
      <c r="H4219" s="5">
        <v>4.558987519171373E-3</v>
      </c>
      <c r="I4219">
        <v>3</v>
      </c>
      <c r="J4219" t="b">
        <f>AND(CCData[[#This Row],[Date]]&gt;=Calculation!$E$3,CCData[[#This Row],[Date]]&lt;Calculation!$E$3+7)</f>
        <v>0</v>
      </c>
    </row>
    <row r="4220" spans="1:10">
      <c r="A4220" t="s">
        <v>4219</v>
      </c>
      <c r="B4220" s="2">
        <v>42078.741000000002</v>
      </c>
      <c r="C4220" s="3" t="s">
        <v>5006</v>
      </c>
      <c r="D4220" t="s">
        <v>5015</v>
      </c>
      <c r="E4220" t="s">
        <v>5018</v>
      </c>
      <c r="F4220" t="s">
        <v>5018</v>
      </c>
      <c r="G4220">
        <v>83</v>
      </c>
      <c r="H4220" s="5">
        <v>2.5625589975396173E-3</v>
      </c>
      <c r="I4220">
        <v>2</v>
      </c>
      <c r="J4220" t="b">
        <f>AND(CCData[[#This Row],[Date]]&gt;=Calculation!$E$3,CCData[[#This Row],[Date]]&lt;Calculation!$E$3+7)</f>
        <v>0</v>
      </c>
    </row>
    <row r="4221" spans="1:10">
      <c r="A4221" t="s">
        <v>4220</v>
      </c>
      <c r="B4221" s="2">
        <v>42078.741000000002</v>
      </c>
      <c r="C4221" s="3" t="s">
        <v>5007</v>
      </c>
      <c r="D4221" t="s">
        <v>5013</v>
      </c>
      <c r="E4221" t="s">
        <v>5019</v>
      </c>
      <c r="F4221" t="s">
        <v>5019</v>
      </c>
      <c r="G4221" t="s">
        <v>5022</v>
      </c>
      <c r="H4221" s="5" t="s">
        <v>5022</v>
      </c>
      <c r="I4221" t="s">
        <v>5022</v>
      </c>
      <c r="J4221" t="b">
        <f>AND(CCData[[#This Row],[Date]]&gt;=Calculation!$E$3,CCData[[#This Row],[Date]]&lt;Calculation!$E$3+7)</f>
        <v>0</v>
      </c>
    </row>
    <row r="4222" spans="1:10">
      <c r="A4222" t="s">
        <v>4221</v>
      </c>
      <c r="B4222" s="2">
        <v>42079.383000000002</v>
      </c>
      <c r="C4222" s="3" t="s">
        <v>5008</v>
      </c>
      <c r="D4222" t="s">
        <v>5013</v>
      </c>
      <c r="E4222" t="s">
        <v>5018</v>
      </c>
      <c r="F4222" t="s">
        <v>5018</v>
      </c>
      <c r="G4222">
        <v>125</v>
      </c>
      <c r="H4222" s="5">
        <v>8.6784712307778303E-4</v>
      </c>
      <c r="I4222">
        <v>4</v>
      </c>
      <c r="J4222" t="b">
        <f>AND(CCData[[#This Row],[Date]]&gt;=Calculation!$E$3,CCData[[#This Row],[Date]]&lt;Calculation!$E$3+7)</f>
        <v>0</v>
      </c>
    </row>
    <row r="4223" spans="1:10">
      <c r="A4223" t="s">
        <v>4222</v>
      </c>
      <c r="B4223" s="2">
        <v>42079.383000000002</v>
      </c>
      <c r="C4223" s="3" t="s">
        <v>5008</v>
      </c>
      <c r="D4223" t="s">
        <v>5015</v>
      </c>
      <c r="E4223" t="s">
        <v>5018</v>
      </c>
      <c r="F4223" t="s">
        <v>5018</v>
      </c>
      <c r="G4223">
        <v>80</v>
      </c>
      <c r="H4223" s="5">
        <v>7.9731655578460482E-4</v>
      </c>
      <c r="I4223">
        <v>2</v>
      </c>
      <c r="J4223" t="b">
        <f>AND(CCData[[#This Row],[Date]]&gt;=Calculation!$E$3,CCData[[#This Row],[Date]]&lt;Calculation!$E$3+7)</f>
        <v>0</v>
      </c>
    </row>
    <row r="4224" spans="1:10">
      <c r="A4224" t="s">
        <v>4223</v>
      </c>
      <c r="B4224" s="2">
        <v>42079.406999999999</v>
      </c>
      <c r="C4224" s="3" t="s">
        <v>5005</v>
      </c>
      <c r="D4224" t="s">
        <v>5016</v>
      </c>
      <c r="E4224" t="s">
        <v>5018</v>
      </c>
      <c r="F4224" t="s">
        <v>5018</v>
      </c>
      <c r="G4224">
        <v>112</v>
      </c>
      <c r="H4224" s="5">
        <v>4.0130388332077485E-3</v>
      </c>
      <c r="I4224">
        <v>2</v>
      </c>
      <c r="J4224" t="b">
        <f>AND(CCData[[#This Row],[Date]]&gt;=Calculation!$E$3,CCData[[#This Row],[Date]]&lt;Calculation!$E$3+7)</f>
        <v>0</v>
      </c>
    </row>
    <row r="4225" spans="1:10">
      <c r="A4225" t="s">
        <v>4224</v>
      </c>
      <c r="B4225" s="2">
        <v>42079.406999999999</v>
      </c>
      <c r="C4225" s="3" t="s">
        <v>5006</v>
      </c>
      <c r="D4225" t="s">
        <v>5016</v>
      </c>
      <c r="E4225" t="s">
        <v>5018</v>
      </c>
      <c r="F4225" t="s">
        <v>5018</v>
      </c>
      <c r="G4225">
        <v>113</v>
      </c>
      <c r="H4225" s="5">
        <v>2.3866934472451967E-3</v>
      </c>
      <c r="I4225">
        <v>5</v>
      </c>
      <c r="J4225" t="b">
        <f>AND(CCData[[#This Row],[Date]]&gt;=Calculation!$E$3,CCData[[#This Row],[Date]]&lt;Calculation!$E$3+7)</f>
        <v>0</v>
      </c>
    </row>
    <row r="4226" spans="1:10">
      <c r="A4226" t="s">
        <v>4225</v>
      </c>
      <c r="B4226" s="2">
        <v>42079.423000000003</v>
      </c>
      <c r="C4226" s="3" t="s">
        <v>5010</v>
      </c>
      <c r="D4226" t="s">
        <v>5015</v>
      </c>
      <c r="E4226" t="s">
        <v>5018</v>
      </c>
      <c r="F4226" t="s">
        <v>5018</v>
      </c>
      <c r="G4226">
        <v>95</v>
      </c>
      <c r="H4226" s="5">
        <v>2.7749723408469723E-3</v>
      </c>
      <c r="I4226">
        <v>4</v>
      </c>
      <c r="J4226" t="b">
        <f>AND(CCData[[#This Row],[Date]]&gt;=Calculation!$E$3,CCData[[#This Row],[Date]]&lt;Calculation!$E$3+7)</f>
        <v>0</v>
      </c>
    </row>
    <row r="4227" spans="1:10">
      <c r="A4227" t="s">
        <v>4226</v>
      </c>
      <c r="B4227" s="2">
        <v>42079.423000000003</v>
      </c>
      <c r="C4227" s="3" t="s">
        <v>5008</v>
      </c>
      <c r="D4227" t="s">
        <v>5016</v>
      </c>
      <c r="E4227" t="s">
        <v>5018</v>
      </c>
      <c r="F4227" t="s">
        <v>5018</v>
      </c>
      <c r="G4227">
        <v>40</v>
      </c>
      <c r="H4227" s="5">
        <v>2.2533416776357746E-3</v>
      </c>
      <c r="I4227">
        <v>3</v>
      </c>
      <c r="J4227" t="b">
        <f>AND(CCData[[#This Row],[Date]]&gt;=Calculation!$E$3,CCData[[#This Row],[Date]]&lt;Calculation!$E$3+7)</f>
        <v>0</v>
      </c>
    </row>
    <row r="4228" spans="1:10">
      <c r="A4228" t="s">
        <v>4227</v>
      </c>
      <c r="B4228" s="2">
        <v>42079.423999999999</v>
      </c>
      <c r="C4228" s="3" t="s">
        <v>5010</v>
      </c>
      <c r="D4228" t="s">
        <v>5016</v>
      </c>
      <c r="E4228" t="s">
        <v>5018</v>
      </c>
      <c r="F4228" t="s">
        <v>5018</v>
      </c>
      <c r="G4228">
        <v>106</v>
      </c>
      <c r="H4228" s="5">
        <v>4.772042073741321E-3</v>
      </c>
      <c r="I4228">
        <v>3</v>
      </c>
      <c r="J4228" t="b">
        <f>AND(CCData[[#This Row],[Date]]&gt;=Calculation!$E$3,CCData[[#This Row],[Date]]&lt;Calculation!$E$3+7)</f>
        <v>0</v>
      </c>
    </row>
    <row r="4229" spans="1:10">
      <c r="A4229" t="s">
        <v>4228</v>
      </c>
      <c r="B4229" s="2">
        <v>42079.423999999999</v>
      </c>
      <c r="C4229" s="3" t="s">
        <v>5006</v>
      </c>
      <c r="D4229" t="s">
        <v>5014</v>
      </c>
      <c r="E4229" t="s">
        <v>5018</v>
      </c>
      <c r="F4229" t="s">
        <v>5018</v>
      </c>
      <c r="G4229">
        <v>38</v>
      </c>
      <c r="H4229" s="5">
        <v>2.4603792462432306E-3</v>
      </c>
      <c r="I4229">
        <v>3</v>
      </c>
      <c r="J4229" t="b">
        <f>AND(CCData[[#This Row],[Date]]&gt;=Calculation!$E$3,CCData[[#This Row],[Date]]&lt;Calculation!$E$3+7)</f>
        <v>0</v>
      </c>
    </row>
    <row r="4230" spans="1:10">
      <c r="A4230" t="s">
        <v>4229</v>
      </c>
      <c r="B4230" s="2">
        <v>42079.432999999997</v>
      </c>
      <c r="C4230" s="3" t="s">
        <v>5009</v>
      </c>
      <c r="D4230" t="s">
        <v>5012</v>
      </c>
      <c r="E4230" t="s">
        <v>5019</v>
      </c>
      <c r="F4230" t="s">
        <v>5019</v>
      </c>
      <c r="G4230" t="s">
        <v>5022</v>
      </c>
      <c r="H4230" s="5" t="s">
        <v>5022</v>
      </c>
      <c r="I4230" t="s">
        <v>5022</v>
      </c>
      <c r="J4230" t="b">
        <f>AND(CCData[[#This Row],[Date]]&gt;=Calculation!$E$3,CCData[[#This Row],[Date]]&lt;Calculation!$E$3+7)</f>
        <v>0</v>
      </c>
    </row>
    <row r="4231" spans="1:10">
      <c r="A4231" t="s">
        <v>4230</v>
      </c>
      <c r="B4231" s="2">
        <v>42079.432999999997</v>
      </c>
      <c r="C4231" s="3" t="s">
        <v>5006</v>
      </c>
      <c r="D4231" t="s">
        <v>5016</v>
      </c>
      <c r="E4231" t="s">
        <v>5018</v>
      </c>
      <c r="F4231" t="s">
        <v>5018</v>
      </c>
      <c r="G4231">
        <v>61</v>
      </c>
      <c r="H4231" s="5">
        <v>2.7833489314098105E-3</v>
      </c>
      <c r="I4231">
        <v>3</v>
      </c>
      <c r="J4231" t="b">
        <f>AND(CCData[[#This Row],[Date]]&gt;=Calculation!$E$3,CCData[[#This Row],[Date]]&lt;Calculation!$E$3+7)</f>
        <v>0</v>
      </c>
    </row>
    <row r="4232" spans="1:10">
      <c r="A4232" t="s">
        <v>4231</v>
      </c>
      <c r="B4232" s="2">
        <v>42079.432999999997</v>
      </c>
      <c r="C4232" s="3" t="s">
        <v>5010</v>
      </c>
      <c r="D4232" t="s">
        <v>5015</v>
      </c>
      <c r="E4232" t="s">
        <v>5019</v>
      </c>
      <c r="F4232" t="s">
        <v>5019</v>
      </c>
      <c r="G4232" t="s">
        <v>5022</v>
      </c>
      <c r="H4232" s="5" t="s">
        <v>5022</v>
      </c>
      <c r="I4232" t="s">
        <v>5022</v>
      </c>
      <c r="J4232" t="b">
        <f>AND(CCData[[#This Row],[Date]]&gt;=Calculation!$E$3,CCData[[#This Row],[Date]]&lt;Calculation!$E$3+7)</f>
        <v>0</v>
      </c>
    </row>
    <row r="4233" spans="1:10">
      <c r="A4233" t="s">
        <v>4232</v>
      </c>
      <c r="B4233" s="2">
        <v>42079.432999999997</v>
      </c>
      <c r="C4233" s="3" t="s">
        <v>5008</v>
      </c>
      <c r="D4233" t="s">
        <v>5016</v>
      </c>
      <c r="E4233" t="s">
        <v>5019</v>
      </c>
      <c r="F4233" t="s">
        <v>5019</v>
      </c>
      <c r="G4233" t="s">
        <v>5022</v>
      </c>
      <c r="H4233" s="5" t="s">
        <v>5022</v>
      </c>
      <c r="I4233" t="s">
        <v>5022</v>
      </c>
      <c r="J4233" t="b">
        <f>AND(CCData[[#This Row],[Date]]&gt;=Calculation!$E$3,CCData[[#This Row],[Date]]&lt;Calculation!$E$3+7)</f>
        <v>0</v>
      </c>
    </row>
    <row r="4234" spans="1:10">
      <c r="A4234" t="s">
        <v>4233</v>
      </c>
      <c r="B4234" s="2">
        <v>42079.440999999999</v>
      </c>
      <c r="C4234" s="3" t="s">
        <v>5009</v>
      </c>
      <c r="D4234" t="s">
        <v>5016</v>
      </c>
      <c r="E4234" t="s">
        <v>5019</v>
      </c>
      <c r="F4234" t="s">
        <v>5019</v>
      </c>
      <c r="G4234" t="s">
        <v>5022</v>
      </c>
      <c r="H4234" s="5" t="s">
        <v>5022</v>
      </c>
      <c r="I4234" t="s">
        <v>5022</v>
      </c>
      <c r="J4234" t="b">
        <f>AND(CCData[[#This Row],[Date]]&gt;=Calculation!$E$3,CCData[[#This Row],[Date]]&lt;Calculation!$E$3+7)</f>
        <v>0</v>
      </c>
    </row>
    <row r="4235" spans="1:10">
      <c r="A4235" t="s">
        <v>4234</v>
      </c>
      <c r="B4235" s="2">
        <v>42079.440999999999</v>
      </c>
      <c r="C4235" s="3" t="s">
        <v>5007</v>
      </c>
      <c r="D4235" t="s">
        <v>5015</v>
      </c>
      <c r="E4235" t="s">
        <v>5018</v>
      </c>
      <c r="F4235" t="s">
        <v>5018</v>
      </c>
      <c r="G4235">
        <v>70</v>
      </c>
      <c r="H4235" s="5">
        <v>2.900682819805427E-3</v>
      </c>
      <c r="I4235">
        <v>1</v>
      </c>
      <c r="J4235" t="b">
        <f>AND(CCData[[#This Row],[Date]]&gt;=Calculation!$E$3,CCData[[#This Row],[Date]]&lt;Calculation!$E$3+7)</f>
        <v>0</v>
      </c>
    </row>
    <row r="4236" spans="1:10">
      <c r="A4236" t="s">
        <v>4235</v>
      </c>
      <c r="B4236" s="2">
        <v>42079.466999999997</v>
      </c>
      <c r="C4236" s="3" t="s">
        <v>5004</v>
      </c>
      <c r="D4236" t="s">
        <v>5013</v>
      </c>
      <c r="E4236" t="s">
        <v>5019</v>
      </c>
      <c r="F4236" t="s">
        <v>5019</v>
      </c>
      <c r="G4236" t="s">
        <v>5022</v>
      </c>
      <c r="H4236" s="5" t="s">
        <v>5022</v>
      </c>
      <c r="I4236" t="s">
        <v>5022</v>
      </c>
      <c r="J4236" t="b">
        <f>AND(CCData[[#This Row],[Date]]&gt;=Calculation!$E$3,CCData[[#This Row],[Date]]&lt;Calculation!$E$3+7)</f>
        <v>0</v>
      </c>
    </row>
    <row r="4237" spans="1:10">
      <c r="A4237" t="s">
        <v>4236</v>
      </c>
      <c r="B4237" s="2">
        <v>42079.466999999997</v>
      </c>
      <c r="C4237" s="3" t="s">
        <v>5010</v>
      </c>
      <c r="D4237" t="s">
        <v>5016</v>
      </c>
      <c r="E4237" t="s">
        <v>5019</v>
      </c>
      <c r="F4237" t="s">
        <v>5019</v>
      </c>
      <c r="G4237" t="s">
        <v>5022</v>
      </c>
      <c r="H4237" s="5" t="s">
        <v>5022</v>
      </c>
      <c r="I4237" t="s">
        <v>5022</v>
      </c>
      <c r="J4237" t="b">
        <f>AND(CCData[[#This Row],[Date]]&gt;=Calculation!$E$3,CCData[[#This Row],[Date]]&lt;Calculation!$E$3+7)</f>
        <v>0</v>
      </c>
    </row>
    <row r="4238" spans="1:10">
      <c r="A4238" t="s">
        <v>4237</v>
      </c>
      <c r="B4238" s="2">
        <v>42079.489000000001</v>
      </c>
      <c r="C4238" s="3" t="s">
        <v>5005</v>
      </c>
      <c r="D4238" t="s">
        <v>5013</v>
      </c>
      <c r="E4238" t="s">
        <v>5018</v>
      </c>
      <c r="F4238" t="s">
        <v>5018</v>
      </c>
      <c r="G4238">
        <v>56</v>
      </c>
      <c r="H4238" s="5">
        <v>3.8870466623405465E-3</v>
      </c>
      <c r="I4238">
        <v>4</v>
      </c>
      <c r="J4238" t="b">
        <f>AND(CCData[[#This Row],[Date]]&gt;=Calculation!$E$3,CCData[[#This Row],[Date]]&lt;Calculation!$E$3+7)</f>
        <v>0</v>
      </c>
    </row>
    <row r="4239" spans="1:10">
      <c r="A4239" t="s">
        <v>4238</v>
      </c>
      <c r="B4239" s="2">
        <v>42079.489000000001</v>
      </c>
      <c r="C4239" s="3" t="s">
        <v>5005</v>
      </c>
      <c r="D4239" t="s">
        <v>5016</v>
      </c>
      <c r="E4239" t="s">
        <v>5018</v>
      </c>
      <c r="F4239" t="s">
        <v>5018</v>
      </c>
      <c r="G4239">
        <v>26</v>
      </c>
      <c r="H4239" s="5">
        <v>4.2907157054484883E-3</v>
      </c>
      <c r="I4239">
        <v>4</v>
      </c>
      <c r="J4239" t="b">
        <f>AND(CCData[[#This Row],[Date]]&gt;=Calculation!$E$3,CCData[[#This Row],[Date]]&lt;Calculation!$E$3+7)</f>
        <v>0</v>
      </c>
    </row>
    <row r="4240" spans="1:10">
      <c r="A4240" t="s">
        <v>4239</v>
      </c>
      <c r="B4240" s="2">
        <v>42079.514999999999</v>
      </c>
      <c r="C4240" s="3" t="s">
        <v>5003</v>
      </c>
      <c r="D4240" t="s">
        <v>5013</v>
      </c>
      <c r="E4240" t="s">
        <v>5018</v>
      </c>
      <c r="F4240" t="s">
        <v>5018</v>
      </c>
      <c r="G4240">
        <v>11</v>
      </c>
      <c r="H4240" s="5">
        <v>2.1509219586528378E-3</v>
      </c>
      <c r="I4240">
        <v>4</v>
      </c>
      <c r="J4240" t="b">
        <f>AND(CCData[[#This Row],[Date]]&gt;=Calculation!$E$3,CCData[[#This Row],[Date]]&lt;Calculation!$E$3+7)</f>
        <v>0</v>
      </c>
    </row>
    <row r="4241" spans="1:10">
      <c r="A4241" t="s">
        <v>4240</v>
      </c>
      <c r="B4241" s="2">
        <v>42079.514999999999</v>
      </c>
      <c r="C4241" s="3" t="s">
        <v>5006</v>
      </c>
      <c r="D4241" t="s">
        <v>5014</v>
      </c>
      <c r="E4241" t="s">
        <v>5018</v>
      </c>
      <c r="F4241" t="s">
        <v>5018</v>
      </c>
      <c r="G4241">
        <v>22</v>
      </c>
      <c r="H4241" s="5">
        <v>4.5229486838863206E-3</v>
      </c>
      <c r="I4241">
        <v>1</v>
      </c>
      <c r="J4241" t="b">
        <f>AND(CCData[[#This Row],[Date]]&gt;=Calculation!$E$3,CCData[[#This Row],[Date]]&lt;Calculation!$E$3+7)</f>
        <v>0</v>
      </c>
    </row>
    <row r="4242" spans="1:10">
      <c r="A4242" t="s">
        <v>4241</v>
      </c>
      <c r="B4242" s="2">
        <v>42079.53</v>
      </c>
      <c r="C4242" s="3" t="s">
        <v>5007</v>
      </c>
      <c r="D4242" t="s">
        <v>5016</v>
      </c>
      <c r="E4242" t="s">
        <v>5018</v>
      </c>
      <c r="F4242" t="s">
        <v>5018</v>
      </c>
      <c r="G4242">
        <v>33</v>
      </c>
      <c r="H4242" s="5">
        <v>4.629279740062598E-3</v>
      </c>
      <c r="I4242">
        <v>3</v>
      </c>
      <c r="J4242" t="b">
        <f>AND(CCData[[#This Row],[Date]]&gt;=Calculation!$E$3,CCData[[#This Row],[Date]]&lt;Calculation!$E$3+7)</f>
        <v>0</v>
      </c>
    </row>
    <row r="4243" spans="1:10">
      <c r="A4243" t="s">
        <v>4242</v>
      </c>
      <c r="B4243" s="2">
        <v>42079.53</v>
      </c>
      <c r="C4243" s="3" t="s">
        <v>5005</v>
      </c>
      <c r="D4243" t="s">
        <v>5016</v>
      </c>
      <c r="E4243" t="s">
        <v>5018</v>
      </c>
      <c r="F4243" t="s">
        <v>5018</v>
      </c>
      <c r="G4243">
        <v>58</v>
      </c>
      <c r="H4243" s="5">
        <v>7.6671581034371873E-4</v>
      </c>
      <c r="I4243">
        <v>4</v>
      </c>
      <c r="J4243" t="b">
        <f>AND(CCData[[#This Row],[Date]]&gt;=Calculation!$E$3,CCData[[#This Row],[Date]]&lt;Calculation!$E$3+7)</f>
        <v>0</v>
      </c>
    </row>
    <row r="4244" spans="1:10">
      <c r="A4244" t="s">
        <v>4243</v>
      </c>
      <c r="B4244" s="2">
        <v>42079.534</v>
      </c>
      <c r="C4244" s="3" t="s">
        <v>5006</v>
      </c>
      <c r="D4244" t="s">
        <v>5012</v>
      </c>
      <c r="E4244" t="s">
        <v>5018</v>
      </c>
      <c r="F4244" t="s">
        <v>5018</v>
      </c>
      <c r="G4244">
        <v>72</v>
      </c>
      <c r="H4244" s="5">
        <v>4.0132229984872472E-3</v>
      </c>
      <c r="I4244">
        <v>3</v>
      </c>
      <c r="J4244" t="b">
        <f>AND(CCData[[#This Row],[Date]]&gt;=Calculation!$E$3,CCData[[#This Row],[Date]]&lt;Calculation!$E$3+7)</f>
        <v>0</v>
      </c>
    </row>
    <row r="4245" spans="1:10">
      <c r="A4245" t="s">
        <v>4244</v>
      </c>
      <c r="B4245" s="2">
        <v>42079.534</v>
      </c>
      <c r="C4245" s="3" t="s">
        <v>5006</v>
      </c>
      <c r="D4245" t="s">
        <v>5014</v>
      </c>
      <c r="E4245" t="s">
        <v>5018</v>
      </c>
      <c r="F4245" t="s">
        <v>5018</v>
      </c>
      <c r="G4245">
        <v>63</v>
      </c>
      <c r="H4245" s="5">
        <v>3.7849414607159506E-3</v>
      </c>
      <c r="I4245">
        <v>5</v>
      </c>
      <c r="J4245" t="b">
        <f>AND(CCData[[#This Row],[Date]]&gt;=Calculation!$E$3,CCData[[#This Row],[Date]]&lt;Calculation!$E$3+7)</f>
        <v>0</v>
      </c>
    </row>
    <row r="4246" spans="1:10">
      <c r="A4246" t="s">
        <v>4245</v>
      </c>
      <c r="B4246" s="2">
        <v>42079.544999999998</v>
      </c>
      <c r="C4246" s="3" t="s">
        <v>5003</v>
      </c>
      <c r="D4246" t="s">
        <v>5016</v>
      </c>
      <c r="E4246" t="s">
        <v>5018</v>
      </c>
      <c r="F4246" t="s">
        <v>5018</v>
      </c>
      <c r="G4246">
        <v>52</v>
      </c>
      <c r="H4246" s="5">
        <v>2.4516126441043039E-3</v>
      </c>
      <c r="I4246">
        <v>4</v>
      </c>
      <c r="J4246" t="b">
        <f>AND(CCData[[#This Row],[Date]]&gt;=Calculation!$E$3,CCData[[#This Row],[Date]]&lt;Calculation!$E$3+7)</f>
        <v>0</v>
      </c>
    </row>
    <row r="4247" spans="1:10">
      <c r="A4247" t="s">
        <v>4246</v>
      </c>
      <c r="B4247" s="2">
        <v>42079.544999999998</v>
      </c>
      <c r="C4247" s="3" t="s">
        <v>5008</v>
      </c>
      <c r="D4247" t="s">
        <v>5016</v>
      </c>
      <c r="E4247" t="s">
        <v>5019</v>
      </c>
      <c r="F4247" t="s">
        <v>5019</v>
      </c>
      <c r="G4247" t="s">
        <v>5022</v>
      </c>
      <c r="H4247" s="5" t="s">
        <v>5022</v>
      </c>
      <c r="I4247" t="s">
        <v>5022</v>
      </c>
      <c r="J4247" t="b">
        <f>AND(CCData[[#This Row],[Date]]&gt;=Calculation!$E$3,CCData[[#This Row],[Date]]&lt;Calculation!$E$3+7)</f>
        <v>0</v>
      </c>
    </row>
    <row r="4248" spans="1:10">
      <c r="A4248" t="s">
        <v>4247</v>
      </c>
      <c r="B4248" s="2">
        <v>42079.553</v>
      </c>
      <c r="C4248" s="3" t="s">
        <v>5005</v>
      </c>
      <c r="D4248" t="s">
        <v>5013</v>
      </c>
      <c r="E4248" t="s">
        <v>5018</v>
      </c>
      <c r="F4248" t="s">
        <v>5018</v>
      </c>
      <c r="G4248">
        <v>106</v>
      </c>
      <c r="H4248" s="5">
        <v>3.8306865262603506E-3</v>
      </c>
      <c r="I4248">
        <v>5</v>
      </c>
      <c r="J4248" t="b">
        <f>AND(CCData[[#This Row],[Date]]&gt;=Calculation!$E$3,CCData[[#This Row],[Date]]&lt;Calculation!$E$3+7)</f>
        <v>0</v>
      </c>
    </row>
    <row r="4249" spans="1:10">
      <c r="A4249" t="s">
        <v>4248</v>
      </c>
      <c r="B4249" s="2">
        <v>42079.553</v>
      </c>
      <c r="C4249" s="3" t="s">
        <v>5003</v>
      </c>
      <c r="D4249" t="s">
        <v>5015</v>
      </c>
      <c r="E4249" t="s">
        <v>5018</v>
      </c>
      <c r="F4249" t="s">
        <v>5018</v>
      </c>
      <c r="G4249">
        <v>26</v>
      </c>
      <c r="H4249" s="5">
        <v>4.5589110944585882E-3</v>
      </c>
      <c r="I4249">
        <v>3</v>
      </c>
      <c r="J4249" t="b">
        <f>AND(CCData[[#This Row],[Date]]&gt;=Calculation!$E$3,CCData[[#This Row],[Date]]&lt;Calculation!$E$3+7)</f>
        <v>0</v>
      </c>
    </row>
    <row r="4250" spans="1:10">
      <c r="A4250" t="s">
        <v>4249</v>
      </c>
      <c r="B4250" s="2">
        <v>42079.561999999998</v>
      </c>
      <c r="C4250" s="3" t="s">
        <v>5003</v>
      </c>
      <c r="D4250" t="s">
        <v>5014</v>
      </c>
      <c r="E4250" t="s">
        <v>5018</v>
      </c>
      <c r="F4250" t="s">
        <v>5018</v>
      </c>
      <c r="G4250">
        <v>76</v>
      </c>
      <c r="H4250" s="5">
        <v>2.4168941379383124E-3</v>
      </c>
      <c r="I4250">
        <v>5</v>
      </c>
      <c r="J4250" t="b">
        <f>AND(CCData[[#This Row],[Date]]&gt;=Calculation!$E$3,CCData[[#This Row],[Date]]&lt;Calculation!$E$3+7)</f>
        <v>0</v>
      </c>
    </row>
    <row r="4251" spans="1:10">
      <c r="A4251" t="s">
        <v>4250</v>
      </c>
      <c r="B4251" s="2">
        <v>42079.561999999998</v>
      </c>
      <c r="C4251" s="3" t="s">
        <v>5005</v>
      </c>
      <c r="D4251" t="s">
        <v>5013</v>
      </c>
      <c r="E4251" t="s">
        <v>5018</v>
      </c>
      <c r="F4251" t="s">
        <v>5018</v>
      </c>
      <c r="G4251">
        <v>45</v>
      </c>
      <c r="H4251" s="5">
        <v>4.5078998054805591E-3</v>
      </c>
      <c r="I4251">
        <v>5</v>
      </c>
      <c r="J4251" t="b">
        <f>AND(CCData[[#This Row],[Date]]&gt;=Calculation!$E$3,CCData[[#This Row],[Date]]&lt;Calculation!$E$3+7)</f>
        <v>0</v>
      </c>
    </row>
    <row r="4252" spans="1:10">
      <c r="A4252" t="s">
        <v>4251</v>
      </c>
      <c r="B4252" s="2">
        <v>42079.563999999998</v>
      </c>
      <c r="C4252" s="3" t="s">
        <v>5009</v>
      </c>
      <c r="D4252" t="s">
        <v>5012</v>
      </c>
      <c r="E4252" t="s">
        <v>5019</v>
      </c>
      <c r="F4252" t="s">
        <v>5019</v>
      </c>
      <c r="G4252" t="s">
        <v>5022</v>
      </c>
      <c r="H4252" s="5" t="s">
        <v>5022</v>
      </c>
      <c r="I4252" t="s">
        <v>5022</v>
      </c>
      <c r="J4252" t="b">
        <f>AND(CCData[[#This Row],[Date]]&gt;=Calculation!$E$3,CCData[[#This Row],[Date]]&lt;Calculation!$E$3+7)</f>
        <v>0</v>
      </c>
    </row>
    <row r="4253" spans="1:10">
      <c r="A4253" t="s">
        <v>4252</v>
      </c>
      <c r="B4253" s="2">
        <v>42079.563999999998</v>
      </c>
      <c r="C4253" s="3" t="s">
        <v>5010</v>
      </c>
      <c r="D4253" t="s">
        <v>5014</v>
      </c>
      <c r="E4253" t="s">
        <v>5018</v>
      </c>
      <c r="F4253" t="s">
        <v>5018</v>
      </c>
      <c r="G4253">
        <v>61</v>
      </c>
      <c r="H4253" s="5">
        <v>1.0390807382975567E-3</v>
      </c>
      <c r="I4253">
        <v>3</v>
      </c>
      <c r="J4253" t="b">
        <f>AND(CCData[[#This Row],[Date]]&gt;=Calculation!$E$3,CCData[[#This Row],[Date]]&lt;Calculation!$E$3+7)</f>
        <v>0</v>
      </c>
    </row>
    <row r="4254" spans="1:10">
      <c r="A4254" t="s">
        <v>4253</v>
      </c>
      <c r="B4254" s="2">
        <v>42079.580999999998</v>
      </c>
      <c r="C4254" s="3" t="s">
        <v>5006</v>
      </c>
      <c r="D4254" t="s">
        <v>5013</v>
      </c>
      <c r="E4254" t="s">
        <v>5019</v>
      </c>
      <c r="F4254" t="s">
        <v>5019</v>
      </c>
      <c r="G4254" t="s">
        <v>5022</v>
      </c>
      <c r="H4254" s="5" t="s">
        <v>5022</v>
      </c>
      <c r="I4254" t="s">
        <v>5022</v>
      </c>
      <c r="J4254" t="b">
        <f>AND(CCData[[#This Row],[Date]]&gt;=Calculation!$E$3,CCData[[#This Row],[Date]]&lt;Calculation!$E$3+7)</f>
        <v>0</v>
      </c>
    </row>
    <row r="4255" spans="1:10">
      <c r="A4255" t="s">
        <v>4254</v>
      </c>
      <c r="B4255" s="2">
        <v>42079.580999999998</v>
      </c>
      <c r="C4255" s="3" t="s">
        <v>5010</v>
      </c>
      <c r="D4255" t="s">
        <v>5012</v>
      </c>
      <c r="E4255" t="s">
        <v>5018</v>
      </c>
      <c r="F4255" t="s">
        <v>5019</v>
      </c>
      <c r="G4255">
        <v>38</v>
      </c>
      <c r="H4255" s="5">
        <v>3.4175809043546597E-3</v>
      </c>
      <c r="I4255">
        <v>2</v>
      </c>
      <c r="J4255" t="b">
        <f>AND(CCData[[#This Row],[Date]]&gt;=Calculation!$E$3,CCData[[#This Row],[Date]]&lt;Calculation!$E$3+7)</f>
        <v>0</v>
      </c>
    </row>
    <row r="4256" spans="1:10">
      <c r="A4256" t="s">
        <v>4255</v>
      </c>
      <c r="B4256" s="2">
        <v>42079.59</v>
      </c>
      <c r="C4256" s="3" t="s">
        <v>5007</v>
      </c>
      <c r="D4256" t="s">
        <v>5012</v>
      </c>
      <c r="E4256" t="s">
        <v>5018</v>
      </c>
      <c r="F4256" t="s">
        <v>5018</v>
      </c>
      <c r="G4256">
        <v>19</v>
      </c>
      <c r="H4256" s="5">
        <v>1.5338540689676685E-3</v>
      </c>
      <c r="I4256">
        <v>4</v>
      </c>
      <c r="J4256" t="b">
        <f>AND(CCData[[#This Row],[Date]]&gt;=Calculation!$E$3,CCData[[#This Row],[Date]]&lt;Calculation!$E$3+7)</f>
        <v>0</v>
      </c>
    </row>
    <row r="4257" spans="1:10">
      <c r="A4257" t="s">
        <v>4256</v>
      </c>
      <c r="B4257" s="2">
        <v>42079.59</v>
      </c>
      <c r="C4257" s="3" t="s">
        <v>5008</v>
      </c>
      <c r="D4257" t="s">
        <v>5016</v>
      </c>
      <c r="E4257" t="s">
        <v>5018</v>
      </c>
      <c r="F4257" t="s">
        <v>5018</v>
      </c>
      <c r="G4257">
        <v>15</v>
      </c>
      <c r="H4257" s="5">
        <v>2.1153513843757544E-3</v>
      </c>
      <c r="I4257">
        <v>4</v>
      </c>
      <c r="J4257" t="b">
        <f>AND(CCData[[#This Row],[Date]]&gt;=Calculation!$E$3,CCData[[#This Row],[Date]]&lt;Calculation!$E$3+7)</f>
        <v>0</v>
      </c>
    </row>
    <row r="4258" spans="1:10">
      <c r="A4258" t="s">
        <v>4257</v>
      </c>
      <c r="B4258" s="2">
        <v>42079.593000000001</v>
      </c>
      <c r="C4258" s="3" t="s">
        <v>5004</v>
      </c>
      <c r="D4258" t="s">
        <v>5016</v>
      </c>
      <c r="E4258" t="s">
        <v>5018</v>
      </c>
      <c r="F4258" t="s">
        <v>5018</v>
      </c>
      <c r="G4258">
        <v>90</v>
      </c>
      <c r="H4258" s="5">
        <v>3.4190600692124108E-3</v>
      </c>
      <c r="I4258">
        <v>3</v>
      </c>
      <c r="J4258" t="b">
        <f>AND(CCData[[#This Row],[Date]]&gt;=Calculation!$E$3,CCData[[#This Row],[Date]]&lt;Calculation!$E$3+7)</f>
        <v>0</v>
      </c>
    </row>
    <row r="4259" spans="1:10">
      <c r="A4259" t="s">
        <v>4258</v>
      </c>
      <c r="B4259" s="2">
        <v>42079.593000000001</v>
      </c>
      <c r="C4259" s="3" t="s">
        <v>5005</v>
      </c>
      <c r="D4259" t="s">
        <v>5015</v>
      </c>
      <c r="E4259" t="s">
        <v>5018</v>
      </c>
      <c r="F4259" t="s">
        <v>5018</v>
      </c>
      <c r="G4259">
        <v>99</v>
      </c>
      <c r="H4259" s="5">
        <v>7.4642125831922597E-4</v>
      </c>
      <c r="I4259">
        <v>3</v>
      </c>
      <c r="J4259" t="b">
        <f>AND(CCData[[#This Row],[Date]]&gt;=Calculation!$E$3,CCData[[#This Row],[Date]]&lt;Calculation!$E$3+7)</f>
        <v>0</v>
      </c>
    </row>
    <row r="4260" spans="1:10">
      <c r="A4260" t="s">
        <v>4259</v>
      </c>
      <c r="B4260" s="2">
        <v>42079.593000000001</v>
      </c>
      <c r="C4260" s="3" t="s">
        <v>5004</v>
      </c>
      <c r="D4260" t="s">
        <v>5012</v>
      </c>
      <c r="E4260" t="s">
        <v>5018</v>
      </c>
      <c r="F4260" t="s">
        <v>5018</v>
      </c>
      <c r="G4260">
        <v>18</v>
      </c>
      <c r="H4260" s="5">
        <v>1.3454729439173888E-3</v>
      </c>
      <c r="I4260">
        <v>5</v>
      </c>
      <c r="J4260" t="b">
        <f>AND(CCData[[#This Row],[Date]]&gt;=Calculation!$E$3,CCData[[#This Row],[Date]]&lt;Calculation!$E$3+7)</f>
        <v>0</v>
      </c>
    </row>
    <row r="4261" spans="1:10">
      <c r="A4261" t="s">
        <v>4260</v>
      </c>
      <c r="B4261" s="2">
        <v>42079.593000000001</v>
      </c>
      <c r="C4261" s="3" t="s">
        <v>5007</v>
      </c>
      <c r="D4261" t="s">
        <v>5014</v>
      </c>
      <c r="E4261" t="s">
        <v>5018</v>
      </c>
      <c r="F4261" t="s">
        <v>5018</v>
      </c>
      <c r="G4261">
        <v>65</v>
      </c>
      <c r="H4261" s="5">
        <v>1.7955158817291265E-3</v>
      </c>
      <c r="I4261">
        <v>4</v>
      </c>
      <c r="J4261" t="b">
        <f>AND(CCData[[#This Row],[Date]]&gt;=Calculation!$E$3,CCData[[#This Row],[Date]]&lt;Calculation!$E$3+7)</f>
        <v>0</v>
      </c>
    </row>
    <row r="4262" spans="1:10">
      <c r="A4262" t="s">
        <v>4261</v>
      </c>
      <c r="B4262" s="2">
        <v>42079.601000000002</v>
      </c>
      <c r="C4262" s="3" t="s">
        <v>5009</v>
      </c>
      <c r="D4262" t="s">
        <v>5015</v>
      </c>
      <c r="E4262" t="s">
        <v>5018</v>
      </c>
      <c r="F4262" t="s">
        <v>5018</v>
      </c>
      <c r="G4262">
        <v>91</v>
      </c>
      <c r="H4262" s="5">
        <v>3.8988819510591354E-3</v>
      </c>
      <c r="I4262">
        <v>4</v>
      </c>
      <c r="J4262" t="b">
        <f>AND(CCData[[#This Row],[Date]]&gt;=Calculation!$E$3,CCData[[#This Row],[Date]]&lt;Calculation!$E$3+7)</f>
        <v>0</v>
      </c>
    </row>
    <row r="4263" spans="1:10">
      <c r="A4263" t="s">
        <v>4262</v>
      </c>
      <c r="B4263" s="2">
        <v>42079.601000000002</v>
      </c>
      <c r="C4263" s="3" t="s">
        <v>5007</v>
      </c>
      <c r="D4263" t="s">
        <v>5016</v>
      </c>
      <c r="E4263" t="s">
        <v>5018</v>
      </c>
      <c r="F4263" t="s">
        <v>5018</v>
      </c>
      <c r="G4263">
        <v>95</v>
      </c>
      <c r="H4263" s="5">
        <v>1.4348457603862034E-3</v>
      </c>
      <c r="I4263">
        <v>4</v>
      </c>
      <c r="J4263" t="b">
        <f>AND(CCData[[#This Row],[Date]]&gt;=Calculation!$E$3,CCData[[#This Row],[Date]]&lt;Calculation!$E$3+7)</f>
        <v>0</v>
      </c>
    </row>
    <row r="4264" spans="1:10">
      <c r="A4264" t="s">
        <v>4263</v>
      </c>
      <c r="B4264" s="2">
        <v>42079.607000000004</v>
      </c>
      <c r="C4264" s="3" t="s">
        <v>5007</v>
      </c>
      <c r="D4264" t="s">
        <v>5016</v>
      </c>
      <c r="E4264" t="s">
        <v>5018</v>
      </c>
      <c r="F4264" t="s">
        <v>5018</v>
      </c>
      <c r="G4264">
        <v>87</v>
      </c>
      <c r="H4264" s="5">
        <v>3.2817939250810286E-3</v>
      </c>
      <c r="I4264">
        <v>4</v>
      </c>
      <c r="J4264" t="b">
        <f>AND(CCData[[#This Row],[Date]]&gt;=Calculation!$E$3,CCData[[#This Row],[Date]]&lt;Calculation!$E$3+7)</f>
        <v>0</v>
      </c>
    </row>
    <row r="4265" spans="1:10">
      <c r="A4265" t="s">
        <v>4264</v>
      </c>
      <c r="B4265" s="2">
        <v>42079.607000000004</v>
      </c>
      <c r="C4265" s="3" t="s">
        <v>5010</v>
      </c>
      <c r="D4265" t="s">
        <v>5014</v>
      </c>
      <c r="E4265" t="s">
        <v>5018</v>
      </c>
      <c r="F4265" t="s">
        <v>5018</v>
      </c>
      <c r="G4265">
        <v>71</v>
      </c>
      <c r="H4265" s="5">
        <v>4.1815722536359817E-3</v>
      </c>
      <c r="I4265">
        <v>3</v>
      </c>
      <c r="J4265" t="b">
        <f>AND(CCData[[#This Row],[Date]]&gt;=Calculation!$E$3,CCData[[#This Row],[Date]]&lt;Calculation!$E$3+7)</f>
        <v>0</v>
      </c>
    </row>
    <row r="4266" spans="1:10">
      <c r="A4266" t="s">
        <v>4265</v>
      </c>
      <c r="B4266" s="2">
        <v>42079.64</v>
      </c>
      <c r="C4266" s="3" t="s">
        <v>5007</v>
      </c>
      <c r="D4266" t="s">
        <v>5015</v>
      </c>
      <c r="E4266" t="s">
        <v>5018</v>
      </c>
      <c r="F4266" t="s">
        <v>5018</v>
      </c>
      <c r="G4266">
        <v>74</v>
      </c>
      <c r="H4266" s="5">
        <v>2.1239474733183526E-3</v>
      </c>
      <c r="I4266">
        <v>5</v>
      </c>
      <c r="J4266" t="b">
        <f>AND(CCData[[#This Row],[Date]]&gt;=Calculation!$E$3,CCData[[#This Row],[Date]]&lt;Calculation!$E$3+7)</f>
        <v>0</v>
      </c>
    </row>
    <row r="4267" spans="1:10">
      <c r="A4267" t="s">
        <v>4266</v>
      </c>
      <c r="B4267" s="2">
        <v>42079.64</v>
      </c>
      <c r="C4267" s="3" t="s">
        <v>5007</v>
      </c>
      <c r="D4267" t="s">
        <v>5013</v>
      </c>
      <c r="E4267" t="s">
        <v>5018</v>
      </c>
      <c r="F4267" t="s">
        <v>5018</v>
      </c>
      <c r="G4267">
        <v>28</v>
      </c>
      <c r="H4267" s="5">
        <v>3.5266211238750025E-3</v>
      </c>
      <c r="I4267">
        <v>4</v>
      </c>
      <c r="J4267" t="b">
        <f>AND(CCData[[#This Row],[Date]]&gt;=Calculation!$E$3,CCData[[#This Row],[Date]]&lt;Calculation!$E$3+7)</f>
        <v>0</v>
      </c>
    </row>
    <row r="4268" spans="1:10">
      <c r="A4268" t="s">
        <v>4267</v>
      </c>
      <c r="B4268" s="2">
        <v>42079.652999999998</v>
      </c>
      <c r="C4268" s="3" t="s">
        <v>5008</v>
      </c>
      <c r="D4268" t="s">
        <v>5012</v>
      </c>
      <c r="E4268" t="s">
        <v>5018</v>
      </c>
      <c r="F4268" t="s">
        <v>5018</v>
      </c>
      <c r="G4268">
        <v>101</v>
      </c>
      <c r="H4268" s="5">
        <v>2.0071332933777205E-3</v>
      </c>
      <c r="I4268">
        <v>3</v>
      </c>
      <c r="J4268" t="b">
        <f>AND(CCData[[#This Row],[Date]]&gt;=Calculation!$E$3,CCData[[#This Row],[Date]]&lt;Calculation!$E$3+7)</f>
        <v>0</v>
      </c>
    </row>
    <row r="4269" spans="1:10">
      <c r="A4269" t="s">
        <v>4268</v>
      </c>
      <c r="B4269" s="2">
        <v>42079.652999999998</v>
      </c>
      <c r="C4269" s="3" t="s">
        <v>5009</v>
      </c>
      <c r="D4269" t="s">
        <v>5012</v>
      </c>
      <c r="E4269" t="s">
        <v>5019</v>
      </c>
      <c r="F4269" t="s">
        <v>5019</v>
      </c>
      <c r="G4269" t="s">
        <v>5022</v>
      </c>
      <c r="H4269" s="5" t="s">
        <v>5022</v>
      </c>
      <c r="I4269" t="s">
        <v>5022</v>
      </c>
      <c r="J4269" t="b">
        <f>AND(CCData[[#This Row],[Date]]&gt;=Calculation!$E$3,CCData[[#This Row],[Date]]&lt;Calculation!$E$3+7)</f>
        <v>0</v>
      </c>
    </row>
    <row r="4270" spans="1:10">
      <c r="A4270" t="s">
        <v>4269</v>
      </c>
      <c r="B4270" s="2">
        <v>42079.654999999999</v>
      </c>
      <c r="C4270" s="3" t="s">
        <v>5009</v>
      </c>
      <c r="D4270" t="s">
        <v>5014</v>
      </c>
      <c r="E4270" t="s">
        <v>5018</v>
      </c>
      <c r="F4270" t="s">
        <v>5018</v>
      </c>
      <c r="G4270">
        <v>90</v>
      </c>
      <c r="H4270" s="5">
        <v>3.3356707944241517E-3</v>
      </c>
      <c r="I4270">
        <v>3</v>
      </c>
      <c r="J4270" t="b">
        <f>AND(CCData[[#This Row],[Date]]&gt;=Calculation!$E$3,CCData[[#This Row],[Date]]&lt;Calculation!$E$3+7)</f>
        <v>0</v>
      </c>
    </row>
    <row r="4271" spans="1:10">
      <c r="A4271" t="s">
        <v>4270</v>
      </c>
      <c r="B4271" s="2">
        <v>42079.654999999999</v>
      </c>
      <c r="C4271" s="3" t="s">
        <v>5008</v>
      </c>
      <c r="D4271" t="s">
        <v>5012</v>
      </c>
      <c r="E4271" t="s">
        <v>5018</v>
      </c>
      <c r="F4271" t="s">
        <v>5018</v>
      </c>
      <c r="G4271">
        <v>76</v>
      </c>
      <c r="H4271" s="5">
        <v>3.4288111396165253E-3</v>
      </c>
      <c r="I4271">
        <v>5</v>
      </c>
      <c r="J4271" t="b">
        <f>AND(CCData[[#This Row],[Date]]&gt;=Calculation!$E$3,CCData[[#This Row],[Date]]&lt;Calculation!$E$3+7)</f>
        <v>0</v>
      </c>
    </row>
    <row r="4272" spans="1:10">
      <c r="A4272" t="s">
        <v>4271</v>
      </c>
      <c r="B4272" s="2">
        <v>42079.667000000001</v>
      </c>
      <c r="C4272" s="3" t="s">
        <v>5003</v>
      </c>
      <c r="D4272" t="s">
        <v>5014</v>
      </c>
      <c r="E4272" t="s">
        <v>5019</v>
      </c>
      <c r="F4272" t="s">
        <v>5019</v>
      </c>
      <c r="G4272" t="s">
        <v>5022</v>
      </c>
      <c r="H4272" s="5" t="s">
        <v>5022</v>
      </c>
      <c r="I4272" t="s">
        <v>5022</v>
      </c>
      <c r="J4272" t="b">
        <f>AND(CCData[[#This Row],[Date]]&gt;=Calculation!$E$3,CCData[[#This Row],[Date]]&lt;Calculation!$E$3+7)</f>
        <v>0</v>
      </c>
    </row>
    <row r="4273" spans="1:10">
      <c r="A4273" t="s">
        <v>4272</v>
      </c>
      <c r="B4273" s="2">
        <v>42079.667000000001</v>
      </c>
      <c r="C4273" s="3" t="s">
        <v>5008</v>
      </c>
      <c r="D4273" t="s">
        <v>5012</v>
      </c>
      <c r="E4273" t="s">
        <v>5018</v>
      </c>
      <c r="F4273" t="s">
        <v>5019</v>
      </c>
      <c r="G4273">
        <v>20</v>
      </c>
      <c r="H4273" s="5">
        <v>9.200111097171222E-4</v>
      </c>
      <c r="I4273">
        <v>5</v>
      </c>
      <c r="J4273" t="b">
        <f>AND(CCData[[#This Row],[Date]]&gt;=Calculation!$E$3,CCData[[#This Row],[Date]]&lt;Calculation!$E$3+7)</f>
        <v>0</v>
      </c>
    </row>
    <row r="4274" spans="1:10">
      <c r="A4274" t="s">
        <v>4273</v>
      </c>
      <c r="B4274" s="2">
        <v>42079.675999999999</v>
      </c>
      <c r="C4274" s="3" t="s">
        <v>5004</v>
      </c>
      <c r="D4274" t="s">
        <v>5012</v>
      </c>
      <c r="E4274" t="s">
        <v>5018</v>
      </c>
      <c r="F4274" t="s">
        <v>5019</v>
      </c>
      <c r="G4274">
        <v>26</v>
      </c>
      <c r="H4274" s="5">
        <v>4.3831414411514705E-3</v>
      </c>
      <c r="I4274">
        <v>3</v>
      </c>
      <c r="J4274" t="b">
        <f>AND(CCData[[#This Row],[Date]]&gt;=Calculation!$E$3,CCData[[#This Row],[Date]]&lt;Calculation!$E$3+7)</f>
        <v>0</v>
      </c>
    </row>
    <row r="4275" spans="1:10">
      <c r="A4275" t="s">
        <v>4274</v>
      </c>
      <c r="B4275" s="2">
        <v>42079.675999999999</v>
      </c>
      <c r="C4275" s="3" t="s">
        <v>5005</v>
      </c>
      <c r="D4275" t="s">
        <v>5012</v>
      </c>
      <c r="E4275" t="s">
        <v>5018</v>
      </c>
      <c r="F4275" t="s">
        <v>5018</v>
      </c>
      <c r="G4275">
        <v>53</v>
      </c>
      <c r="H4275" s="5">
        <v>8.3052997557552357E-4</v>
      </c>
      <c r="I4275">
        <v>3</v>
      </c>
      <c r="J4275" t="b">
        <f>AND(CCData[[#This Row],[Date]]&gt;=Calculation!$E$3,CCData[[#This Row],[Date]]&lt;Calculation!$E$3+7)</f>
        <v>0</v>
      </c>
    </row>
    <row r="4276" spans="1:10">
      <c r="A4276" t="s">
        <v>4275</v>
      </c>
      <c r="B4276" s="2">
        <v>42079.692000000003</v>
      </c>
      <c r="C4276" s="3" t="s">
        <v>5006</v>
      </c>
      <c r="D4276" t="s">
        <v>5012</v>
      </c>
      <c r="E4276" t="s">
        <v>5018</v>
      </c>
      <c r="F4276" t="s">
        <v>5018</v>
      </c>
      <c r="G4276">
        <v>26</v>
      </c>
      <c r="H4276" s="5">
        <v>2.0513371777860518E-3</v>
      </c>
      <c r="I4276">
        <v>4</v>
      </c>
      <c r="J4276" t="b">
        <f>AND(CCData[[#This Row],[Date]]&gt;=Calculation!$E$3,CCData[[#This Row],[Date]]&lt;Calculation!$E$3+7)</f>
        <v>0</v>
      </c>
    </row>
    <row r="4277" spans="1:10">
      <c r="A4277" t="s">
        <v>4276</v>
      </c>
      <c r="B4277" s="2">
        <v>42079.692000000003</v>
      </c>
      <c r="C4277" s="3" t="s">
        <v>5008</v>
      </c>
      <c r="D4277" t="s">
        <v>5014</v>
      </c>
      <c r="E4277" t="s">
        <v>5018</v>
      </c>
      <c r="F4277" t="s">
        <v>5018</v>
      </c>
      <c r="G4277">
        <v>66</v>
      </c>
      <c r="H4277" s="5">
        <v>2.5686873581938726E-3</v>
      </c>
      <c r="I4277">
        <v>3</v>
      </c>
      <c r="J4277" t="b">
        <f>AND(CCData[[#This Row],[Date]]&gt;=Calculation!$E$3,CCData[[#This Row],[Date]]&lt;Calculation!$E$3+7)</f>
        <v>0</v>
      </c>
    </row>
    <row r="4278" spans="1:10">
      <c r="A4278" t="s">
        <v>4277</v>
      </c>
      <c r="B4278" s="2">
        <v>42079.714999999997</v>
      </c>
      <c r="C4278" s="3" t="s">
        <v>5010</v>
      </c>
      <c r="D4278" t="s">
        <v>5014</v>
      </c>
      <c r="E4278" t="s">
        <v>5018</v>
      </c>
      <c r="F4278" t="s">
        <v>5019</v>
      </c>
      <c r="G4278">
        <v>105</v>
      </c>
      <c r="H4278" s="5">
        <v>3.8379677246501965E-3</v>
      </c>
      <c r="I4278">
        <v>4</v>
      </c>
      <c r="J4278" t="b">
        <f>AND(CCData[[#This Row],[Date]]&gt;=Calculation!$E$3,CCData[[#This Row],[Date]]&lt;Calculation!$E$3+7)</f>
        <v>0</v>
      </c>
    </row>
    <row r="4279" spans="1:10">
      <c r="A4279" t="s">
        <v>4278</v>
      </c>
      <c r="B4279" s="2">
        <v>42079.714999999997</v>
      </c>
      <c r="C4279" s="3" t="s">
        <v>5003</v>
      </c>
      <c r="D4279" t="s">
        <v>5015</v>
      </c>
      <c r="E4279" t="s">
        <v>5018</v>
      </c>
      <c r="F4279" t="s">
        <v>5018</v>
      </c>
      <c r="G4279">
        <v>111</v>
      </c>
      <c r="H4279" s="5">
        <v>8.5033590006800062E-4</v>
      </c>
      <c r="I4279">
        <v>3</v>
      </c>
      <c r="J4279" t="b">
        <f>AND(CCData[[#This Row],[Date]]&gt;=Calculation!$E$3,CCData[[#This Row],[Date]]&lt;Calculation!$E$3+7)</f>
        <v>0</v>
      </c>
    </row>
    <row r="4280" spans="1:10">
      <c r="A4280" t="s">
        <v>4279</v>
      </c>
      <c r="B4280" s="2">
        <v>42079.743000000002</v>
      </c>
      <c r="C4280" s="3" t="s">
        <v>5009</v>
      </c>
      <c r="D4280" t="s">
        <v>5012</v>
      </c>
      <c r="E4280" t="s">
        <v>5018</v>
      </c>
      <c r="F4280" t="s">
        <v>5018</v>
      </c>
      <c r="G4280">
        <v>26</v>
      </c>
      <c r="H4280" s="5">
        <v>4.5129653889928812E-3</v>
      </c>
      <c r="I4280">
        <v>1</v>
      </c>
      <c r="J4280" t="b">
        <f>AND(CCData[[#This Row],[Date]]&gt;=Calculation!$E$3,CCData[[#This Row],[Date]]&lt;Calculation!$E$3+7)</f>
        <v>0</v>
      </c>
    </row>
    <row r="4281" spans="1:10">
      <c r="A4281" t="s">
        <v>4280</v>
      </c>
      <c r="B4281" s="2">
        <v>42079.743000000002</v>
      </c>
      <c r="C4281" s="3" t="s">
        <v>5007</v>
      </c>
      <c r="D4281" t="s">
        <v>5012</v>
      </c>
      <c r="E4281" t="s">
        <v>5019</v>
      </c>
      <c r="F4281" t="s">
        <v>5019</v>
      </c>
      <c r="G4281" t="s">
        <v>5022</v>
      </c>
      <c r="H4281" s="5" t="s">
        <v>5022</v>
      </c>
      <c r="I4281" t="s">
        <v>5022</v>
      </c>
      <c r="J4281" t="b">
        <f>AND(CCData[[#This Row],[Date]]&gt;=Calculation!$E$3,CCData[[#This Row],[Date]]&lt;Calculation!$E$3+7)</f>
        <v>0</v>
      </c>
    </row>
    <row r="4282" spans="1:10">
      <c r="A4282" t="s">
        <v>4281</v>
      </c>
      <c r="B4282" s="2">
        <v>42080.379000000001</v>
      </c>
      <c r="C4282" s="3" t="s">
        <v>5005</v>
      </c>
      <c r="D4282" t="s">
        <v>5014</v>
      </c>
      <c r="E4282" t="s">
        <v>5018</v>
      </c>
      <c r="F4282" t="s">
        <v>5019</v>
      </c>
      <c r="G4282">
        <v>50</v>
      </c>
      <c r="H4282" s="5">
        <v>1.9951806598399553E-3</v>
      </c>
      <c r="I4282">
        <v>4</v>
      </c>
      <c r="J4282" t="b">
        <f>AND(CCData[[#This Row],[Date]]&gt;=Calculation!$E$3,CCData[[#This Row],[Date]]&lt;Calculation!$E$3+7)</f>
        <v>0</v>
      </c>
    </row>
    <row r="4283" spans="1:10">
      <c r="A4283" t="s">
        <v>4282</v>
      </c>
      <c r="B4283" s="2">
        <v>42080.379000000001</v>
      </c>
      <c r="C4283" s="3" t="s">
        <v>5010</v>
      </c>
      <c r="D4283" t="s">
        <v>5016</v>
      </c>
      <c r="E4283" t="s">
        <v>5018</v>
      </c>
      <c r="F4283" t="s">
        <v>5018</v>
      </c>
      <c r="G4283">
        <v>57</v>
      </c>
      <c r="H4283" s="5">
        <v>4.2412677104052198E-3</v>
      </c>
      <c r="I4283">
        <v>5</v>
      </c>
      <c r="J4283" t="b">
        <f>AND(CCData[[#This Row],[Date]]&gt;=Calculation!$E$3,CCData[[#This Row],[Date]]&lt;Calculation!$E$3+7)</f>
        <v>0</v>
      </c>
    </row>
    <row r="4284" spans="1:10">
      <c r="A4284" t="s">
        <v>4283</v>
      </c>
      <c r="B4284" s="2">
        <v>42080.404999999999</v>
      </c>
      <c r="C4284" s="3" t="s">
        <v>5007</v>
      </c>
      <c r="D4284" t="s">
        <v>5013</v>
      </c>
      <c r="E4284" t="s">
        <v>5018</v>
      </c>
      <c r="F4284" t="s">
        <v>5018</v>
      </c>
      <c r="G4284">
        <v>26</v>
      </c>
      <c r="H4284" s="5">
        <v>9.152634742374331E-4</v>
      </c>
      <c r="I4284">
        <v>5</v>
      </c>
      <c r="J4284" t="b">
        <f>AND(CCData[[#This Row],[Date]]&gt;=Calculation!$E$3,CCData[[#This Row],[Date]]&lt;Calculation!$E$3+7)</f>
        <v>0</v>
      </c>
    </row>
    <row r="4285" spans="1:10">
      <c r="A4285" t="s">
        <v>4284</v>
      </c>
      <c r="B4285" s="2">
        <v>42080.404999999999</v>
      </c>
      <c r="C4285" s="3" t="s">
        <v>5006</v>
      </c>
      <c r="D4285" t="s">
        <v>5015</v>
      </c>
      <c r="E4285" t="s">
        <v>5018</v>
      </c>
      <c r="F4285" t="s">
        <v>5018</v>
      </c>
      <c r="G4285">
        <v>104</v>
      </c>
      <c r="H4285" s="5">
        <v>4.8382921842167062E-3</v>
      </c>
      <c r="I4285">
        <v>1</v>
      </c>
      <c r="J4285" t="b">
        <f>AND(CCData[[#This Row],[Date]]&gt;=Calculation!$E$3,CCData[[#This Row],[Date]]&lt;Calculation!$E$3+7)</f>
        <v>0</v>
      </c>
    </row>
    <row r="4286" spans="1:10">
      <c r="A4286" t="s">
        <v>4285</v>
      </c>
      <c r="B4286" s="2">
        <v>42080.457999999999</v>
      </c>
      <c r="C4286" s="3" t="s">
        <v>5004</v>
      </c>
      <c r="D4286" t="s">
        <v>5013</v>
      </c>
      <c r="E4286" t="s">
        <v>5018</v>
      </c>
      <c r="F4286" t="s">
        <v>5018</v>
      </c>
      <c r="G4286">
        <v>93</v>
      </c>
      <c r="H4286" s="5">
        <v>3.7145012445803762E-3</v>
      </c>
      <c r="I4286">
        <v>1</v>
      </c>
      <c r="J4286" t="b">
        <f>AND(CCData[[#This Row],[Date]]&gt;=Calculation!$E$3,CCData[[#This Row],[Date]]&lt;Calculation!$E$3+7)</f>
        <v>0</v>
      </c>
    </row>
    <row r="4287" spans="1:10">
      <c r="A4287" t="s">
        <v>4286</v>
      </c>
      <c r="B4287" s="2">
        <v>42080.457999999999</v>
      </c>
      <c r="C4287" s="3" t="s">
        <v>5007</v>
      </c>
      <c r="D4287" t="s">
        <v>5013</v>
      </c>
      <c r="E4287" t="s">
        <v>5018</v>
      </c>
      <c r="F4287" t="s">
        <v>5018</v>
      </c>
      <c r="G4287">
        <v>108</v>
      </c>
      <c r="H4287" s="5">
        <v>1.4478057380283968E-3</v>
      </c>
      <c r="I4287">
        <v>3</v>
      </c>
      <c r="J4287" t="b">
        <f>AND(CCData[[#This Row],[Date]]&gt;=Calculation!$E$3,CCData[[#This Row],[Date]]&lt;Calculation!$E$3+7)</f>
        <v>0</v>
      </c>
    </row>
    <row r="4288" spans="1:10">
      <c r="A4288" t="s">
        <v>4287</v>
      </c>
      <c r="B4288" s="2">
        <v>42080.476000000002</v>
      </c>
      <c r="C4288" s="3" t="s">
        <v>5009</v>
      </c>
      <c r="D4288" t="s">
        <v>5016</v>
      </c>
      <c r="E4288" t="s">
        <v>5018</v>
      </c>
      <c r="F4288" t="s">
        <v>5018</v>
      </c>
      <c r="G4288">
        <v>42</v>
      </c>
      <c r="H4288" s="5">
        <v>1.6405112774653405E-3</v>
      </c>
      <c r="I4288">
        <v>5</v>
      </c>
      <c r="J4288" t="b">
        <f>AND(CCData[[#This Row],[Date]]&gt;=Calculation!$E$3,CCData[[#This Row],[Date]]&lt;Calculation!$E$3+7)</f>
        <v>0</v>
      </c>
    </row>
    <row r="4289" spans="1:10">
      <c r="A4289" t="s">
        <v>4288</v>
      </c>
      <c r="B4289" s="2">
        <v>42080.476000000002</v>
      </c>
      <c r="C4289" s="3" t="s">
        <v>5009</v>
      </c>
      <c r="D4289" t="s">
        <v>5013</v>
      </c>
      <c r="E4289" t="s">
        <v>5019</v>
      </c>
      <c r="F4289" t="s">
        <v>5019</v>
      </c>
      <c r="G4289" t="s">
        <v>5022</v>
      </c>
      <c r="H4289" s="5" t="s">
        <v>5022</v>
      </c>
      <c r="I4289" t="s">
        <v>5022</v>
      </c>
      <c r="J4289" t="b">
        <f>AND(CCData[[#This Row],[Date]]&gt;=Calculation!$E$3,CCData[[#This Row],[Date]]&lt;Calculation!$E$3+7)</f>
        <v>0</v>
      </c>
    </row>
    <row r="4290" spans="1:10">
      <c r="A4290" t="s">
        <v>4289</v>
      </c>
      <c r="B4290" s="2">
        <v>42080.489000000001</v>
      </c>
      <c r="C4290" s="3" t="s">
        <v>5007</v>
      </c>
      <c r="D4290" t="s">
        <v>5015</v>
      </c>
      <c r="E4290" t="s">
        <v>5018</v>
      </c>
      <c r="F4290" t="s">
        <v>5018</v>
      </c>
      <c r="G4290">
        <v>94</v>
      </c>
      <c r="H4290" s="5">
        <v>3.672118188658537E-3</v>
      </c>
      <c r="I4290">
        <v>5</v>
      </c>
      <c r="J4290" t="b">
        <f>AND(CCData[[#This Row],[Date]]&gt;=Calculation!$E$3,CCData[[#This Row],[Date]]&lt;Calculation!$E$3+7)</f>
        <v>0</v>
      </c>
    </row>
    <row r="4291" spans="1:10">
      <c r="A4291" t="s">
        <v>4290</v>
      </c>
      <c r="B4291" s="2">
        <v>42080.489000000001</v>
      </c>
      <c r="C4291" s="3" t="s">
        <v>5010</v>
      </c>
      <c r="D4291" t="s">
        <v>5012</v>
      </c>
      <c r="E4291" t="s">
        <v>5018</v>
      </c>
      <c r="F4291" t="s">
        <v>5018</v>
      </c>
      <c r="G4291">
        <v>74</v>
      </c>
      <c r="H4291" s="5">
        <v>2.1452786012301681E-3</v>
      </c>
      <c r="I4291">
        <v>3</v>
      </c>
      <c r="J4291" t="b">
        <f>AND(CCData[[#This Row],[Date]]&gt;=Calculation!$E$3,CCData[[#This Row],[Date]]&lt;Calculation!$E$3+7)</f>
        <v>0</v>
      </c>
    </row>
    <row r="4292" spans="1:10">
      <c r="A4292" t="s">
        <v>4291</v>
      </c>
      <c r="B4292" s="2">
        <v>42080.53</v>
      </c>
      <c r="C4292" s="3" t="s">
        <v>5003</v>
      </c>
      <c r="D4292" t="s">
        <v>5012</v>
      </c>
      <c r="E4292" t="s">
        <v>5018</v>
      </c>
      <c r="F4292" t="s">
        <v>5018</v>
      </c>
      <c r="G4292">
        <v>117</v>
      </c>
      <c r="H4292" s="5">
        <v>1.6308393346244397E-3</v>
      </c>
      <c r="I4292">
        <v>5</v>
      </c>
      <c r="J4292" t="b">
        <f>AND(CCData[[#This Row],[Date]]&gt;=Calculation!$E$3,CCData[[#This Row],[Date]]&lt;Calculation!$E$3+7)</f>
        <v>0</v>
      </c>
    </row>
    <row r="4293" spans="1:10">
      <c r="A4293" t="s">
        <v>4292</v>
      </c>
      <c r="B4293" s="2">
        <v>42080.53</v>
      </c>
      <c r="C4293" s="3" t="s">
        <v>5010</v>
      </c>
      <c r="D4293" t="s">
        <v>5015</v>
      </c>
      <c r="E4293" t="s">
        <v>5019</v>
      </c>
      <c r="F4293" t="s">
        <v>5019</v>
      </c>
      <c r="G4293" t="s">
        <v>5022</v>
      </c>
      <c r="H4293" s="5" t="s">
        <v>5022</v>
      </c>
      <c r="I4293" t="s">
        <v>5022</v>
      </c>
      <c r="J4293" t="b">
        <f>AND(CCData[[#This Row],[Date]]&gt;=Calculation!$E$3,CCData[[#This Row],[Date]]&lt;Calculation!$E$3+7)</f>
        <v>0</v>
      </c>
    </row>
    <row r="4294" spans="1:10">
      <c r="A4294" t="s">
        <v>4293</v>
      </c>
      <c r="B4294" s="2">
        <v>42080.542999999998</v>
      </c>
      <c r="C4294" s="3" t="s">
        <v>5009</v>
      </c>
      <c r="D4294" t="s">
        <v>5014</v>
      </c>
      <c r="E4294" t="s">
        <v>5018</v>
      </c>
      <c r="F4294" t="s">
        <v>5018</v>
      </c>
      <c r="G4294">
        <v>49</v>
      </c>
      <c r="H4294" s="5">
        <v>6.2822145773344174E-4</v>
      </c>
      <c r="I4294">
        <v>1</v>
      </c>
      <c r="J4294" t="b">
        <f>AND(CCData[[#This Row],[Date]]&gt;=Calculation!$E$3,CCData[[#This Row],[Date]]&lt;Calculation!$E$3+7)</f>
        <v>0</v>
      </c>
    </row>
    <row r="4295" spans="1:10">
      <c r="A4295" t="s">
        <v>4294</v>
      </c>
      <c r="B4295" s="2">
        <v>42080.542999999998</v>
      </c>
      <c r="C4295" s="3" t="s">
        <v>5003</v>
      </c>
      <c r="D4295" t="s">
        <v>5016</v>
      </c>
      <c r="E4295" t="s">
        <v>5018</v>
      </c>
      <c r="F4295" t="s">
        <v>5018</v>
      </c>
      <c r="G4295">
        <v>23</v>
      </c>
      <c r="H4295" s="5">
        <v>3.2353531726029704E-3</v>
      </c>
      <c r="I4295">
        <v>3</v>
      </c>
      <c r="J4295" t="b">
        <f>AND(CCData[[#This Row],[Date]]&gt;=Calculation!$E$3,CCData[[#This Row],[Date]]&lt;Calculation!$E$3+7)</f>
        <v>0</v>
      </c>
    </row>
    <row r="4296" spans="1:10">
      <c r="A4296" t="s">
        <v>4295</v>
      </c>
      <c r="B4296" s="2">
        <v>42080.559000000001</v>
      </c>
      <c r="C4296" s="3" t="s">
        <v>5008</v>
      </c>
      <c r="D4296" t="s">
        <v>5016</v>
      </c>
      <c r="E4296" t="s">
        <v>5019</v>
      </c>
      <c r="F4296" t="s">
        <v>5019</v>
      </c>
      <c r="G4296" t="s">
        <v>5022</v>
      </c>
      <c r="H4296" s="5" t="s">
        <v>5022</v>
      </c>
      <c r="I4296" t="s">
        <v>5022</v>
      </c>
      <c r="J4296" t="b">
        <f>AND(CCData[[#This Row],[Date]]&gt;=Calculation!$E$3,CCData[[#This Row],[Date]]&lt;Calculation!$E$3+7)</f>
        <v>0</v>
      </c>
    </row>
    <row r="4297" spans="1:10">
      <c r="A4297" t="s">
        <v>4296</v>
      </c>
      <c r="B4297" s="2">
        <v>42080.559000000001</v>
      </c>
      <c r="C4297" s="3" t="s">
        <v>5009</v>
      </c>
      <c r="D4297" t="s">
        <v>5016</v>
      </c>
      <c r="E4297" t="s">
        <v>5018</v>
      </c>
      <c r="F4297" t="s">
        <v>5018</v>
      </c>
      <c r="G4297">
        <v>84</v>
      </c>
      <c r="H4297" s="5">
        <v>1.5773244483548068E-3</v>
      </c>
      <c r="I4297">
        <v>5</v>
      </c>
      <c r="J4297" t="b">
        <f>AND(CCData[[#This Row],[Date]]&gt;=Calculation!$E$3,CCData[[#This Row],[Date]]&lt;Calculation!$E$3+7)</f>
        <v>0</v>
      </c>
    </row>
    <row r="4298" spans="1:10">
      <c r="A4298" t="s">
        <v>4297</v>
      </c>
      <c r="B4298" s="2">
        <v>42080.582000000002</v>
      </c>
      <c r="C4298" s="3" t="s">
        <v>5009</v>
      </c>
      <c r="D4298" t="s">
        <v>5014</v>
      </c>
      <c r="E4298" t="s">
        <v>5018</v>
      </c>
      <c r="F4298" t="s">
        <v>5018</v>
      </c>
      <c r="G4298">
        <v>69</v>
      </c>
      <c r="H4298" s="5">
        <v>9.1271872834795072E-4</v>
      </c>
      <c r="I4298">
        <v>1</v>
      </c>
      <c r="J4298" t="b">
        <f>AND(CCData[[#This Row],[Date]]&gt;=Calculation!$E$3,CCData[[#This Row],[Date]]&lt;Calculation!$E$3+7)</f>
        <v>0</v>
      </c>
    </row>
    <row r="4299" spans="1:10">
      <c r="A4299" t="s">
        <v>4298</v>
      </c>
      <c r="B4299" s="2">
        <v>42080.582000000002</v>
      </c>
      <c r="C4299" s="3" t="s">
        <v>5003</v>
      </c>
      <c r="D4299" t="s">
        <v>5013</v>
      </c>
      <c r="E4299" t="s">
        <v>5018</v>
      </c>
      <c r="F4299" t="s">
        <v>5018</v>
      </c>
      <c r="G4299">
        <v>25</v>
      </c>
      <c r="H4299" s="5">
        <v>3.2818138921972581E-3</v>
      </c>
      <c r="I4299">
        <v>3</v>
      </c>
      <c r="J4299" t="b">
        <f>AND(CCData[[#This Row],[Date]]&gt;=Calculation!$E$3,CCData[[#This Row],[Date]]&lt;Calculation!$E$3+7)</f>
        <v>0</v>
      </c>
    </row>
    <row r="4300" spans="1:10">
      <c r="A4300" t="s">
        <v>4299</v>
      </c>
      <c r="B4300" s="2">
        <v>42080.584000000003</v>
      </c>
      <c r="C4300" s="3" t="s">
        <v>5004</v>
      </c>
      <c r="D4300" t="s">
        <v>5014</v>
      </c>
      <c r="E4300" t="s">
        <v>5019</v>
      </c>
      <c r="F4300" t="s">
        <v>5019</v>
      </c>
      <c r="G4300" t="s">
        <v>5022</v>
      </c>
      <c r="H4300" s="5" t="s">
        <v>5022</v>
      </c>
      <c r="I4300" t="s">
        <v>5022</v>
      </c>
      <c r="J4300" t="b">
        <f>AND(CCData[[#This Row],[Date]]&gt;=Calculation!$E$3,CCData[[#This Row],[Date]]&lt;Calculation!$E$3+7)</f>
        <v>0</v>
      </c>
    </row>
    <row r="4301" spans="1:10">
      <c r="A4301" t="s">
        <v>4300</v>
      </c>
      <c r="B4301" s="2">
        <v>42080.584000000003</v>
      </c>
      <c r="C4301" s="3" t="s">
        <v>5009</v>
      </c>
      <c r="D4301" t="s">
        <v>5013</v>
      </c>
      <c r="E4301" t="s">
        <v>5019</v>
      </c>
      <c r="F4301" t="s">
        <v>5019</v>
      </c>
      <c r="G4301" t="s">
        <v>5022</v>
      </c>
      <c r="H4301" s="5" t="s">
        <v>5022</v>
      </c>
      <c r="I4301" t="s">
        <v>5022</v>
      </c>
      <c r="J4301" t="b">
        <f>AND(CCData[[#This Row],[Date]]&gt;=Calculation!$E$3,CCData[[#This Row],[Date]]&lt;Calculation!$E$3+7)</f>
        <v>0</v>
      </c>
    </row>
    <row r="4302" spans="1:10">
      <c r="A4302" t="s">
        <v>4301</v>
      </c>
      <c r="B4302" s="2">
        <v>42080.597000000002</v>
      </c>
      <c r="C4302" s="3" t="s">
        <v>5006</v>
      </c>
      <c r="D4302" t="s">
        <v>5014</v>
      </c>
      <c r="E4302" t="s">
        <v>5018</v>
      </c>
      <c r="F4302" t="s">
        <v>5018</v>
      </c>
      <c r="G4302">
        <v>34</v>
      </c>
      <c r="H4302" s="5">
        <v>3.1628730477357299E-3</v>
      </c>
      <c r="I4302">
        <v>4</v>
      </c>
      <c r="J4302" t="b">
        <f>AND(CCData[[#This Row],[Date]]&gt;=Calculation!$E$3,CCData[[#This Row],[Date]]&lt;Calculation!$E$3+7)</f>
        <v>0</v>
      </c>
    </row>
    <row r="4303" spans="1:10">
      <c r="A4303" t="s">
        <v>4302</v>
      </c>
      <c r="B4303" s="2">
        <v>42080.597000000002</v>
      </c>
      <c r="C4303" s="3" t="s">
        <v>5008</v>
      </c>
      <c r="D4303" t="s">
        <v>5016</v>
      </c>
      <c r="E4303" t="s">
        <v>5018</v>
      </c>
      <c r="F4303" t="s">
        <v>5019</v>
      </c>
      <c r="G4303">
        <v>45</v>
      </c>
      <c r="H4303" s="5">
        <v>2.6089995542000768E-3</v>
      </c>
      <c r="I4303">
        <v>1</v>
      </c>
      <c r="J4303" t="b">
        <f>AND(CCData[[#This Row],[Date]]&gt;=Calculation!$E$3,CCData[[#This Row],[Date]]&lt;Calculation!$E$3+7)</f>
        <v>0</v>
      </c>
    </row>
    <row r="4304" spans="1:10">
      <c r="A4304" t="s">
        <v>4303</v>
      </c>
      <c r="B4304" s="2">
        <v>42080.597999999998</v>
      </c>
      <c r="C4304" s="3" t="s">
        <v>5009</v>
      </c>
      <c r="D4304" t="s">
        <v>5016</v>
      </c>
      <c r="E4304" t="s">
        <v>5019</v>
      </c>
      <c r="F4304" t="s">
        <v>5019</v>
      </c>
      <c r="G4304" t="s">
        <v>5022</v>
      </c>
      <c r="H4304" s="5" t="s">
        <v>5022</v>
      </c>
      <c r="I4304" t="s">
        <v>5022</v>
      </c>
      <c r="J4304" t="b">
        <f>AND(CCData[[#This Row],[Date]]&gt;=Calculation!$E$3,CCData[[#This Row],[Date]]&lt;Calculation!$E$3+7)</f>
        <v>0</v>
      </c>
    </row>
    <row r="4305" spans="1:10">
      <c r="A4305" t="s">
        <v>4304</v>
      </c>
      <c r="B4305" s="2">
        <v>42080.597999999998</v>
      </c>
      <c r="C4305" s="3" t="s">
        <v>5010</v>
      </c>
      <c r="D4305" t="s">
        <v>5014</v>
      </c>
      <c r="E4305" t="s">
        <v>5018</v>
      </c>
      <c r="F4305" t="s">
        <v>5018</v>
      </c>
      <c r="G4305">
        <v>29</v>
      </c>
      <c r="H4305" s="5">
        <v>1.2726292891581678E-3</v>
      </c>
      <c r="I4305">
        <v>5</v>
      </c>
      <c r="J4305" t="b">
        <f>AND(CCData[[#This Row],[Date]]&gt;=Calculation!$E$3,CCData[[#This Row],[Date]]&lt;Calculation!$E$3+7)</f>
        <v>0</v>
      </c>
    </row>
    <row r="4306" spans="1:10">
      <c r="A4306" t="s">
        <v>4305</v>
      </c>
      <c r="B4306" s="2">
        <v>42080.637000000002</v>
      </c>
      <c r="C4306" s="3" t="s">
        <v>5007</v>
      </c>
      <c r="D4306" t="s">
        <v>5013</v>
      </c>
      <c r="E4306" t="s">
        <v>5018</v>
      </c>
      <c r="F4306" t="s">
        <v>5018</v>
      </c>
      <c r="G4306">
        <v>26</v>
      </c>
      <c r="H4306" s="5">
        <v>2.256818427370732E-3</v>
      </c>
      <c r="I4306">
        <v>4</v>
      </c>
      <c r="J4306" t="b">
        <f>AND(CCData[[#This Row],[Date]]&gt;=Calculation!$E$3,CCData[[#This Row],[Date]]&lt;Calculation!$E$3+7)</f>
        <v>0</v>
      </c>
    </row>
    <row r="4307" spans="1:10">
      <c r="A4307" t="s">
        <v>4306</v>
      </c>
      <c r="B4307" s="2">
        <v>42080.637000000002</v>
      </c>
      <c r="C4307" s="3" t="s">
        <v>5003</v>
      </c>
      <c r="D4307" t="s">
        <v>5016</v>
      </c>
      <c r="E4307" t="s">
        <v>5018</v>
      </c>
      <c r="F4307" t="s">
        <v>5018</v>
      </c>
      <c r="G4307">
        <v>115</v>
      </c>
      <c r="H4307" s="5">
        <v>3.1072930533185467E-3</v>
      </c>
      <c r="I4307">
        <v>4</v>
      </c>
      <c r="J4307" t="b">
        <f>AND(CCData[[#This Row],[Date]]&gt;=Calculation!$E$3,CCData[[#This Row],[Date]]&lt;Calculation!$E$3+7)</f>
        <v>0</v>
      </c>
    </row>
    <row r="4308" spans="1:10">
      <c r="A4308" t="s">
        <v>4307</v>
      </c>
      <c r="B4308" s="2">
        <v>42080.658000000003</v>
      </c>
      <c r="C4308" s="3" t="s">
        <v>5009</v>
      </c>
      <c r="D4308" t="s">
        <v>5014</v>
      </c>
      <c r="E4308" t="s">
        <v>5018</v>
      </c>
      <c r="F4308" t="s">
        <v>5018</v>
      </c>
      <c r="G4308">
        <v>78</v>
      </c>
      <c r="H4308" s="5">
        <v>2.8715833890279514E-3</v>
      </c>
      <c r="I4308">
        <v>3</v>
      </c>
      <c r="J4308" t="b">
        <f>AND(CCData[[#This Row],[Date]]&gt;=Calculation!$E$3,CCData[[#This Row],[Date]]&lt;Calculation!$E$3+7)</f>
        <v>0</v>
      </c>
    </row>
    <row r="4309" spans="1:10">
      <c r="A4309" t="s">
        <v>4308</v>
      </c>
      <c r="B4309" s="2">
        <v>42080.658000000003</v>
      </c>
      <c r="C4309" s="3" t="s">
        <v>5007</v>
      </c>
      <c r="D4309" t="s">
        <v>5016</v>
      </c>
      <c r="E4309" t="s">
        <v>5018</v>
      </c>
      <c r="F4309" t="s">
        <v>5019</v>
      </c>
      <c r="G4309">
        <v>41</v>
      </c>
      <c r="H4309" s="5">
        <v>2.9074144463746765E-3</v>
      </c>
      <c r="I4309">
        <v>3</v>
      </c>
      <c r="J4309" t="b">
        <f>AND(CCData[[#This Row],[Date]]&gt;=Calculation!$E$3,CCData[[#This Row],[Date]]&lt;Calculation!$E$3+7)</f>
        <v>0</v>
      </c>
    </row>
    <row r="4310" spans="1:10">
      <c r="A4310" t="s">
        <v>4309</v>
      </c>
      <c r="B4310" s="2">
        <v>42080.680999999997</v>
      </c>
      <c r="C4310" s="3" t="s">
        <v>5003</v>
      </c>
      <c r="D4310" t="s">
        <v>5012</v>
      </c>
      <c r="E4310" t="s">
        <v>5018</v>
      </c>
      <c r="F4310" t="s">
        <v>5018</v>
      </c>
      <c r="G4310">
        <v>21</v>
      </c>
      <c r="H4310" s="5">
        <v>1.6877295131384673E-3</v>
      </c>
      <c r="I4310">
        <v>5</v>
      </c>
      <c r="J4310" t="b">
        <f>AND(CCData[[#This Row],[Date]]&gt;=Calculation!$E$3,CCData[[#This Row],[Date]]&lt;Calculation!$E$3+7)</f>
        <v>0</v>
      </c>
    </row>
    <row r="4311" spans="1:10">
      <c r="A4311" t="s">
        <v>4310</v>
      </c>
      <c r="B4311" s="2">
        <v>42080.680999999997</v>
      </c>
      <c r="C4311" s="3" t="s">
        <v>5010</v>
      </c>
      <c r="D4311" t="s">
        <v>5016</v>
      </c>
      <c r="E4311" t="s">
        <v>5019</v>
      </c>
      <c r="F4311" t="s">
        <v>5019</v>
      </c>
      <c r="G4311" t="s">
        <v>5022</v>
      </c>
      <c r="H4311" s="5" t="s">
        <v>5022</v>
      </c>
      <c r="I4311" t="s">
        <v>5022</v>
      </c>
      <c r="J4311" t="b">
        <f>AND(CCData[[#This Row],[Date]]&gt;=Calculation!$E$3,CCData[[#This Row],[Date]]&lt;Calculation!$E$3+7)</f>
        <v>0</v>
      </c>
    </row>
    <row r="4312" spans="1:10">
      <c r="A4312" t="s">
        <v>4311</v>
      </c>
      <c r="B4312" s="2">
        <v>42080.682000000001</v>
      </c>
      <c r="C4312" s="3" t="s">
        <v>5009</v>
      </c>
      <c r="D4312" t="s">
        <v>5016</v>
      </c>
      <c r="E4312" t="s">
        <v>5018</v>
      </c>
      <c r="F4312" t="s">
        <v>5018</v>
      </c>
      <c r="G4312">
        <v>47</v>
      </c>
      <c r="H4312" s="5">
        <v>3.1254098564631231E-3</v>
      </c>
      <c r="I4312">
        <v>5</v>
      </c>
      <c r="J4312" t="b">
        <f>AND(CCData[[#This Row],[Date]]&gt;=Calculation!$E$3,CCData[[#This Row],[Date]]&lt;Calculation!$E$3+7)</f>
        <v>0</v>
      </c>
    </row>
    <row r="4313" spans="1:10">
      <c r="A4313" t="s">
        <v>4312</v>
      </c>
      <c r="B4313" s="2">
        <v>42080.682000000001</v>
      </c>
      <c r="C4313" s="3" t="s">
        <v>5007</v>
      </c>
      <c r="D4313" t="s">
        <v>5014</v>
      </c>
      <c r="E4313" t="s">
        <v>5018</v>
      </c>
      <c r="F4313" t="s">
        <v>5019</v>
      </c>
      <c r="G4313">
        <v>98</v>
      </c>
      <c r="H4313" s="5">
        <v>4.1574766241280836E-3</v>
      </c>
      <c r="I4313">
        <v>2</v>
      </c>
      <c r="J4313" t="b">
        <f>AND(CCData[[#This Row],[Date]]&gt;=Calculation!$E$3,CCData[[#This Row],[Date]]&lt;Calculation!$E$3+7)</f>
        <v>0</v>
      </c>
    </row>
    <row r="4314" spans="1:10">
      <c r="A4314" t="s">
        <v>4313</v>
      </c>
      <c r="B4314" s="2">
        <v>42080.696000000004</v>
      </c>
      <c r="C4314" s="3" t="s">
        <v>5008</v>
      </c>
      <c r="D4314" t="s">
        <v>5012</v>
      </c>
      <c r="E4314" t="s">
        <v>5019</v>
      </c>
      <c r="F4314" t="s">
        <v>5019</v>
      </c>
      <c r="G4314" t="s">
        <v>5022</v>
      </c>
      <c r="H4314" s="5" t="s">
        <v>5022</v>
      </c>
      <c r="I4314" t="s">
        <v>5022</v>
      </c>
      <c r="J4314" t="b">
        <f>AND(CCData[[#This Row],[Date]]&gt;=Calculation!$E$3,CCData[[#This Row],[Date]]&lt;Calculation!$E$3+7)</f>
        <v>0</v>
      </c>
    </row>
    <row r="4315" spans="1:10">
      <c r="A4315" t="s">
        <v>4314</v>
      </c>
      <c r="B4315" s="2">
        <v>42080.696000000004</v>
      </c>
      <c r="C4315" s="3" t="s">
        <v>5009</v>
      </c>
      <c r="D4315" t="s">
        <v>5014</v>
      </c>
      <c r="E4315" t="s">
        <v>5018</v>
      </c>
      <c r="F4315" t="s">
        <v>5018</v>
      </c>
      <c r="G4315">
        <v>51</v>
      </c>
      <c r="H4315" s="5">
        <v>3.1703497194343557E-3</v>
      </c>
      <c r="I4315">
        <v>4</v>
      </c>
      <c r="J4315" t="b">
        <f>AND(CCData[[#This Row],[Date]]&gt;=Calculation!$E$3,CCData[[#This Row],[Date]]&lt;Calculation!$E$3+7)</f>
        <v>0</v>
      </c>
    </row>
    <row r="4316" spans="1:10">
      <c r="A4316" t="s">
        <v>4315</v>
      </c>
      <c r="B4316" s="2">
        <v>42080.699000000001</v>
      </c>
      <c r="C4316" s="3" t="s">
        <v>5004</v>
      </c>
      <c r="D4316" t="s">
        <v>5016</v>
      </c>
      <c r="E4316" t="s">
        <v>5018</v>
      </c>
      <c r="F4316" t="s">
        <v>5018</v>
      </c>
      <c r="G4316">
        <v>70</v>
      </c>
      <c r="H4316" s="5">
        <v>3.8725577078172536E-3</v>
      </c>
      <c r="I4316">
        <v>4</v>
      </c>
      <c r="J4316" t="b">
        <f>AND(CCData[[#This Row],[Date]]&gt;=Calculation!$E$3,CCData[[#This Row],[Date]]&lt;Calculation!$E$3+7)</f>
        <v>0</v>
      </c>
    </row>
    <row r="4317" spans="1:10">
      <c r="A4317" t="s">
        <v>4316</v>
      </c>
      <c r="B4317" s="2">
        <v>42080.699000000001</v>
      </c>
      <c r="C4317" s="3" t="s">
        <v>5003</v>
      </c>
      <c r="D4317" t="s">
        <v>5012</v>
      </c>
      <c r="E4317" t="s">
        <v>5018</v>
      </c>
      <c r="F4317" t="s">
        <v>5018</v>
      </c>
      <c r="G4317">
        <v>58</v>
      </c>
      <c r="H4317" s="5">
        <v>4.4031763860800559E-3</v>
      </c>
      <c r="I4317">
        <v>2</v>
      </c>
      <c r="J4317" t="b">
        <f>AND(CCData[[#This Row],[Date]]&gt;=Calculation!$E$3,CCData[[#This Row],[Date]]&lt;Calculation!$E$3+7)</f>
        <v>0</v>
      </c>
    </row>
    <row r="4318" spans="1:10">
      <c r="A4318" t="s">
        <v>4317</v>
      </c>
      <c r="B4318" s="2">
        <v>42080.703000000001</v>
      </c>
      <c r="C4318" s="3" t="s">
        <v>5007</v>
      </c>
      <c r="D4318" t="s">
        <v>5013</v>
      </c>
      <c r="E4318" t="s">
        <v>5019</v>
      </c>
      <c r="F4318" t="s">
        <v>5019</v>
      </c>
      <c r="G4318" t="s">
        <v>5022</v>
      </c>
      <c r="H4318" s="5" t="s">
        <v>5022</v>
      </c>
      <c r="I4318" t="s">
        <v>5022</v>
      </c>
      <c r="J4318" t="b">
        <f>AND(CCData[[#This Row],[Date]]&gt;=Calculation!$E$3,CCData[[#This Row],[Date]]&lt;Calculation!$E$3+7)</f>
        <v>0</v>
      </c>
    </row>
    <row r="4319" spans="1:10">
      <c r="A4319" t="s">
        <v>4318</v>
      </c>
      <c r="B4319" s="2">
        <v>42080.703000000001</v>
      </c>
      <c r="C4319" s="3" t="s">
        <v>5006</v>
      </c>
      <c r="D4319" t="s">
        <v>5015</v>
      </c>
      <c r="E4319" t="s">
        <v>5019</v>
      </c>
      <c r="F4319" t="s">
        <v>5019</v>
      </c>
      <c r="G4319" t="s">
        <v>5022</v>
      </c>
      <c r="H4319" s="5" t="s">
        <v>5022</v>
      </c>
      <c r="I4319" t="s">
        <v>5022</v>
      </c>
      <c r="J4319" t="b">
        <f>AND(CCData[[#This Row],[Date]]&gt;=Calculation!$E$3,CCData[[#This Row],[Date]]&lt;Calculation!$E$3+7)</f>
        <v>0</v>
      </c>
    </row>
    <row r="4320" spans="1:10">
      <c r="A4320" t="s">
        <v>4319</v>
      </c>
      <c r="B4320" s="2">
        <v>42080.716999999997</v>
      </c>
      <c r="C4320" s="3" t="s">
        <v>5006</v>
      </c>
      <c r="D4320" t="s">
        <v>5016</v>
      </c>
      <c r="E4320" t="s">
        <v>5018</v>
      </c>
      <c r="F4320" t="s">
        <v>5018</v>
      </c>
      <c r="G4320">
        <v>39</v>
      </c>
      <c r="H4320" s="5">
        <v>2.7129494505850251E-3</v>
      </c>
      <c r="I4320">
        <v>5</v>
      </c>
      <c r="J4320" t="b">
        <f>AND(CCData[[#This Row],[Date]]&gt;=Calculation!$E$3,CCData[[#This Row],[Date]]&lt;Calculation!$E$3+7)</f>
        <v>0</v>
      </c>
    </row>
    <row r="4321" spans="1:10">
      <c r="A4321" t="s">
        <v>4320</v>
      </c>
      <c r="B4321" s="2">
        <v>42080.716999999997</v>
      </c>
      <c r="C4321" s="3" t="s">
        <v>5008</v>
      </c>
      <c r="D4321" t="s">
        <v>5014</v>
      </c>
      <c r="E4321" t="s">
        <v>5018</v>
      </c>
      <c r="F4321" t="s">
        <v>5018</v>
      </c>
      <c r="G4321">
        <v>55</v>
      </c>
      <c r="H4321" s="5">
        <v>2.3778589038335211E-3</v>
      </c>
      <c r="I4321">
        <v>1</v>
      </c>
      <c r="J4321" t="b">
        <f>AND(CCData[[#This Row],[Date]]&gt;=Calculation!$E$3,CCData[[#This Row],[Date]]&lt;Calculation!$E$3+7)</f>
        <v>0</v>
      </c>
    </row>
    <row r="4322" spans="1:10">
      <c r="A4322" t="s">
        <v>4321</v>
      </c>
      <c r="B4322" s="2">
        <v>42080.718000000001</v>
      </c>
      <c r="C4322" s="3" t="s">
        <v>5003</v>
      </c>
      <c r="D4322" t="s">
        <v>5012</v>
      </c>
      <c r="E4322" t="s">
        <v>5018</v>
      </c>
      <c r="F4322" t="s">
        <v>5018</v>
      </c>
      <c r="G4322">
        <v>80</v>
      </c>
      <c r="H4322" s="5">
        <v>2.1464734143844862E-3</v>
      </c>
      <c r="I4322">
        <v>3</v>
      </c>
      <c r="J4322" t="b">
        <f>AND(CCData[[#This Row],[Date]]&gt;=Calculation!$E$3,CCData[[#This Row],[Date]]&lt;Calculation!$E$3+7)</f>
        <v>0</v>
      </c>
    </row>
    <row r="4323" spans="1:10">
      <c r="A4323" t="s">
        <v>4322</v>
      </c>
      <c r="B4323" s="2">
        <v>42080.718000000001</v>
      </c>
      <c r="C4323" s="3" t="s">
        <v>5010</v>
      </c>
      <c r="D4323" t="s">
        <v>5014</v>
      </c>
      <c r="E4323" t="s">
        <v>5018</v>
      </c>
      <c r="F4323" t="s">
        <v>5018</v>
      </c>
      <c r="G4323">
        <v>68</v>
      </c>
      <c r="H4323" s="5">
        <v>2.422532671244862E-3</v>
      </c>
      <c r="I4323">
        <v>4</v>
      </c>
      <c r="J4323" t="b">
        <f>AND(CCData[[#This Row],[Date]]&gt;=Calculation!$E$3,CCData[[#This Row],[Date]]&lt;Calculation!$E$3+7)</f>
        <v>0</v>
      </c>
    </row>
    <row r="4324" spans="1:10">
      <c r="A4324" t="s">
        <v>4323</v>
      </c>
      <c r="B4324" s="2">
        <v>42080.724999999999</v>
      </c>
      <c r="C4324" s="3" t="s">
        <v>5003</v>
      </c>
      <c r="D4324" t="s">
        <v>5013</v>
      </c>
      <c r="E4324" t="s">
        <v>5018</v>
      </c>
      <c r="F4324" t="s">
        <v>5018</v>
      </c>
      <c r="G4324">
        <v>96</v>
      </c>
      <c r="H4324" s="5">
        <v>1.5473955859030175E-3</v>
      </c>
      <c r="I4324">
        <v>3</v>
      </c>
      <c r="J4324" t="b">
        <f>AND(CCData[[#This Row],[Date]]&gt;=Calculation!$E$3,CCData[[#This Row],[Date]]&lt;Calculation!$E$3+7)</f>
        <v>0</v>
      </c>
    </row>
    <row r="4325" spans="1:10">
      <c r="A4325" t="s">
        <v>4324</v>
      </c>
      <c r="B4325" s="2">
        <v>42080.724999999999</v>
      </c>
      <c r="C4325" s="3" t="s">
        <v>5006</v>
      </c>
      <c r="D4325" t="s">
        <v>5014</v>
      </c>
      <c r="E4325" t="s">
        <v>5018</v>
      </c>
      <c r="F4325" t="s">
        <v>5018</v>
      </c>
      <c r="G4325">
        <v>32</v>
      </c>
      <c r="H4325" s="5">
        <v>2.6428720898605076E-3</v>
      </c>
      <c r="I4325">
        <v>3</v>
      </c>
      <c r="J4325" t="b">
        <f>AND(CCData[[#This Row],[Date]]&gt;=Calculation!$E$3,CCData[[#This Row],[Date]]&lt;Calculation!$E$3+7)</f>
        <v>0</v>
      </c>
    </row>
    <row r="4326" spans="1:10">
      <c r="A4326" t="s">
        <v>4325</v>
      </c>
      <c r="B4326" s="2">
        <v>42080.726999999999</v>
      </c>
      <c r="C4326" s="3" t="s">
        <v>5005</v>
      </c>
      <c r="D4326" t="s">
        <v>5015</v>
      </c>
      <c r="E4326" t="s">
        <v>5019</v>
      </c>
      <c r="F4326" t="s">
        <v>5019</v>
      </c>
      <c r="G4326" t="s">
        <v>5022</v>
      </c>
      <c r="H4326" s="5" t="s">
        <v>5022</v>
      </c>
      <c r="I4326" t="s">
        <v>5022</v>
      </c>
      <c r="J4326" t="b">
        <f>AND(CCData[[#This Row],[Date]]&gt;=Calculation!$E$3,CCData[[#This Row],[Date]]&lt;Calculation!$E$3+7)</f>
        <v>0</v>
      </c>
    </row>
    <row r="4327" spans="1:10">
      <c r="A4327" t="s">
        <v>4326</v>
      </c>
      <c r="B4327" s="2">
        <v>42080.726999999999</v>
      </c>
      <c r="C4327" s="3" t="s">
        <v>5003</v>
      </c>
      <c r="D4327" t="s">
        <v>5016</v>
      </c>
      <c r="E4327" t="s">
        <v>5018</v>
      </c>
      <c r="F4327" t="s">
        <v>5018</v>
      </c>
      <c r="G4327">
        <v>90</v>
      </c>
      <c r="H4327" s="5">
        <v>1.3135965164628937E-3</v>
      </c>
      <c r="I4327">
        <v>3</v>
      </c>
      <c r="J4327" t="b">
        <f>AND(CCData[[#This Row],[Date]]&gt;=Calculation!$E$3,CCData[[#This Row],[Date]]&lt;Calculation!$E$3+7)</f>
        <v>0</v>
      </c>
    </row>
    <row r="4328" spans="1:10">
      <c r="A4328" t="s">
        <v>4327</v>
      </c>
      <c r="B4328" s="2">
        <v>42080.741999999998</v>
      </c>
      <c r="C4328" s="3" t="s">
        <v>5010</v>
      </c>
      <c r="D4328" t="s">
        <v>5016</v>
      </c>
      <c r="E4328" t="s">
        <v>5018</v>
      </c>
      <c r="F4328" t="s">
        <v>5018</v>
      </c>
      <c r="G4328">
        <v>108</v>
      </c>
      <c r="H4328" s="5">
        <v>2.2608857168373159E-3</v>
      </c>
      <c r="I4328">
        <v>4</v>
      </c>
      <c r="J4328" t="b">
        <f>AND(CCData[[#This Row],[Date]]&gt;=Calculation!$E$3,CCData[[#This Row],[Date]]&lt;Calculation!$E$3+7)</f>
        <v>0</v>
      </c>
    </row>
    <row r="4329" spans="1:10">
      <c r="A4329" t="s">
        <v>4328</v>
      </c>
      <c r="B4329" s="2">
        <v>42080.741999999998</v>
      </c>
      <c r="C4329" s="3" t="s">
        <v>5005</v>
      </c>
      <c r="D4329" t="s">
        <v>5013</v>
      </c>
      <c r="E4329" t="s">
        <v>5018</v>
      </c>
      <c r="F4329" t="s">
        <v>5019</v>
      </c>
      <c r="G4329">
        <v>120</v>
      </c>
      <c r="H4329" s="5">
        <v>3.8703368893193068E-3</v>
      </c>
      <c r="I4329">
        <v>4</v>
      </c>
      <c r="J4329" t="b">
        <f>AND(CCData[[#This Row],[Date]]&gt;=Calculation!$E$3,CCData[[#This Row],[Date]]&lt;Calculation!$E$3+7)</f>
        <v>0</v>
      </c>
    </row>
    <row r="4330" spans="1:10">
      <c r="A4330" t="s">
        <v>4329</v>
      </c>
      <c r="B4330" s="2">
        <v>42080.75</v>
      </c>
      <c r="C4330" s="3" t="s">
        <v>5010</v>
      </c>
      <c r="D4330" t="s">
        <v>5012</v>
      </c>
      <c r="E4330" t="s">
        <v>5018</v>
      </c>
      <c r="F4330" t="s">
        <v>5018</v>
      </c>
      <c r="G4330">
        <v>21</v>
      </c>
      <c r="H4330" s="5">
        <v>3.2323996464575576E-3</v>
      </c>
      <c r="I4330">
        <v>5</v>
      </c>
      <c r="J4330" t="b">
        <f>AND(CCData[[#This Row],[Date]]&gt;=Calculation!$E$3,CCData[[#This Row],[Date]]&lt;Calculation!$E$3+7)</f>
        <v>0</v>
      </c>
    </row>
    <row r="4331" spans="1:10">
      <c r="A4331" t="s">
        <v>4330</v>
      </c>
      <c r="B4331" s="2">
        <v>42080.75</v>
      </c>
      <c r="C4331" s="3" t="s">
        <v>5006</v>
      </c>
      <c r="D4331" t="s">
        <v>5012</v>
      </c>
      <c r="E4331" t="s">
        <v>5019</v>
      </c>
      <c r="F4331" t="s">
        <v>5019</v>
      </c>
      <c r="G4331" t="s">
        <v>5022</v>
      </c>
      <c r="H4331" s="5" t="s">
        <v>5022</v>
      </c>
      <c r="I4331" t="s">
        <v>5022</v>
      </c>
      <c r="J4331" t="b">
        <f>AND(CCData[[#This Row],[Date]]&gt;=Calculation!$E$3,CCData[[#This Row],[Date]]&lt;Calculation!$E$3+7)</f>
        <v>0</v>
      </c>
    </row>
    <row r="4332" spans="1:10">
      <c r="A4332" t="s">
        <v>4331</v>
      </c>
      <c r="B4332" s="2">
        <v>42081.385000000002</v>
      </c>
      <c r="C4332" s="3" t="s">
        <v>5009</v>
      </c>
      <c r="D4332" t="s">
        <v>5014</v>
      </c>
      <c r="E4332" t="s">
        <v>5018</v>
      </c>
      <c r="F4332" t="s">
        <v>5019</v>
      </c>
      <c r="G4332">
        <v>59</v>
      </c>
      <c r="H4332" s="5">
        <v>1.9298343362140306E-3</v>
      </c>
      <c r="I4332">
        <v>4</v>
      </c>
      <c r="J4332" t="b">
        <f>AND(CCData[[#This Row],[Date]]&gt;=Calculation!$E$3,CCData[[#This Row],[Date]]&lt;Calculation!$E$3+7)</f>
        <v>0</v>
      </c>
    </row>
    <row r="4333" spans="1:10">
      <c r="A4333" t="s">
        <v>4332</v>
      </c>
      <c r="B4333" s="2">
        <v>42081.385000000002</v>
      </c>
      <c r="C4333" s="3" t="s">
        <v>5005</v>
      </c>
      <c r="D4333" t="s">
        <v>5015</v>
      </c>
      <c r="E4333" t="s">
        <v>5018</v>
      </c>
      <c r="F4333" t="s">
        <v>5018</v>
      </c>
      <c r="G4333">
        <v>14</v>
      </c>
      <c r="H4333" s="5">
        <v>3.7219334631163272E-3</v>
      </c>
      <c r="I4333">
        <v>3</v>
      </c>
      <c r="J4333" t="b">
        <f>AND(CCData[[#This Row],[Date]]&gt;=Calculation!$E$3,CCData[[#This Row],[Date]]&lt;Calculation!$E$3+7)</f>
        <v>0</v>
      </c>
    </row>
    <row r="4334" spans="1:10">
      <c r="A4334" t="s">
        <v>4333</v>
      </c>
      <c r="B4334" s="2">
        <v>42081.39</v>
      </c>
      <c r="C4334" s="3" t="s">
        <v>5008</v>
      </c>
      <c r="D4334" t="s">
        <v>5012</v>
      </c>
      <c r="E4334" t="s">
        <v>5019</v>
      </c>
      <c r="F4334" t="s">
        <v>5019</v>
      </c>
      <c r="G4334" t="s">
        <v>5022</v>
      </c>
      <c r="H4334" s="5" t="s">
        <v>5022</v>
      </c>
      <c r="I4334" t="s">
        <v>5022</v>
      </c>
      <c r="J4334" t="b">
        <f>AND(CCData[[#This Row],[Date]]&gt;=Calculation!$E$3,CCData[[#This Row],[Date]]&lt;Calculation!$E$3+7)</f>
        <v>0</v>
      </c>
    </row>
    <row r="4335" spans="1:10">
      <c r="A4335" t="s">
        <v>4334</v>
      </c>
      <c r="B4335" s="2">
        <v>42081.39</v>
      </c>
      <c r="C4335" s="3" t="s">
        <v>5005</v>
      </c>
      <c r="D4335" t="s">
        <v>5016</v>
      </c>
      <c r="E4335" t="s">
        <v>5018</v>
      </c>
      <c r="F4335" t="s">
        <v>5018</v>
      </c>
      <c r="G4335">
        <v>57</v>
      </c>
      <c r="H4335" s="5">
        <v>5.1381214423715563E-4</v>
      </c>
      <c r="I4335">
        <v>3</v>
      </c>
      <c r="J4335" t="b">
        <f>AND(CCData[[#This Row],[Date]]&gt;=Calculation!$E$3,CCData[[#This Row],[Date]]&lt;Calculation!$E$3+7)</f>
        <v>0</v>
      </c>
    </row>
    <row r="4336" spans="1:10">
      <c r="A4336" t="s">
        <v>4335</v>
      </c>
      <c r="B4336" s="2">
        <v>42081.438999999998</v>
      </c>
      <c r="C4336" s="3" t="s">
        <v>5010</v>
      </c>
      <c r="D4336" t="s">
        <v>5016</v>
      </c>
      <c r="E4336" t="s">
        <v>5018</v>
      </c>
      <c r="F4336" t="s">
        <v>5018</v>
      </c>
      <c r="G4336">
        <v>123</v>
      </c>
      <c r="H4336" s="5">
        <v>2.8194587296101973E-3</v>
      </c>
      <c r="I4336">
        <v>3</v>
      </c>
      <c r="J4336" t="b">
        <f>AND(CCData[[#This Row],[Date]]&gt;=Calculation!$E$3,CCData[[#This Row],[Date]]&lt;Calculation!$E$3+7)</f>
        <v>0</v>
      </c>
    </row>
    <row r="4337" spans="1:10">
      <c r="A4337" t="s">
        <v>4336</v>
      </c>
      <c r="B4337" s="2">
        <v>42081.438999999998</v>
      </c>
      <c r="C4337" s="3" t="s">
        <v>5010</v>
      </c>
      <c r="D4337" t="s">
        <v>5016</v>
      </c>
      <c r="E4337" t="s">
        <v>5018</v>
      </c>
      <c r="F4337" t="s">
        <v>5018</v>
      </c>
      <c r="G4337">
        <v>71</v>
      </c>
      <c r="H4337" s="5">
        <v>3.9446085431842836E-3</v>
      </c>
      <c r="I4337">
        <v>3</v>
      </c>
      <c r="J4337" t="b">
        <f>AND(CCData[[#This Row],[Date]]&gt;=Calculation!$E$3,CCData[[#This Row],[Date]]&lt;Calculation!$E$3+7)</f>
        <v>0</v>
      </c>
    </row>
    <row r="4338" spans="1:10">
      <c r="A4338" t="s">
        <v>4337</v>
      </c>
      <c r="B4338" s="2">
        <v>42081.455999999998</v>
      </c>
      <c r="C4338" s="3" t="s">
        <v>5005</v>
      </c>
      <c r="D4338" t="s">
        <v>5012</v>
      </c>
      <c r="E4338" t="s">
        <v>5018</v>
      </c>
      <c r="F4338" t="s">
        <v>5019</v>
      </c>
      <c r="G4338">
        <v>71</v>
      </c>
      <c r="H4338" s="5">
        <v>2.9639465149057524E-3</v>
      </c>
      <c r="I4338">
        <v>3</v>
      </c>
      <c r="J4338" t="b">
        <f>AND(CCData[[#This Row],[Date]]&gt;=Calculation!$E$3,CCData[[#This Row],[Date]]&lt;Calculation!$E$3+7)</f>
        <v>0</v>
      </c>
    </row>
    <row r="4339" spans="1:10">
      <c r="A4339" t="s">
        <v>4338</v>
      </c>
      <c r="B4339" s="2">
        <v>42081.455999999998</v>
      </c>
      <c r="C4339" s="3" t="s">
        <v>5009</v>
      </c>
      <c r="D4339" t="s">
        <v>5013</v>
      </c>
      <c r="E4339" t="s">
        <v>5018</v>
      </c>
      <c r="F4339" t="s">
        <v>5018</v>
      </c>
      <c r="G4339">
        <v>41</v>
      </c>
      <c r="H4339" s="5">
        <v>4.4169772531887311E-3</v>
      </c>
      <c r="I4339">
        <v>3</v>
      </c>
      <c r="J4339" t="b">
        <f>AND(CCData[[#This Row],[Date]]&gt;=Calculation!$E$3,CCData[[#This Row],[Date]]&lt;Calculation!$E$3+7)</f>
        <v>0</v>
      </c>
    </row>
    <row r="4340" spans="1:10">
      <c r="A4340" t="s">
        <v>4339</v>
      </c>
      <c r="B4340" s="2">
        <v>42081.485000000001</v>
      </c>
      <c r="C4340" s="3" t="s">
        <v>5010</v>
      </c>
      <c r="D4340" t="s">
        <v>5012</v>
      </c>
      <c r="E4340" t="s">
        <v>5019</v>
      </c>
      <c r="F4340" t="s">
        <v>5019</v>
      </c>
      <c r="G4340" t="s">
        <v>5022</v>
      </c>
      <c r="H4340" s="5" t="s">
        <v>5022</v>
      </c>
      <c r="I4340" t="s">
        <v>5022</v>
      </c>
      <c r="J4340" t="b">
        <f>AND(CCData[[#This Row],[Date]]&gt;=Calculation!$E$3,CCData[[#This Row],[Date]]&lt;Calculation!$E$3+7)</f>
        <v>0</v>
      </c>
    </row>
    <row r="4341" spans="1:10">
      <c r="A4341" t="s">
        <v>4340</v>
      </c>
      <c r="B4341" s="2">
        <v>42081.485000000001</v>
      </c>
      <c r="C4341" s="3" t="s">
        <v>5009</v>
      </c>
      <c r="D4341" t="s">
        <v>5013</v>
      </c>
      <c r="E4341" t="s">
        <v>5018</v>
      </c>
      <c r="F4341" t="s">
        <v>5018</v>
      </c>
      <c r="G4341">
        <v>80</v>
      </c>
      <c r="H4341" s="5">
        <v>3.9724915791238859E-3</v>
      </c>
      <c r="I4341">
        <v>4</v>
      </c>
      <c r="J4341" t="b">
        <f>AND(CCData[[#This Row],[Date]]&gt;=Calculation!$E$3,CCData[[#This Row],[Date]]&lt;Calculation!$E$3+7)</f>
        <v>0</v>
      </c>
    </row>
    <row r="4342" spans="1:10">
      <c r="A4342" t="s">
        <v>4341</v>
      </c>
      <c r="B4342" s="2">
        <v>42081.502</v>
      </c>
      <c r="C4342" s="3" t="s">
        <v>5005</v>
      </c>
      <c r="D4342" t="s">
        <v>5014</v>
      </c>
      <c r="E4342" t="s">
        <v>5019</v>
      </c>
      <c r="F4342" t="s">
        <v>5019</v>
      </c>
      <c r="G4342" t="s">
        <v>5022</v>
      </c>
      <c r="H4342" s="5" t="s">
        <v>5022</v>
      </c>
      <c r="I4342" t="s">
        <v>5022</v>
      </c>
      <c r="J4342" t="b">
        <f>AND(CCData[[#This Row],[Date]]&gt;=Calculation!$E$3,CCData[[#This Row],[Date]]&lt;Calculation!$E$3+7)</f>
        <v>0</v>
      </c>
    </row>
    <row r="4343" spans="1:10">
      <c r="A4343" t="s">
        <v>4342</v>
      </c>
      <c r="B4343" s="2">
        <v>42081.502</v>
      </c>
      <c r="C4343" s="3" t="s">
        <v>5006</v>
      </c>
      <c r="D4343" t="s">
        <v>5014</v>
      </c>
      <c r="E4343" t="s">
        <v>5018</v>
      </c>
      <c r="F4343" t="s">
        <v>5018</v>
      </c>
      <c r="G4343">
        <v>57</v>
      </c>
      <c r="H4343" s="5">
        <v>8.3177934593277347E-4</v>
      </c>
      <c r="I4343">
        <v>2</v>
      </c>
      <c r="J4343" t="b">
        <f>AND(CCData[[#This Row],[Date]]&gt;=Calculation!$E$3,CCData[[#This Row],[Date]]&lt;Calculation!$E$3+7)</f>
        <v>0</v>
      </c>
    </row>
    <row r="4344" spans="1:10">
      <c r="A4344" t="s">
        <v>4343</v>
      </c>
      <c r="B4344" s="2">
        <v>42081.521000000001</v>
      </c>
      <c r="C4344" s="3" t="s">
        <v>5005</v>
      </c>
      <c r="D4344" t="s">
        <v>5016</v>
      </c>
      <c r="E4344" t="s">
        <v>5018</v>
      </c>
      <c r="F4344" t="s">
        <v>5018</v>
      </c>
      <c r="G4344">
        <v>17</v>
      </c>
      <c r="H4344" s="5">
        <v>1.8449596353121306E-3</v>
      </c>
      <c r="I4344">
        <v>3</v>
      </c>
      <c r="J4344" t="b">
        <f>AND(CCData[[#This Row],[Date]]&gt;=Calculation!$E$3,CCData[[#This Row],[Date]]&lt;Calculation!$E$3+7)</f>
        <v>0</v>
      </c>
    </row>
    <row r="4345" spans="1:10">
      <c r="A4345" t="s">
        <v>4344</v>
      </c>
      <c r="B4345" s="2">
        <v>42081.521000000001</v>
      </c>
      <c r="C4345" s="3" t="s">
        <v>5009</v>
      </c>
      <c r="D4345" t="s">
        <v>5015</v>
      </c>
      <c r="E4345" t="s">
        <v>5018</v>
      </c>
      <c r="F4345" t="s">
        <v>5018</v>
      </c>
      <c r="G4345">
        <v>93</v>
      </c>
      <c r="H4345" s="5">
        <v>3.3175755474159955E-3</v>
      </c>
      <c r="I4345">
        <v>5</v>
      </c>
      <c r="J4345" t="b">
        <f>AND(CCData[[#This Row],[Date]]&gt;=Calculation!$E$3,CCData[[#This Row],[Date]]&lt;Calculation!$E$3+7)</f>
        <v>0</v>
      </c>
    </row>
    <row r="4346" spans="1:10">
      <c r="A4346" t="s">
        <v>4345</v>
      </c>
      <c r="B4346" s="2">
        <v>42081.536</v>
      </c>
      <c r="C4346" s="3" t="s">
        <v>5006</v>
      </c>
      <c r="D4346" t="s">
        <v>5014</v>
      </c>
      <c r="E4346" t="s">
        <v>5018</v>
      </c>
      <c r="F4346" t="s">
        <v>5018</v>
      </c>
      <c r="G4346">
        <v>13</v>
      </c>
      <c r="H4346" s="5">
        <v>4.9444210181410543E-4</v>
      </c>
      <c r="I4346">
        <v>3</v>
      </c>
      <c r="J4346" t="b">
        <f>AND(CCData[[#This Row],[Date]]&gt;=Calculation!$E$3,CCData[[#This Row],[Date]]&lt;Calculation!$E$3+7)</f>
        <v>0</v>
      </c>
    </row>
    <row r="4347" spans="1:10">
      <c r="A4347" t="s">
        <v>4346</v>
      </c>
      <c r="B4347" s="2">
        <v>42081.536</v>
      </c>
      <c r="C4347" s="3" t="s">
        <v>5005</v>
      </c>
      <c r="D4347" t="s">
        <v>5014</v>
      </c>
      <c r="E4347" t="s">
        <v>5018</v>
      </c>
      <c r="F4347" t="s">
        <v>5018</v>
      </c>
      <c r="G4347">
        <v>64</v>
      </c>
      <c r="H4347" s="5">
        <v>1.1834334214397416E-3</v>
      </c>
      <c r="I4347">
        <v>4</v>
      </c>
      <c r="J4347" t="b">
        <f>AND(CCData[[#This Row],[Date]]&gt;=Calculation!$E$3,CCData[[#This Row],[Date]]&lt;Calculation!$E$3+7)</f>
        <v>0</v>
      </c>
    </row>
    <row r="4348" spans="1:10">
      <c r="A4348" t="s">
        <v>4347</v>
      </c>
      <c r="B4348" s="2">
        <v>42081.567000000003</v>
      </c>
      <c r="C4348" s="3" t="s">
        <v>5005</v>
      </c>
      <c r="D4348" t="s">
        <v>5013</v>
      </c>
      <c r="E4348" t="s">
        <v>5018</v>
      </c>
      <c r="F4348" t="s">
        <v>5018</v>
      </c>
      <c r="G4348">
        <v>98</v>
      </c>
      <c r="H4348" s="5">
        <v>1.2687998155214535E-3</v>
      </c>
      <c r="I4348">
        <v>5</v>
      </c>
      <c r="J4348" t="b">
        <f>AND(CCData[[#This Row],[Date]]&gt;=Calculation!$E$3,CCData[[#This Row],[Date]]&lt;Calculation!$E$3+7)</f>
        <v>0</v>
      </c>
    </row>
    <row r="4349" spans="1:10">
      <c r="A4349" t="s">
        <v>4348</v>
      </c>
      <c r="B4349" s="2">
        <v>42081.567000000003</v>
      </c>
      <c r="C4349" s="3" t="s">
        <v>5006</v>
      </c>
      <c r="D4349" t="s">
        <v>5013</v>
      </c>
      <c r="E4349" t="s">
        <v>5018</v>
      </c>
      <c r="F4349" t="s">
        <v>5019</v>
      </c>
      <c r="G4349">
        <v>83</v>
      </c>
      <c r="H4349" s="5">
        <v>1.7112694763754266E-3</v>
      </c>
      <c r="I4349">
        <v>2</v>
      </c>
      <c r="J4349" t="b">
        <f>AND(CCData[[#This Row],[Date]]&gt;=Calculation!$E$3,CCData[[#This Row],[Date]]&lt;Calculation!$E$3+7)</f>
        <v>0</v>
      </c>
    </row>
    <row r="4350" spans="1:10">
      <c r="A4350" t="s">
        <v>4349</v>
      </c>
      <c r="B4350" s="2">
        <v>42081.576000000001</v>
      </c>
      <c r="C4350" s="3" t="s">
        <v>5009</v>
      </c>
      <c r="D4350" t="s">
        <v>5016</v>
      </c>
      <c r="E4350" t="s">
        <v>5018</v>
      </c>
      <c r="F4350" t="s">
        <v>5019</v>
      </c>
      <c r="G4350">
        <v>116</v>
      </c>
      <c r="H4350" s="5">
        <v>4.3730054613982218E-3</v>
      </c>
      <c r="I4350">
        <v>5</v>
      </c>
      <c r="J4350" t="b">
        <f>AND(CCData[[#This Row],[Date]]&gt;=Calculation!$E$3,CCData[[#This Row],[Date]]&lt;Calculation!$E$3+7)</f>
        <v>0</v>
      </c>
    </row>
    <row r="4351" spans="1:10">
      <c r="A4351" t="s">
        <v>4350</v>
      </c>
      <c r="B4351" s="2">
        <v>42081.576000000001</v>
      </c>
      <c r="C4351" s="3" t="s">
        <v>5004</v>
      </c>
      <c r="D4351" t="s">
        <v>5016</v>
      </c>
      <c r="E4351" t="s">
        <v>5018</v>
      </c>
      <c r="F4351" t="s">
        <v>5018</v>
      </c>
      <c r="G4351">
        <v>104</v>
      </c>
      <c r="H4351" s="5">
        <v>5.3047405031841249E-4</v>
      </c>
      <c r="I4351">
        <v>2</v>
      </c>
      <c r="J4351" t="b">
        <f>AND(CCData[[#This Row],[Date]]&gt;=Calculation!$E$3,CCData[[#This Row],[Date]]&lt;Calculation!$E$3+7)</f>
        <v>0</v>
      </c>
    </row>
    <row r="4352" spans="1:10">
      <c r="A4352" t="s">
        <v>4351</v>
      </c>
      <c r="B4352" s="2">
        <v>42081.584999999999</v>
      </c>
      <c r="C4352" s="3" t="s">
        <v>5009</v>
      </c>
      <c r="D4352" t="s">
        <v>5016</v>
      </c>
      <c r="E4352" t="s">
        <v>5018</v>
      </c>
      <c r="F4352" t="s">
        <v>5018</v>
      </c>
      <c r="G4352">
        <v>83</v>
      </c>
      <c r="H4352" s="5">
        <v>3.8638590703292961E-3</v>
      </c>
      <c r="I4352">
        <v>5</v>
      </c>
      <c r="J4352" t="b">
        <f>AND(CCData[[#This Row],[Date]]&gt;=Calculation!$E$3,CCData[[#This Row],[Date]]&lt;Calculation!$E$3+7)</f>
        <v>0</v>
      </c>
    </row>
    <row r="4353" spans="1:10">
      <c r="A4353" t="s">
        <v>4352</v>
      </c>
      <c r="B4353" s="2">
        <v>42081.584999999999</v>
      </c>
      <c r="C4353" s="3" t="s">
        <v>5009</v>
      </c>
      <c r="D4353" t="s">
        <v>5015</v>
      </c>
      <c r="E4353" t="s">
        <v>5018</v>
      </c>
      <c r="F4353" t="s">
        <v>5018</v>
      </c>
      <c r="G4353">
        <v>26</v>
      </c>
      <c r="H4353" s="5">
        <v>4.7189302894748804E-3</v>
      </c>
      <c r="I4353">
        <v>4</v>
      </c>
      <c r="J4353" t="b">
        <f>AND(CCData[[#This Row],[Date]]&gt;=Calculation!$E$3,CCData[[#This Row],[Date]]&lt;Calculation!$E$3+7)</f>
        <v>0</v>
      </c>
    </row>
    <row r="4354" spans="1:10">
      <c r="A4354" t="s">
        <v>4353</v>
      </c>
      <c r="B4354" s="2">
        <v>42081.601000000002</v>
      </c>
      <c r="C4354" s="3" t="s">
        <v>5003</v>
      </c>
      <c r="D4354" t="s">
        <v>5015</v>
      </c>
      <c r="E4354" t="s">
        <v>5018</v>
      </c>
      <c r="F4354" t="s">
        <v>5018</v>
      </c>
      <c r="G4354">
        <v>47</v>
      </c>
      <c r="H4354" s="5">
        <v>4.130290276645707E-4</v>
      </c>
      <c r="I4354">
        <v>2</v>
      </c>
      <c r="J4354" t="b">
        <f>AND(CCData[[#This Row],[Date]]&gt;=Calculation!$E$3,CCData[[#This Row],[Date]]&lt;Calculation!$E$3+7)</f>
        <v>0</v>
      </c>
    </row>
    <row r="4355" spans="1:10">
      <c r="A4355" t="s">
        <v>4354</v>
      </c>
      <c r="B4355" s="2">
        <v>42081.601000000002</v>
      </c>
      <c r="C4355" s="3" t="s">
        <v>5007</v>
      </c>
      <c r="D4355" t="s">
        <v>5012</v>
      </c>
      <c r="E4355" t="s">
        <v>5019</v>
      </c>
      <c r="F4355" t="s">
        <v>5019</v>
      </c>
      <c r="G4355" t="s">
        <v>5022</v>
      </c>
      <c r="H4355" s="5" t="s">
        <v>5022</v>
      </c>
      <c r="I4355" t="s">
        <v>5022</v>
      </c>
      <c r="J4355" t="b">
        <f>AND(CCData[[#This Row],[Date]]&gt;=Calculation!$E$3,CCData[[#This Row],[Date]]&lt;Calculation!$E$3+7)</f>
        <v>0</v>
      </c>
    </row>
    <row r="4356" spans="1:10">
      <c r="A4356" t="s">
        <v>4355</v>
      </c>
      <c r="B4356" s="2">
        <v>42081.612000000001</v>
      </c>
      <c r="C4356" s="3" t="s">
        <v>5010</v>
      </c>
      <c r="D4356" t="s">
        <v>5015</v>
      </c>
      <c r="E4356" t="s">
        <v>5019</v>
      </c>
      <c r="F4356" t="s">
        <v>5019</v>
      </c>
      <c r="G4356" t="s">
        <v>5022</v>
      </c>
      <c r="H4356" s="5" t="s">
        <v>5022</v>
      </c>
      <c r="I4356" t="s">
        <v>5022</v>
      </c>
      <c r="J4356" t="b">
        <f>AND(CCData[[#This Row],[Date]]&gt;=Calculation!$E$3,CCData[[#This Row],[Date]]&lt;Calculation!$E$3+7)</f>
        <v>0</v>
      </c>
    </row>
    <row r="4357" spans="1:10">
      <c r="A4357" t="s">
        <v>4356</v>
      </c>
      <c r="B4357" s="2">
        <v>42081.612000000001</v>
      </c>
      <c r="C4357" s="3" t="s">
        <v>5008</v>
      </c>
      <c r="D4357" t="s">
        <v>5013</v>
      </c>
      <c r="E4357" t="s">
        <v>5018</v>
      </c>
      <c r="F4357" t="s">
        <v>5019</v>
      </c>
      <c r="G4357">
        <v>34</v>
      </c>
      <c r="H4357" s="5">
        <v>2.1690503042865587E-3</v>
      </c>
      <c r="I4357">
        <v>4</v>
      </c>
      <c r="J4357" t="b">
        <f>AND(CCData[[#This Row],[Date]]&gt;=Calculation!$E$3,CCData[[#This Row],[Date]]&lt;Calculation!$E$3+7)</f>
        <v>0</v>
      </c>
    </row>
    <row r="4358" spans="1:10">
      <c r="A4358" t="s">
        <v>4357</v>
      </c>
      <c r="B4358" s="2">
        <v>42081.62</v>
      </c>
      <c r="C4358" s="3" t="s">
        <v>5004</v>
      </c>
      <c r="D4358" t="s">
        <v>5013</v>
      </c>
      <c r="E4358" t="s">
        <v>5018</v>
      </c>
      <c r="F4358" t="s">
        <v>5018</v>
      </c>
      <c r="G4358">
        <v>65</v>
      </c>
      <c r="H4358" s="5">
        <v>2.5643741506161696E-3</v>
      </c>
      <c r="I4358">
        <v>5</v>
      </c>
      <c r="J4358" t="b">
        <f>AND(CCData[[#This Row],[Date]]&gt;=Calculation!$E$3,CCData[[#This Row],[Date]]&lt;Calculation!$E$3+7)</f>
        <v>0</v>
      </c>
    </row>
    <row r="4359" spans="1:10">
      <c r="A4359" t="s">
        <v>4358</v>
      </c>
      <c r="B4359" s="2">
        <v>42081.62</v>
      </c>
      <c r="C4359" s="3" t="s">
        <v>5003</v>
      </c>
      <c r="D4359" t="s">
        <v>5016</v>
      </c>
      <c r="E4359" t="s">
        <v>5018</v>
      </c>
      <c r="F4359" t="s">
        <v>5018</v>
      </c>
      <c r="G4359">
        <v>54</v>
      </c>
      <c r="H4359" s="5">
        <v>4.3917802504642731E-3</v>
      </c>
      <c r="I4359">
        <v>3</v>
      </c>
      <c r="J4359" t="b">
        <f>AND(CCData[[#This Row],[Date]]&gt;=Calculation!$E$3,CCData[[#This Row],[Date]]&lt;Calculation!$E$3+7)</f>
        <v>0</v>
      </c>
    </row>
    <row r="4360" spans="1:10">
      <c r="A4360" t="s">
        <v>4359</v>
      </c>
      <c r="B4360" s="2">
        <v>42081.62</v>
      </c>
      <c r="C4360" s="3" t="s">
        <v>5008</v>
      </c>
      <c r="D4360" t="s">
        <v>5013</v>
      </c>
      <c r="E4360" t="s">
        <v>5018</v>
      </c>
      <c r="F4360" t="s">
        <v>5018</v>
      </c>
      <c r="G4360">
        <v>108</v>
      </c>
      <c r="H4360" s="5">
        <v>3.6448590929697134E-3</v>
      </c>
      <c r="I4360">
        <v>4</v>
      </c>
      <c r="J4360" t="b">
        <f>AND(CCData[[#This Row],[Date]]&gt;=Calculation!$E$3,CCData[[#This Row],[Date]]&lt;Calculation!$E$3+7)</f>
        <v>0</v>
      </c>
    </row>
    <row r="4361" spans="1:10">
      <c r="A4361" t="s">
        <v>4360</v>
      </c>
      <c r="B4361" s="2">
        <v>42081.62</v>
      </c>
      <c r="C4361" s="3" t="s">
        <v>5007</v>
      </c>
      <c r="D4361" t="s">
        <v>5012</v>
      </c>
      <c r="E4361" t="s">
        <v>5018</v>
      </c>
      <c r="F4361" t="s">
        <v>5018</v>
      </c>
      <c r="G4361">
        <v>114</v>
      </c>
      <c r="H4361" s="5">
        <v>3.2679324849732324E-3</v>
      </c>
      <c r="I4361">
        <v>4</v>
      </c>
      <c r="J4361" t="b">
        <f>AND(CCData[[#This Row],[Date]]&gt;=Calculation!$E$3,CCData[[#This Row],[Date]]&lt;Calculation!$E$3+7)</f>
        <v>0</v>
      </c>
    </row>
    <row r="4362" spans="1:10">
      <c r="A4362" t="s">
        <v>4361</v>
      </c>
      <c r="B4362" s="2">
        <v>42081.659</v>
      </c>
      <c r="C4362" s="3" t="s">
        <v>5007</v>
      </c>
      <c r="D4362" t="s">
        <v>5015</v>
      </c>
      <c r="E4362" t="s">
        <v>5018</v>
      </c>
      <c r="F4362" t="s">
        <v>5018</v>
      </c>
      <c r="G4362">
        <v>109</v>
      </c>
      <c r="H4362" s="5">
        <v>2.0775282448502116E-3</v>
      </c>
      <c r="I4362">
        <v>3</v>
      </c>
      <c r="J4362" t="b">
        <f>AND(CCData[[#This Row],[Date]]&gt;=Calculation!$E$3,CCData[[#This Row],[Date]]&lt;Calculation!$E$3+7)</f>
        <v>0</v>
      </c>
    </row>
    <row r="4363" spans="1:10">
      <c r="A4363" t="s">
        <v>4362</v>
      </c>
      <c r="B4363" s="2">
        <v>42081.659</v>
      </c>
      <c r="C4363" s="3" t="s">
        <v>5007</v>
      </c>
      <c r="D4363" t="s">
        <v>5016</v>
      </c>
      <c r="E4363" t="s">
        <v>5018</v>
      </c>
      <c r="F4363" t="s">
        <v>5018</v>
      </c>
      <c r="G4363">
        <v>115</v>
      </c>
      <c r="H4363" s="5">
        <v>2.486283735958958E-3</v>
      </c>
      <c r="I4363">
        <v>3</v>
      </c>
      <c r="J4363" t="b">
        <f>AND(CCData[[#This Row],[Date]]&gt;=Calculation!$E$3,CCData[[#This Row],[Date]]&lt;Calculation!$E$3+7)</f>
        <v>0</v>
      </c>
    </row>
    <row r="4364" spans="1:10">
      <c r="A4364" t="s">
        <v>4363</v>
      </c>
      <c r="B4364" s="2">
        <v>42081.669000000002</v>
      </c>
      <c r="C4364" s="3" t="s">
        <v>5008</v>
      </c>
      <c r="D4364" t="s">
        <v>5016</v>
      </c>
      <c r="E4364" t="s">
        <v>5018</v>
      </c>
      <c r="F4364" t="s">
        <v>5018</v>
      </c>
      <c r="G4364">
        <v>125</v>
      </c>
      <c r="H4364" s="5">
        <v>2.856783838003152E-3</v>
      </c>
      <c r="I4364">
        <v>3</v>
      </c>
      <c r="J4364" t="b">
        <f>AND(CCData[[#This Row],[Date]]&gt;=Calculation!$E$3,CCData[[#This Row],[Date]]&lt;Calculation!$E$3+7)</f>
        <v>0</v>
      </c>
    </row>
    <row r="4365" spans="1:10">
      <c r="A4365" t="s">
        <v>4364</v>
      </c>
      <c r="B4365" s="2">
        <v>42081.669000000002</v>
      </c>
      <c r="C4365" s="3" t="s">
        <v>5008</v>
      </c>
      <c r="D4365" t="s">
        <v>5013</v>
      </c>
      <c r="E4365" t="s">
        <v>5018</v>
      </c>
      <c r="F4365" t="s">
        <v>5018</v>
      </c>
      <c r="G4365">
        <v>116</v>
      </c>
      <c r="H4365" s="5">
        <v>2.3049595699275237E-3</v>
      </c>
      <c r="I4365">
        <v>4</v>
      </c>
      <c r="J4365" t="b">
        <f>AND(CCData[[#This Row],[Date]]&gt;=Calculation!$E$3,CCData[[#This Row],[Date]]&lt;Calculation!$E$3+7)</f>
        <v>0</v>
      </c>
    </row>
    <row r="4366" spans="1:10">
      <c r="A4366" t="s">
        <v>4365</v>
      </c>
      <c r="B4366" s="2">
        <v>42081.678</v>
      </c>
      <c r="C4366" s="3" t="s">
        <v>5006</v>
      </c>
      <c r="D4366" t="s">
        <v>5015</v>
      </c>
      <c r="E4366" t="s">
        <v>5018</v>
      </c>
      <c r="F4366" t="s">
        <v>5018</v>
      </c>
      <c r="G4366">
        <v>12</v>
      </c>
      <c r="H4366" s="5">
        <v>1.9752249906869312E-3</v>
      </c>
      <c r="I4366">
        <v>3</v>
      </c>
      <c r="J4366" t="b">
        <f>AND(CCData[[#This Row],[Date]]&gt;=Calculation!$E$3,CCData[[#This Row],[Date]]&lt;Calculation!$E$3+7)</f>
        <v>0</v>
      </c>
    </row>
    <row r="4367" spans="1:10">
      <c r="A4367" t="s">
        <v>4366</v>
      </c>
      <c r="B4367" s="2">
        <v>42081.678</v>
      </c>
      <c r="C4367" s="3" t="s">
        <v>5004</v>
      </c>
      <c r="D4367" t="s">
        <v>5016</v>
      </c>
      <c r="E4367" t="s">
        <v>5018</v>
      </c>
      <c r="F4367" t="s">
        <v>5018</v>
      </c>
      <c r="G4367">
        <v>96</v>
      </c>
      <c r="H4367" s="5">
        <v>1.5520367991103674E-3</v>
      </c>
      <c r="I4367">
        <v>5</v>
      </c>
      <c r="J4367" t="b">
        <f>AND(CCData[[#This Row],[Date]]&gt;=Calculation!$E$3,CCData[[#This Row],[Date]]&lt;Calculation!$E$3+7)</f>
        <v>0</v>
      </c>
    </row>
    <row r="4368" spans="1:10">
      <c r="A4368" t="s">
        <v>4367</v>
      </c>
      <c r="B4368" s="2">
        <v>42081.688000000002</v>
      </c>
      <c r="C4368" s="3" t="s">
        <v>5003</v>
      </c>
      <c r="D4368" t="s">
        <v>5016</v>
      </c>
      <c r="E4368" t="s">
        <v>5018</v>
      </c>
      <c r="F4368" t="s">
        <v>5018</v>
      </c>
      <c r="G4368">
        <v>13</v>
      </c>
      <c r="H4368" s="5">
        <v>3.6687433312547649E-3</v>
      </c>
      <c r="I4368">
        <v>5</v>
      </c>
      <c r="J4368" t="b">
        <f>AND(CCData[[#This Row],[Date]]&gt;=Calculation!$E$3,CCData[[#This Row],[Date]]&lt;Calculation!$E$3+7)</f>
        <v>0</v>
      </c>
    </row>
    <row r="4369" spans="1:10">
      <c r="A4369" t="s">
        <v>4368</v>
      </c>
      <c r="B4369" s="2">
        <v>42081.688000000002</v>
      </c>
      <c r="C4369" s="3" t="s">
        <v>5007</v>
      </c>
      <c r="D4369" t="s">
        <v>5014</v>
      </c>
      <c r="E4369" t="s">
        <v>5019</v>
      </c>
      <c r="F4369" t="s">
        <v>5019</v>
      </c>
      <c r="G4369" t="s">
        <v>5022</v>
      </c>
      <c r="H4369" s="5" t="s">
        <v>5022</v>
      </c>
      <c r="I4369" t="s">
        <v>5022</v>
      </c>
      <c r="J4369" t="b">
        <f>AND(CCData[[#This Row],[Date]]&gt;=Calculation!$E$3,CCData[[#This Row],[Date]]&lt;Calculation!$E$3+7)</f>
        <v>0</v>
      </c>
    </row>
    <row r="4370" spans="1:10">
      <c r="A4370" t="s">
        <v>4369</v>
      </c>
      <c r="B4370" s="2">
        <v>42081.707000000002</v>
      </c>
      <c r="C4370" s="3" t="s">
        <v>5007</v>
      </c>
      <c r="D4370" t="s">
        <v>5012</v>
      </c>
      <c r="E4370" t="s">
        <v>5018</v>
      </c>
      <c r="F4370" t="s">
        <v>5018</v>
      </c>
      <c r="G4370">
        <v>96</v>
      </c>
      <c r="H4370" s="5">
        <v>4.4192162758903194E-3</v>
      </c>
      <c r="I4370">
        <v>3</v>
      </c>
      <c r="J4370" t="b">
        <f>AND(CCData[[#This Row],[Date]]&gt;=Calculation!$E$3,CCData[[#This Row],[Date]]&lt;Calculation!$E$3+7)</f>
        <v>0</v>
      </c>
    </row>
    <row r="4371" spans="1:10">
      <c r="A4371" t="s">
        <v>4370</v>
      </c>
      <c r="B4371" s="2">
        <v>42081.707000000002</v>
      </c>
      <c r="C4371" s="3" t="s">
        <v>5006</v>
      </c>
      <c r="D4371" t="s">
        <v>5014</v>
      </c>
      <c r="E4371" t="s">
        <v>5019</v>
      </c>
      <c r="F4371" t="s">
        <v>5019</v>
      </c>
      <c r="G4371" t="s">
        <v>5022</v>
      </c>
      <c r="H4371" s="5" t="s">
        <v>5022</v>
      </c>
      <c r="I4371" t="s">
        <v>5022</v>
      </c>
      <c r="J4371" t="b">
        <f>AND(CCData[[#This Row],[Date]]&gt;=Calculation!$E$3,CCData[[#This Row],[Date]]&lt;Calculation!$E$3+7)</f>
        <v>0</v>
      </c>
    </row>
    <row r="4372" spans="1:10">
      <c r="A4372" t="s">
        <v>4371</v>
      </c>
      <c r="B4372" s="2">
        <v>42081.714</v>
      </c>
      <c r="C4372" s="3" t="s">
        <v>5010</v>
      </c>
      <c r="D4372" t="s">
        <v>5016</v>
      </c>
      <c r="E4372" t="s">
        <v>5018</v>
      </c>
      <c r="F4372" t="s">
        <v>5018</v>
      </c>
      <c r="G4372">
        <v>37</v>
      </c>
      <c r="H4372" s="5">
        <v>4.1040180024290362E-3</v>
      </c>
      <c r="I4372">
        <v>3</v>
      </c>
      <c r="J4372" t="b">
        <f>AND(CCData[[#This Row],[Date]]&gt;=Calculation!$E$3,CCData[[#This Row],[Date]]&lt;Calculation!$E$3+7)</f>
        <v>0</v>
      </c>
    </row>
    <row r="4373" spans="1:10">
      <c r="A4373" t="s">
        <v>4372</v>
      </c>
      <c r="B4373" s="2">
        <v>42081.714</v>
      </c>
      <c r="C4373" s="3" t="s">
        <v>5005</v>
      </c>
      <c r="D4373" t="s">
        <v>5013</v>
      </c>
      <c r="E4373" t="s">
        <v>5018</v>
      </c>
      <c r="F4373" t="s">
        <v>5018</v>
      </c>
      <c r="G4373">
        <v>45</v>
      </c>
      <c r="H4373" s="5">
        <v>4.3443169515062644E-3</v>
      </c>
      <c r="I4373">
        <v>4</v>
      </c>
      <c r="J4373" t="b">
        <f>AND(CCData[[#This Row],[Date]]&gt;=Calculation!$E$3,CCData[[#This Row],[Date]]&lt;Calculation!$E$3+7)</f>
        <v>0</v>
      </c>
    </row>
    <row r="4374" spans="1:10">
      <c r="A4374" t="s">
        <v>4373</v>
      </c>
      <c r="B4374" s="2">
        <v>42081.724000000002</v>
      </c>
      <c r="C4374" s="3" t="s">
        <v>5004</v>
      </c>
      <c r="D4374" t="s">
        <v>5016</v>
      </c>
      <c r="E4374" t="s">
        <v>5018</v>
      </c>
      <c r="F4374" t="s">
        <v>5018</v>
      </c>
      <c r="G4374">
        <v>44</v>
      </c>
      <c r="H4374" s="5">
        <v>1.8944283076212411E-3</v>
      </c>
      <c r="I4374">
        <v>5</v>
      </c>
      <c r="J4374" t="b">
        <f>AND(CCData[[#This Row],[Date]]&gt;=Calculation!$E$3,CCData[[#This Row],[Date]]&lt;Calculation!$E$3+7)</f>
        <v>0</v>
      </c>
    </row>
    <row r="4375" spans="1:10">
      <c r="A4375" t="s">
        <v>4374</v>
      </c>
      <c r="B4375" s="2">
        <v>42081.724000000002</v>
      </c>
      <c r="C4375" s="3" t="s">
        <v>5006</v>
      </c>
      <c r="D4375" t="s">
        <v>5012</v>
      </c>
      <c r="E4375" t="s">
        <v>5019</v>
      </c>
      <c r="F4375" t="s">
        <v>5019</v>
      </c>
      <c r="G4375" t="s">
        <v>5022</v>
      </c>
      <c r="H4375" s="5" t="s">
        <v>5022</v>
      </c>
      <c r="I4375" t="s">
        <v>5022</v>
      </c>
      <c r="J4375" t="b">
        <f>AND(CCData[[#This Row],[Date]]&gt;=Calculation!$E$3,CCData[[#This Row],[Date]]&lt;Calculation!$E$3+7)</f>
        <v>0</v>
      </c>
    </row>
    <row r="4376" spans="1:10">
      <c r="A4376" t="s">
        <v>4375</v>
      </c>
      <c r="B4376" s="2">
        <v>42081.726999999999</v>
      </c>
      <c r="C4376" s="3" t="s">
        <v>5009</v>
      </c>
      <c r="D4376" t="s">
        <v>5012</v>
      </c>
      <c r="E4376" t="s">
        <v>5018</v>
      </c>
      <c r="F4376" t="s">
        <v>5018</v>
      </c>
      <c r="G4376">
        <v>65</v>
      </c>
      <c r="H4376" s="5">
        <v>2.2990221919149314E-3</v>
      </c>
      <c r="I4376">
        <v>3</v>
      </c>
      <c r="J4376" t="b">
        <f>AND(CCData[[#This Row],[Date]]&gt;=Calculation!$E$3,CCData[[#This Row],[Date]]&lt;Calculation!$E$3+7)</f>
        <v>0</v>
      </c>
    </row>
    <row r="4377" spans="1:10">
      <c r="A4377" t="s">
        <v>4376</v>
      </c>
      <c r="B4377" s="2">
        <v>42081.726999999999</v>
      </c>
      <c r="C4377" s="3" t="s">
        <v>5009</v>
      </c>
      <c r="D4377" t="s">
        <v>5016</v>
      </c>
      <c r="E4377" t="s">
        <v>5018</v>
      </c>
      <c r="F4377" t="s">
        <v>5018</v>
      </c>
      <c r="G4377">
        <v>48</v>
      </c>
      <c r="H4377" s="5">
        <v>1.4742396813029388E-3</v>
      </c>
      <c r="I4377">
        <v>4</v>
      </c>
      <c r="J4377" t="b">
        <f>AND(CCData[[#This Row],[Date]]&gt;=Calculation!$E$3,CCData[[#This Row],[Date]]&lt;Calculation!$E$3+7)</f>
        <v>0</v>
      </c>
    </row>
    <row r="4378" spans="1:10">
      <c r="A4378" t="s">
        <v>4377</v>
      </c>
      <c r="B4378" s="2">
        <v>42081.737000000001</v>
      </c>
      <c r="C4378" s="3" t="s">
        <v>5005</v>
      </c>
      <c r="D4378" t="s">
        <v>5013</v>
      </c>
      <c r="E4378" t="s">
        <v>5018</v>
      </c>
      <c r="F4378" t="s">
        <v>5018</v>
      </c>
      <c r="G4378">
        <v>119</v>
      </c>
      <c r="H4378" s="5">
        <v>1.7853809841842714E-3</v>
      </c>
      <c r="I4378">
        <v>1</v>
      </c>
      <c r="J4378" t="b">
        <f>AND(CCData[[#This Row],[Date]]&gt;=Calculation!$E$3,CCData[[#This Row],[Date]]&lt;Calculation!$E$3+7)</f>
        <v>0</v>
      </c>
    </row>
    <row r="4379" spans="1:10">
      <c r="A4379" t="s">
        <v>4378</v>
      </c>
      <c r="B4379" s="2">
        <v>42081.737000000001</v>
      </c>
      <c r="C4379" s="3" t="s">
        <v>5007</v>
      </c>
      <c r="D4379" t="s">
        <v>5012</v>
      </c>
      <c r="E4379" t="s">
        <v>5018</v>
      </c>
      <c r="F4379" t="s">
        <v>5019</v>
      </c>
      <c r="G4379">
        <v>102</v>
      </c>
      <c r="H4379" s="5">
        <v>3.6597811657007795E-3</v>
      </c>
      <c r="I4379">
        <v>3</v>
      </c>
      <c r="J4379" t="b">
        <f>AND(CCData[[#This Row],[Date]]&gt;=Calculation!$E$3,CCData[[#This Row],[Date]]&lt;Calculation!$E$3+7)</f>
        <v>0</v>
      </c>
    </row>
    <row r="4380" spans="1:10">
      <c r="A4380" t="s">
        <v>4379</v>
      </c>
      <c r="B4380" s="2">
        <v>42082.385999999999</v>
      </c>
      <c r="C4380" s="3" t="s">
        <v>5005</v>
      </c>
      <c r="D4380" t="s">
        <v>5012</v>
      </c>
      <c r="E4380" t="s">
        <v>5018</v>
      </c>
      <c r="F4380" t="s">
        <v>5018</v>
      </c>
      <c r="G4380">
        <v>30</v>
      </c>
      <c r="H4380" s="5">
        <v>3.5878216756163994E-3</v>
      </c>
      <c r="I4380">
        <v>5</v>
      </c>
      <c r="J4380" t="b">
        <f>AND(CCData[[#This Row],[Date]]&gt;=Calculation!$E$3,CCData[[#This Row],[Date]]&lt;Calculation!$E$3+7)</f>
        <v>0</v>
      </c>
    </row>
    <row r="4381" spans="1:10">
      <c r="A4381" t="s">
        <v>4380</v>
      </c>
      <c r="B4381" s="2">
        <v>42082.385999999999</v>
      </c>
      <c r="C4381" s="3" t="s">
        <v>5008</v>
      </c>
      <c r="D4381" t="s">
        <v>5014</v>
      </c>
      <c r="E4381" t="s">
        <v>5018</v>
      </c>
      <c r="F4381" t="s">
        <v>5018</v>
      </c>
      <c r="G4381">
        <v>51</v>
      </c>
      <c r="H4381" s="5">
        <v>3.68861078123622E-3</v>
      </c>
      <c r="I4381">
        <v>1</v>
      </c>
      <c r="J4381" t="b">
        <f>AND(CCData[[#This Row],[Date]]&gt;=Calculation!$E$3,CCData[[#This Row],[Date]]&lt;Calculation!$E$3+7)</f>
        <v>0</v>
      </c>
    </row>
    <row r="4382" spans="1:10">
      <c r="A4382" t="s">
        <v>4381</v>
      </c>
      <c r="B4382" s="2">
        <v>42082.408000000003</v>
      </c>
      <c r="C4382" s="3" t="s">
        <v>5007</v>
      </c>
      <c r="D4382" t="s">
        <v>5012</v>
      </c>
      <c r="E4382" t="s">
        <v>5019</v>
      </c>
      <c r="F4382" t="s">
        <v>5019</v>
      </c>
      <c r="G4382" t="s">
        <v>5022</v>
      </c>
      <c r="H4382" s="5" t="s">
        <v>5022</v>
      </c>
      <c r="I4382" t="s">
        <v>5022</v>
      </c>
      <c r="J4382" t="b">
        <f>AND(CCData[[#This Row],[Date]]&gt;=Calculation!$E$3,CCData[[#This Row],[Date]]&lt;Calculation!$E$3+7)</f>
        <v>0</v>
      </c>
    </row>
    <row r="4383" spans="1:10">
      <c r="A4383" t="s">
        <v>4382</v>
      </c>
      <c r="B4383" s="2">
        <v>42082.408000000003</v>
      </c>
      <c r="C4383" s="3" t="s">
        <v>5004</v>
      </c>
      <c r="D4383" t="s">
        <v>5013</v>
      </c>
      <c r="E4383" t="s">
        <v>5018</v>
      </c>
      <c r="F4383" t="s">
        <v>5018</v>
      </c>
      <c r="G4383">
        <v>39</v>
      </c>
      <c r="H4383" s="5">
        <v>3.5845329928285855E-3</v>
      </c>
      <c r="I4383">
        <v>5</v>
      </c>
      <c r="J4383" t="b">
        <f>AND(CCData[[#This Row],[Date]]&gt;=Calculation!$E$3,CCData[[#This Row],[Date]]&lt;Calculation!$E$3+7)</f>
        <v>0</v>
      </c>
    </row>
    <row r="4384" spans="1:10">
      <c r="A4384" t="s">
        <v>4383</v>
      </c>
      <c r="B4384" s="2">
        <v>42082.419000000002</v>
      </c>
      <c r="C4384" s="3" t="s">
        <v>5004</v>
      </c>
      <c r="D4384" t="s">
        <v>5014</v>
      </c>
      <c r="E4384" t="s">
        <v>5018</v>
      </c>
      <c r="F4384" t="s">
        <v>5018</v>
      </c>
      <c r="G4384">
        <v>102</v>
      </c>
      <c r="H4384" s="5">
        <v>3.7853913852608071E-3</v>
      </c>
      <c r="I4384">
        <v>2</v>
      </c>
      <c r="J4384" t="b">
        <f>AND(CCData[[#This Row],[Date]]&gt;=Calculation!$E$3,CCData[[#This Row],[Date]]&lt;Calculation!$E$3+7)</f>
        <v>0</v>
      </c>
    </row>
    <row r="4385" spans="1:10">
      <c r="A4385" t="s">
        <v>4384</v>
      </c>
      <c r="B4385" s="2">
        <v>42082.419000000002</v>
      </c>
      <c r="C4385" s="3" t="s">
        <v>5005</v>
      </c>
      <c r="D4385" t="s">
        <v>5014</v>
      </c>
      <c r="E4385" t="s">
        <v>5018</v>
      </c>
      <c r="F4385" t="s">
        <v>5018</v>
      </c>
      <c r="G4385">
        <v>112</v>
      </c>
      <c r="H4385" s="5">
        <v>4.6214739712975561E-4</v>
      </c>
      <c r="I4385">
        <v>3</v>
      </c>
      <c r="J4385" t="b">
        <f>AND(CCData[[#This Row],[Date]]&gt;=Calculation!$E$3,CCData[[#This Row],[Date]]&lt;Calculation!$E$3+7)</f>
        <v>0</v>
      </c>
    </row>
    <row r="4386" spans="1:10">
      <c r="A4386" t="s">
        <v>4385</v>
      </c>
      <c r="B4386" s="2">
        <v>42082.427000000003</v>
      </c>
      <c r="C4386" s="3" t="s">
        <v>5004</v>
      </c>
      <c r="D4386" t="s">
        <v>5014</v>
      </c>
      <c r="E4386" t="s">
        <v>5019</v>
      </c>
      <c r="F4386" t="s">
        <v>5019</v>
      </c>
      <c r="G4386" t="s">
        <v>5022</v>
      </c>
      <c r="H4386" s="5" t="s">
        <v>5022</v>
      </c>
      <c r="I4386" t="s">
        <v>5022</v>
      </c>
      <c r="J4386" t="b">
        <f>AND(CCData[[#This Row],[Date]]&gt;=Calculation!$E$3,CCData[[#This Row],[Date]]&lt;Calculation!$E$3+7)</f>
        <v>0</v>
      </c>
    </row>
    <row r="4387" spans="1:10">
      <c r="A4387" t="s">
        <v>4386</v>
      </c>
      <c r="B4387" s="2">
        <v>42082.427000000003</v>
      </c>
      <c r="C4387" s="3" t="s">
        <v>5009</v>
      </c>
      <c r="D4387" t="s">
        <v>5013</v>
      </c>
      <c r="E4387" t="s">
        <v>5018</v>
      </c>
      <c r="F4387" t="s">
        <v>5018</v>
      </c>
      <c r="G4387">
        <v>42</v>
      </c>
      <c r="H4387" s="5">
        <v>3.19770027126789E-3</v>
      </c>
      <c r="I4387">
        <v>5</v>
      </c>
      <c r="J4387" t="b">
        <f>AND(CCData[[#This Row],[Date]]&gt;=Calculation!$E$3,CCData[[#This Row],[Date]]&lt;Calculation!$E$3+7)</f>
        <v>0</v>
      </c>
    </row>
    <row r="4388" spans="1:10">
      <c r="A4388" t="s">
        <v>4387</v>
      </c>
      <c r="B4388" s="2">
        <v>42082.466999999997</v>
      </c>
      <c r="C4388" s="3" t="s">
        <v>5006</v>
      </c>
      <c r="D4388" t="s">
        <v>5015</v>
      </c>
      <c r="E4388" t="s">
        <v>5018</v>
      </c>
      <c r="F4388" t="s">
        <v>5018</v>
      </c>
      <c r="G4388">
        <v>87</v>
      </c>
      <c r="H4388" s="5">
        <v>1.0217901360805714E-3</v>
      </c>
      <c r="I4388">
        <v>3</v>
      </c>
      <c r="J4388" t="b">
        <f>AND(CCData[[#This Row],[Date]]&gt;=Calculation!$E$3,CCData[[#This Row],[Date]]&lt;Calculation!$E$3+7)</f>
        <v>0</v>
      </c>
    </row>
    <row r="4389" spans="1:10">
      <c r="A4389" t="s">
        <v>4388</v>
      </c>
      <c r="B4389" s="2">
        <v>42082.466999999997</v>
      </c>
      <c r="C4389" s="3" t="s">
        <v>5004</v>
      </c>
      <c r="D4389" t="s">
        <v>5014</v>
      </c>
      <c r="E4389" t="s">
        <v>5019</v>
      </c>
      <c r="F4389" t="s">
        <v>5019</v>
      </c>
      <c r="G4389" t="s">
        <v>5022</v>
      </c>
      <c r="H4389" s="5" t="s">
        <v>5022</v>
      </c>
      <c r="I4389" t="s">
        <v>5022</v>
      </c>
      <c r="J4389" t="b">
        <f>AND(CCData[[#This Row],[Date]]&gt;=Calculation!$E$3,CCData[[#This Row],[Date]]&lt;Calculation!$E$3+7)</f>
        <v>0</v>
      </c>
    </row>
    <row r="4390" spans="1:10">
      <c r="A4390" t="s">
        <v>4389</v>
      </c>
      <c r="B4390" s="2">
        <v>42082.468000000001</v>
      </c>
      <c r="C4390" s="3" t="s">
        <v>5004</v>
      </c>
      <c r="D4390" t="s">
        <v>5012</v>
      </c>
      <c r="E4390" t="s">
        <v>5018</v>
      </c>
      <c r="F4390" t="s">
        <v>5018</v>
      </c>
      <c r="G4390">
        <v>123</v>
      </c>
      <c r="H4390" s="5">
        <v>1.7585939244318918E-3</v>
      </c>
      <c r="I4390">
        <v>3</v>
      </c>
      <c r="J4390" t="b">
        <f>AND(CCData[[#This Row],[Date]]&gt;=Calculation!$E$3,CCData[[#This Row],[Date]]&lt;Calculation!$E$3+7)</f>
        <v>0</v>
      </c>
    </row>
    <row r="4391" spans="1:10">
      <c r="A4391" t="s">
        <v>4390</v>
      </c>
      <c r="B4391" s="2">
        <v>42082.468000000001</v>
      </c>
      <c r="C4391" s="3" t="s">
        <v>5005</v>
      </c>
      <c r="D4391" t="s">
        <v>5014</v>
      </c>
      <c r="E4391" t="s">
        <v>5019</v>
      </c>
      <c r="F4391" t="s">
        <v>5019</v>
      </c>
      <c r="G4391" t="s">
        <v>5022</v>
      </c>
      <c r="H4391" s="5" t="s">
        <v>5022</v>
      </c>
      <c r="I4391" t="s">
        <v>5022</v>
      </c>
      <c r="J4391" t="b">
        <f>AND(CCData[[#This Row],[Date]]&gt;=Calculation!$E$3,CCData[[#This Row],[Date]]&lt;Calculation!$E$3+7)</f>
        <v>0</v>
      </c>
    </row>
    <row r="4392" spans="1:10">
      <c r="A4392" t="s">
        <v>4391</v>
      </c>
      <c r="B4392" s="2">
        <v>42082.478999999999</v>
      </c>
      <c r="C4392" s="3" t="s">
        <v>5010</v>
      </c>
      <c r="D4392" t="s">
        <v>5012</v>
      </c>
      <c r="E4392" t="s">
        <v>5018</v>
      </c>
      <c r="F4392" t="s">
        <v>5018</v>
      </c>
      <c r="G4392">
        <v>98</v>
      </c>
      <c r="H4392" s="5">
        <v>9.9437178643300614E-4</v>
      </c>
      <c r="I4392">
        <v>3</v>
      </c>
      <c r="J4392" t="b">
        <f>AND(CCData[[#This Row],[Date]]&gt;=Calculation!$E$3,CCData[[#This Row],[Date]]&lt;Calculation!$E$3+7)</f>
        <v>0</v>
      </c>
    </row>
    <row r="4393" spans="1:10">
      <c r="A4393" t="s">
        <v>4392</v>
      </c>
      <c r="B4393" s="2">
        <v>42082.478999999999</v>
      </c>
      <c r="C4393" s="3" t="s">
        <v>5007</v>
      </c>
      <c r="D4393" t="s">
        <v>5016</v>
      </c>
      <c r="E4393" t="s">
        <v>5018</v>
      </c>
      <c r="F4393" t="s">
        <v>5018</v>
      </c>
      <c r="G4393">
        <v>45</v>
      </c>
      <c r="H4393" s="5">
        <v>4.5043091359739466E-4</v>
      </c>
      <c r="I4393">
        <v>4</v>
      </c>
      <c r="J4393" t="b">
        <f>AND(CCData[[#This Row],[Date]]&gt;=Calculation!$E$3,CCData[[#This Row],[Date]]&lt;Calculation!$E$3+7)</f>
        <v>0</v>
      </c>
    </row>
    <row r="4394" spans="1:10">
      <c r="A4394" t="s">
        <v>4393</v>
      </c>
      <c r="B4394" s="2">
        <v>42082.51</v>
      </c>
      <c r="C4394" s="3" t="s">
        <v>5005</v>
      </c>
      <c r="D4394" t="s">
        <v>5014</v>
      </c>
      <c r="E4394" t="s">
        <v>5018</v>
      </c>
      <c r="F4394" t="s">
        <v>5018</v>
      </c>
      <c r="G4394">
        <v>50</v>
      </c>
      <c r="H4394" s="5">
        <v>1.5479730060529921E-3</v>
      </c>
      <c r="I4394">
        <v>3</v>
      </c>
      <c r="J4394" t="b">
        <f>AND(CCData[[#This Row],[Date]]&gt;=Calculation!$E$3,CCData[[#This Row],[Date]]&lt;Calculation!$E$3+7)</f>
        <v>0</v>
      </c>
    </row>
    <row r="4395" spans="1:10">
      <c r="A4395" t="s">
        <v>4394</v>
      </c>
      <c r="B4395" s="2">
        <v>42082.51</v>
      </c>
      <c r="C4395" s="3" t="s">
        <v>5008</v>
      </c>
      <c r="D4395" t="s">
        <v>5014</v>
      </c>
      <c r="E4395" t="s">
        <v>5018</v>
      </c>
      <c r="F4395" t="s">
        <v>5018</v>
      </c>
      <c r="G4395">
        <v>102</v>
      </c>
      <c r="H4395" s="5">
        <v>3.1241023186382041E-3</v>
      </c>
      <c r="I4395">
        <v>4</v>
      </c>
      <c r="J4395" t="b">
        <f>AND(CCData[[#This Row],[Date]]&gt;=Calculation!$E$3,CCData[[#This Row],[Date]]&lt;Calculation!$E$3+7)</f>
        <v>0</v>
      </c>
    </row>
    <row r="4396" spans="1:10">
      <c r="A4396" t="s">
        <v>4395</v>
      </c>
      <c r="B4396" s="2">
        <v>42082.519</v>
      </c>
      <c r="C4396" s="3" t="s">
        <v>5003</v>
      </c>
      <c r="D4396" t="s">
        <v>5015</v>
      </c>
      <c r="E4396" t="s">
        <v>5018</v>
      </c>
      <c r="F4396" t="s">
        <v>5018</v>
      </c>
      <c r="G4396">
        <v>93</v>
      </c>
      <c r="H4396" s="5">
        <v>1.5283408909358739E-3</v>
      </c>
      <c r="I4396">
        <v>1</v>
      </c>
      <c r="J4396" t="b">
        <f>AND(CCData[[#This Row],[Date]]&gt;=Calculation!$E$3,CCData[[#This Row],[Date]]&lt;Calculation!$E$3+7)</f>
        <v>0</v>
      </c>
    </row>
    <row r="4397" spans="1:10">
      <c r="A4397" t="s">
        <v>4396</v>
      </c>
      <c r="B4397" s="2">
        <v>42082.519</v>
      </c>
      <c r="C4397" s="3" t="s">
        <v>5005</v>
      </c>
      <c r="D4397" t="s">
        <v>5015</v>
      </c>
      <c r="E4397" t="s">
        <v>5018</v>
      </c>
      <c r="F4397" t="s">
        <v>5018</v>
      </c>
      <c r="G4397">
        <v>28</v>
      </c>
      <c r="H4397" s="5">
        <v>3.7884385439689067E-3</v>
      </c>
      <c r="I4397">
        <v>3</v>
      </c>
      <c r="J4397" t="b">
        <f>AND(CCData[[#This Row],[Date]]&gt;=Calculation!$E$3,CCData[[#This Row],[Date]]&lt;Calculation!$E$3+7)</f>
        <v>0</v>
      </c>
    </row>
    <row r="4398" spans="1:10">
      <c r="A4398" t="s">
        <v>4397</v>
      </c>
      <c r="B4398" s="2">
        <v>42082.540999999997</v>
      </c>
      <c r="C4398" s="3" t="s">
        <v>5007</v>
      </c>
      <c r="D4398" t="s">
        <v>5014</v>
      </c>
      <c r="E4398" t="s">
        <v>5019</v>
      </c>
      <c r="F4398" t="s">
        <v>5019</v>
      </c>
      <c r="G4398" t="s">
        <v>5022</v>
      </c>
      <c r="H4398" s="5" t="s">
        <v>5022</v>
      </c>
      <c r="I4398" t="s">
        <v>5022</v>
      </c>
      <c r="J4398" t="b">
        <f>AND(CCData[[#This Row],[Date]]&gt;=Calculation!$E$3,CCData[[#This Row],[Date]]&lt;Calculation!$E$3+7)</f>
        <v>0</v>
      </c>
    </row>
    <row r="4399" spans="1:10">
      <c r="A4399" t="s">
        <v>4398</v>
      </c>
      <c r="B4399" s="2">
        <v>42082.540999999997</v>
      </c>
      <c r="C4399" s="3" t="s">
        <v>5009</v>
      </c>
      <c r="D4399" t="s">
        <v>5016</v>
      </c>
      <c r="E4399" t="s">
        <v>5019</v>
      </c>
      <c r="F4399" t="s">
        <v>5019</v>
      </c>
      <c r="G4399" t="s">
        <v>5022</v>
      </c>
      <c r="H4399" s="5" t="s">
        <v>5022</v>
      </c>
      <c r="I4399" t="s">
        <v>5022</v>
      </c>
      <c r="J4399" t="b">
        <f>AND(CCData[[#This Row],[Date]]&gt;=Calculation!$E$3,CCData[[#This Row],[Date]]&lt;Calculation!$E$3+7)</f>
        <v>0</v>
      </c>
    </row>
    <row r="4400" spans="1:10">
      <c r="A4400" t="s">
        <v>4399</v>
      </c>
      <c r="B4400" s="2">
        <v>42082.540999999997</v>
      </c>
      <c r="C4400" s="3" t="s">
        <v>5008</v>
      </c>
      <c r="D4400" t="s">
        <v>5013</v>
      </c>
      <c r="E4400" t="s">
        <v>5018</v>
      </c>
      <c r="F4400" t="s">
        <v>5019</v>
      </c>
      <c r="G4400">
        <v>123</v>
      </c>
      <c r="H4400" s="5">
        <v>5.2890899719219245E-4</v>
      </c>
      <c r="I4400">
        <v>4</v>
      </c>
      <c r="J4400" t="b">
        <f>AND(CCData[[#This Row],[Date]]&gt;=Calculation!$E$3,CCData[[#This Row],[Date]]&lt;Calculation!$E$3+7)</f>
        <v>0</v>
      </c>
    </row>
    <row r="4401" spans="1:10">
      <c r="A4401" t="s">
        <v>4400</v>
      </c>
      <c r="B4401" s="2">
        <v>42082.540999999997</v>
      </c>
      <c r="C4401" s="3" t="s">
        <v>5006</v>
      </c>
      <c r="D4401" t="s">
        <v>5015</v>
      </c>
      <c r="E4401" t="s">
        <v>5018</v>
      </c>
      <c r="F4401" t="s">
        <v>5018</v>
      </c>
      <c r="G4401">
        <v>112</v>
      </c>
      <c r="H4401" s="5">
        <v>2.8792105353801843E-3</v>
      </c>
      <c r="I4401">
        <v>4</v>
      </c>
      <c r="J4401" t="b">
        <f>AND(CCData[[#This Row],[Date]]&gt;=Calculation!$E$3,CCData[[#This Row],[Date]]&lt;Calculation!$E$3+7)</f>
        <v>0</v>
      </c>
    </row>
    <row r="4402" spans="1:10">
      <c r="A4402" t="s">
        <v>4401</v>
      </c>
      <c r="B4402" s="2">
        <v>42082.546999999999</v>
      </c>
      <c r="C4402" s="3" t="s">
        <v>5005</v>
      </c>
      <c r="D4402" t="s">
        <v>5012</v>
      </c>
      <c r="E4402" t="s">
        <v>5018</v>
      </c>
      <c r="F4402" t="s">
        <v>5018</v>
      </c>
      <c r="G4402">
        <v>12</v>
      </c>
      <c r="H4402" s="5">
        <v>8.754493728006142E-4</v>
      </c>
      <c r="I4402">
        <v>3</v>
      </c>
      <c r="J4402" t="b">
        <f>AND(CCData[[#This Row],[Date]]&gt;=Calculation!$E$3,CCData[[#This Row],[Date]]&lt;Calculation!$E$3+7)</f>
        <v>0</v>
      </c>
    </row>
    <row r="4403" spans="1:10">
      <c r="A4403" t="s">
        <v>4402</v>
      </c>
      <c r="B4403" s="2">
        <v>42082.546999999999</v>
      </c>
      <c r="C4403" s="3" t="s">
        <v>5010</v>
      </c>
      <c r="D4403" t="s">
        <v>5012</v>
      </c>
      <c r="E4403" t="s">
        <v>5018</v>
      </c>
      <c r="F4403" t="s">
        <v>5018</v>
      </c>
      <c r="G4403">
        <v>107</v>
      </c>
      <c r="H4403" s="5">
        <v>4.1745491815137958E-3</v>
      </c>
      <c r="I4403">
        <v>4</v>
      </c>
      <c r="J4403" t="b">
        <f>AND(CCData[[#This Row],[Date]]&gt;=Calculation!$E$3,CCData[[#This Row],[Date]]&lt;Calculation!$E$3+7)</f>
        <v>0</v>
      </c>
    </row>
    <row r="4404" spans="1:10">
      <c r="A4404" t="s">
        <v>4403</v>
      </c>
      <c r="B4404" s="2">
        <v>42082.58</v>
      </c>
      <c r="C4404" s="3" t="s">
        <v>5003</v>
      </c>
      <c r="D4404" t="s">
        <v>5013</v>
      </c>
      <c r="E4404" t="s">
        <v>5018</v>
      </c>
      <c r="F4404" t="s">
        <v>5018</v>
      </c>
      <c r="G4404">
        <v>97</v>
      </c>
      <c r="H4404" s="5">
        <v>2.5270962848416832E-3</v>
      </c>
      <c r="I4404">
        <v>2</v>
      </c>
      <c r="J4404" t="b">
        <f>AND(CCData[[#This Row],[Date]]&gt;=Calculation!$E$3,CCData[[#This Row],[Date]]&lt;Calculation!$E$3+7)</f>
        <v>0</v>
      </c>
    </row>
    <row r="4405" spans="1:10">
      <c r="A4405" t="s">
        <v>4404</v>
      </c>
      <c r="B4405" s="2">
        <v>42082.58</v>
      </c>
      <c r="C4405" s="3" t="s">
        <v>5008</v>
      </c>
      <c r="D4405" t="s">
        <v>5012</v>
      </c>
      <c r="E4405" t="s">
        <v>5019</v>
      </c>
      <c r="F4405" t="s">
        <v>5019</v>
      </c>
      <c r="G4405" t="s">
        <v>5022</v>
      </c>
      <c r="H4405" s="5" t="s">
        <v>5022</v>
      </c>
      <c r="I4405" t="s">
        <v>5022</v>
      </c>
      <c r="J4405" t="b">
        <f>AND(CCData[[#This Row],[Date]]&gt;=Calculation!$E$3,CCData[[#This Row],[Date]]&lt;Calculation!$E$3+7)</f>
        <v>0</v>
      </c>
    </row>
    <row r="4406" spans="1:10">
      <c r="A4406" t="s">
        <v>4405</v>
      </c>
      <c r="B4406" s="2">
        <v>42082.595999999998</v>
      </c>
      <c r="C4406" s="3" t="s">
        <v>5008</v>
      </c>
      <c r="D4406" t="s">
        <v>5015</v>
      </c>
      <c r="E4406" t="s">
        <v>5019</v>
      </c>
      <c r="F4406" t="s">
        <v>5019</v>
      </c>
      <c r="G4406" t="s">
        <v>5022</v>
      </c>
      <c r="H4406" s="5" t="s">
        <v>5022</v>
      </c>
      <c r="I4406" t="s">
        <v>5022</v>
      </c>
      <c r="J4406" t="b">
        <f>AND(CCData[[#This Row],[Date]]&gt;=Calculation!$E$3,CCData[[#This Row],[Date]]&lt;Calculation!$E$3+7)</f>
        <v>0</v>
      </c>
    </row>
    <row r="4407" spans="1:10">
      <c r="A4407" t="s">
        <v>4406</v>
      </c>
      <c r="B4407" s="2">
        <v>42082.595999999998</v>
      </c>
      <c r="C4407" s="3" t="s">
        <v>5003</v>
      </c>
      <c r="D4407" t="s">
        <v>5015</v>
      </c>
      <c r="E4407" t="s">
        <v>5018</v>
      </c>
      <c r="F4407" t="s">
        <v>5018</v>
      </c>
      <c r="G4407">
        <v>98</v>
      </c>
      <c r="H4407" s="5">
        <v>4.7144940196515456E-3</v>
      </c>
      <c r="I4407">
        <v>4</v>
      </c>
      <c r="J4407" t="b">
        <f>AND(CCData[[#This Row],[Date]]&gt;=Calculation!$E$3,CCData[[#This Row],[Date]]&lt;Calculation!$E$3+7)</f>
        <v>0</v>
      </c>
    </row>
    <row r="4408" spans="1:10">
      <c r="A4408" t="s">
        <v>4407</v>
      </c>
      <c r="B4408" s="2">
        <v>42082.64</v>
      </c>
      <c r="C4408" s="3" t="s">
        <v>5007</v>
      </c>
      <c r="D4408" t="s">
        <v>5016</v>
      </c>
      <c r="E4408" t="s">
        <v>5018</v>
      </c>
      <c r="F4408" t="s">
        <v>5018</v>
      </c>
      <c r="G4408">
        <v>96</v>
      </c>
      <c r="H4408" s="5">
        <v>4.0383723072795084E-3</v>
      </c>
      <c r="I4408">
        <v>2</v>
      </c>
      <c r="J4408" t="b">
        <f>AND(CCData[[#This Row],[Date]]&gt;=Calculation!$E$3,CCData[[#This Row],[Date]]&lt;Calculation!$E$3+7)</f>
        <v>0</v>
      </c>
    </row>
    <row r="4409" spans="1:10">
      <c r="A4409" t="s">
        <v>4408</v>
      </c>
      <c r="B4409" s="2">
        <v>42082.64</v>
      </c>
      <c r="C4409" s="3" t="s">
        <v>5003</v>
      </c>
      <c r="D4409" t="s">
        <v>5014</v>
      </c>
      <c r="E4409" t="s">
        <v>5019</v>
      </c>
      <c r="F4409" t="s">
        <v>5019</v>
      </c>
      <c r="G4409" t="s">
        <v>5022</v>
      </c>
      <c r="H4409" s="5" t="s">
        <v>5022</v>
      </c>
      <c r="I4409" t="s">
        <v>5022</v>
      </c>
      <c r="J4409" t="b">
        <f>AND(CCData[[#This Row],[Date]]&gt;=Calculation!$E$3,CCData[[#This Row],[Date]]&lt;Calculation!$E$3+7)</f>
        <v>0</v>
      </c>
    </row>
    <row r="4410" spans="1:10">
      <c r="A4410" t="s">
        <v>4409</v>
      </c>
      <c r="B4410" s="2">
        <v>42082.642</v>
      </c>
      <c r="C4410" s="3" t="s">
        <v>5008</v>
      </c>
      <c r="D4410" t="s">
        <v>5014</v>
      </c>
      <c r="E4410" t="s">
        <v>5018</v>
      </c>
      <c r="F4410" t="s">
        <v>5018</v>
      </c>
      <c r="G4410">
        <v>60</v>
      </c>
      <c r="H4410" s="5">
        <v>8.9360416420291634E-4</v>
      </c>
      <c r="I4410">
        <v>1</v>
      </c>
      <c r="J4410" t="b">
        <f>AND(CCData[[#This Row],[Date]]&gt;=Calculation!$E$3,CCData[[#This Row],[Date]]&lt;Calculation!$E$3+7)</f>
        <v>0</v>
      </c>
    </row>
    <row r="4411" spans="1:10">
      <c r="A4411" t="s">
        <v>4410</v>
      </c>
      <c r="B4411" s="2">
        <v>42082.642</v>
      </c>
      <c r="C4411" s="3" t="s">
        <v>5008</v>
      </c>
      <c r="D4411" t="s">
        <v>5012</v>
      </c>
      <c r="E4411" t="s">
        <v>5018</v>
      </c>
      <c r="F4411" t="s">
        <v>5018</v>
      </c>
      <c r="G4411">
        <v>115</v>
      </c>
      <c r="H4411" s="5">
        <v>3.4313070605306527E-3</v>
      </c>
      <c r="I4411">
        <v>3</v>
      </c>
      <c r="J4411" t="b">
        <f>AND(CCData[[#This Row],[Date]]&gt;=Calculation!$E$3,CCData[[#This Row],[Date]]&lt;Calculation!$E$3+7)</f>
        <v>0</v>
      </c>
    </row>
    <row r="4412" spans="1:10">
      <c r="A4412" t="s">
        <v>4411</v>
      </c>
      <c r="B4412" s="2">
        <v>42082.644999999997</v>
      </c>
      <c r="C4412" s="3" t="s">
        <v>5009</v>
      </c>
      <c r="D4412" t="s">
        <v>5012</v>
      </c>
      <c r="E4412" t="s">
        <v>5018</v>
      </c>
      <c r="F4412" t="s">
        <v>5018</v>
      </c>
      <c r="G4412">
        <v>86</v>
      </c>
      <c r="H4412" s="5">
        <v>1.5807991974613658E-3</v>
      </c>
      <c r="I4412">
        <v>4</v>
      </c>
      <c r="J4412" t="b">
        <f>AND(CCData[[#This Row],[Date]]&gt;=Calculation!$E$3,CCData[[#This Row],[Date]]&lt;Calculation!$E$3+7)</f>
        <v>0</v>
      </c>
    </row>
    <row r="4413" spans="1:10">
      <c r="A4413" t="s">
        <v>4412</v>
      </c>
      <c r="B4413" s="2">
        <v>42082.644999999997</v>
      </c>
      <c r="C4413" s="3" t="s">
        <v>5009</v>
      </c>
      <c r="D4413" t="s">
        <v>5014</v>
      </c>
      <c r="E4413" t="s">
        <v>5018</v>
      </c>
      <c r="F4413" t="s">
        <v>5018</v>
      </c>
      <c r="G4413">
        <v>99</v>
      </c>
      <c r="H4413" s="5">
        <v>1.5082395788447419E-3</v>
      </c>
      <c r="I4413">
        <v>2</v>
      </c>
      <c r="J4413" t="b">
        <f>AND(CCData[[#This Row],[Date]]&gt;=Calculation!$E$3,CCData[[#This Row],[Date]]&lt;Calculation!$E$3+7)</f>
        <v>0</v>
      </c>
    </row>
    <row r="4414" spans="1:10">
      <c r="A4414" t="s">
        <v>4413</v>
      </c>
      <c r="B4414" s="2">
        <v>42082.648999999998</v>
      </c>
      <c r="C4414" s="3" t="s">
        <v>5006</v>
      </c>
      <c r="D4414" t="s">
        <v>5015</v>
      </c>
      <c r="E4414" t="s">
        <v>5018</v>
      </c>
      <c r="F4414" t="s">
        <v>5019</v>
      </c>
      <c r="G4414">
        <v>55</v>
      </c>
      <c r="H4414" s="5">
        <v>2.4418809200832015E-3</v>
      </c>
      <c r="I4414">
        <v>4</v>
      </c>
      <c r="J4414" t="b">
        <f>AND(CCData[[#This Row],[Date]]&gt;=Calculation!$E$3,CCData[[#This Row],[Date]]&lt;Calculation!$E$3+7)</f>
        <v>0</v>
      </c>
    </row>
    <row r="4415" spans="1:10">
      <c r="A4415" t="s">
        <v>4414</v>
      </c>
      <c r="B4415" s="2">
        <v>42082.648999999998</v>
      </c>
      <c r="C4415" s="3" t="s">
        <v>5008</v>
      </c>
      <c r="D4415" t="s">
        <v>5016</v>
      </c>
      <c r="E4415" t="s">
        <v>5018</v>
      </c>
      <c r="F4415" t="s">
        <v>5019</v>
      </c>
      <c r="G4415">
        <v>100</v>
      </c>
      <c r="H4415" s="5">
        <v>1.0625942563505628E-3</v>
      </c>
      <c r="I4415">
        <v>2</v>
      </c>
      <c r="J4415" t="b">
        <f>AND(CCData[[#This Row],[Date]]&gt;=Calculation!$E$3,CCData[[#This Row],[Date]]&lt;Calculation!$E$3+7)</f>
        <v>0</v>
      </c>
    </row>
    <row r="4416" spans="1:10">
      <c r="A4416" t="s">
        <v>4415</v>
      </c>
      <c r="B4416" s="2">
        <v>42082.686000000002</v>
      </c>
      <c r="C4416" s="3" t="s">
        <v>5004</v>
      </c>
      <c r="D4416" t="s">
        <v>5012</v>
      </c>
      <c r="E4416" t="s">
        <v>5018</v>
      </c>
      <c r="F4416" t="s">
        <v>5018</v>
      </c>
      <c r="G4416">
        <v>101</v>
      </c>
      <c r="H4416" s="5">
        <v>9.6817290529668332E-4</v>
      </c>
      <c r="I4416">
        <v>4</v>
      </c>
      <c r="J4416" t="b">
        <f>AND(CCData[[#This Row],[Date]]&gt;=Calculation!$E$3,CCData[[#This Row],[Date]]&lt;Calculation!$E$3+7)</f>
        <v>0</v>
      </c>
    </row>
    <row r="4417" spans="1:10">
      <c r="A4417" t="s">
        <v>4416</v>
      </c>
      <c r="B4417" s="2">
        <v>42082.686000000002</v>
      </c>
      <c r="C4417" s="3" t="s">
        <v>5008</v>
      </c>
      <c r="D4417" t="s">
        <v>5014</v>
      </c>
      <c r="E4417" t="s">
        <v>5018</v>
      </c>
      <c r="F4417" t="s">
        <v>5018</v>
      </c>
      <c r="G4417">
        <v>105</v>
      </c>
      <c r="H4417" s="5">
        <v>4.3907256455900517E-3</v>
      </c>
      <c r="I4417">
        <v>5</v>
      </c>
      <c r="J4417" t="b">
        <f>AND(CCData[[#This Row],[Date]]&gt;=Calculation!$E$3,CCData[[#This Row],[Date]]&lt;Calculation!$E$3+7)</f>
        <v>0</v>
      </c>
    </row>
    <row r="4418" spans="1:10">
      <c r="A4418" t="s">
        <v>4417</v>
      </c>
      <c r="B4418" s="2">
        <v>42082.69</v>
      </c>
      <c r="C4418" s="3" t="s">
        <v>5005</v>
      </c>
      <c r="D4418" t="s">
        <v>5014</v>
      </c>
      <c r="E4418" t="s">
        <v>5019</v>
      </c>
      <c r="F4418" t="s">
        <v>5019</v>
      </c>
      <c r="G4418" t="s">
        <v>5022</v>
      </c>
      <c r="H4418" s="5" t="s">
        <v>5022</v>
      </c>
      <c r="I4418" t="s">
        <v>5022</v>
      </c>
      <c r="J4418" t="b">
        <f>AND(CCData[[#This Row],[Date]]&gt;=Calculation!$E$3,CCData[[#This Row],[Date]]&lt;Calculation!$E$3+7)</f>
        <v>0</v>
      </c>
    </row>
    <row r="4419" spans="1:10">
      <c r="A4419" t="s">
        <v>4418</v>
      </c>
      <c r="B4419" s="2">
        <v>42082.69</v>
      </c>
      <c r="C4419" s="3" t="s">
        <v>5006</v>
      </c>
      <c r="D4419" t="s">
        <v>5012</v>
      </c>
      <c r="E4419" t="s">
        <v>5018</v>
      </c>
      <c r="F4419" t="s">
        <v>5018</v>
      </c>
      <c r="G4419">
        <v>47</v>
      </c>
      <c r="H4419" s="5">
        <v>4.7864357295726856E-3</v>
      </c>
      <c r="I4419">
        <v>4</v>
      </c>
      <c r="J4419" t="b">
        <f>AND(CCData[[#This Row],[Date]]&gt;=Calculation!$E$3,CCData[[#This Row],[Date]]&lt;Calculation!$E$3+7)</f>
        <v>0</v>
      </c>
    </row>
    <row r="4420" spans="1:10">
      <c r="A4420" t="s">
        <v>4419</v>
      </c>
      <c r="B4420" s="2">
        <v>42082.697</v>
      </c>
      <c r="C4420" s="3" t="s">
        <v>5006</v>
      </c>
      <c r="D4420" t="s">
        <v>5015</v>
      </c>
      <c r="E4420" t="s">
        <v>5018</v>
      </c>
      <c r="F4420" t="s">
        <v>5018</v>
      </c>
      <c r="G4420">
        <v>123</v>
      </c>
      <c r="H4420" s="5">
        <v>1.8492049708808114E-3</v>
      </c>
      <c r="I4420">
        <v>3</v>
      </c>
      <c r="J4420" t="b">
        <f>AND(CCData[[#This Row],[Date]]&gt;=Calculation!$E$3,CCData[[#This Row],[Date]]&lt;Calculation!$E$3+7)</f>
        <v>0</v>
      </c>
    </row>
    <row r="4421" spans="1:10">
      <c r="A4421" t="s">
        <v>4420</v>
      </c>
      <c r="B4421" s="2">
        <v>42082.697</v>
      </c>
      <c r="C4421" s="3" t="s">
        <v>5007</v>
      </c>
      <c r="D4421" t="s">
        <v>5016</v>
      </c>
      <c r="E4421" t="s">
        <v>5018</v>
      </c>
      <c r="F4421" t="s">
        <v>5019</v>
      </c>
      <c r="G4421">
        <v>108</v>
      </c>
      <c r="H4421" s="5">
        <v>3.2236139926412996E-3</v>
      </c>
      <c r="I4421">
        <v>3</v>
      </c>
      <c r="J4421" t="b">
        <f>AND(CCData[[#This Row],[Date]]&gt;=Calculation!$E$3,CCData[[#This Row],[Date]]&lt;Calculation!$E$3+7)</f>
        <v>0</v>
      </c>
    </row>
    <row r="4422" spans="1:10">
      <c r="A4422" t="s">
        <v>4421</v>
      </c>
      <c r="B4422" s="2">
        <v>42083.379000000001</v>
      </c>
      <c r="C4422" s="3" t="s">
        <v>5005</v>
      </c>
      <c r="D4422" t="s">
        <v>5015</v>
      </c>
      <c r="E4422" t="s">
        <v>5019</v>
      </c>
      <c r="F4422" t="s">
        <v>5019</v>
      </c>
      <c r="G4422" t="s">
        <v>5022</v>
      </c>
      <c r="H4422" s="5" t="s">
        <v>5022</v>
      </c>
      <c r="I4422" t="s">
        <v>5022</v>
      </c>
      <c r="J4422" t="b">
        <f>AND(CCData[[#This Row],[Date]]&gt;=Calculation!$E$3,CCData[[#This Row],[Date]]&lt;Calculation!$E$3+7)</f>
        <v>0</v>
      </c>
    </row>
    <row r="4423" spans="1:10">
      <c r="A4423" t="s">
        <v>4422</v>
      </c>
      <c r="B4423" s="2">
        <v>42083.379000000001</v>
      </c>
      <c r="C4423" s="3" t="s">
        <v>5009</v>
      </c>
      <c r="D4423" t="s">
        <v>5013</v>
      </c>
      <c r="E4423" t="s">
        <v>5018</v>
      </c>
      <c r="F4423" t="s">
        <v>5018</v>
      </c>
      <c r="G4423">
        <v>35</v>
      </c>
      <c r="H4423" s="5">
        <v>7.7565252454486115E-4</v>
      </c>
      <c r="I4423">
        <v>5</v>
      </c>
      <c r="J4423" t="b">
        <f>AND(CCData[[#This Row],[Date]]&gt;=Calculation!$E$3,CCData[[#This Row],[Date]]&lt;Calculation!$E$3+7)</f>
        <v>0</v>
      </c>
    </row>
    <row r="4424" spans="1:10">
      <c r="A4424" t="s">
        <v>4423</v>
      </c>
      <c r="B4424" s="2">
        <v>42083.415000000001</v>
      </c>
      <c r="C4424" s="3" t="s">
        <v>5007</v>
      </c>
      <c r="D4424" t="s">
        <v>5013</v>
      </c>
      <c r="E4424" t="s">
        <v>5018</v>
      </c>
      <c r="F4424" t="s">
        <v>5018</v>
      </c>
      <c r="G4424">
        <v>80</v>
      </c>
      <c r="H4424" s="5">
        <v>2.1668841313283701E-3</v>
      </c>
      <c r="I4424">
        <v>5</v>
      </c>
      <c r="J4424" t="b">
        <f>AND(CCData[[#This Row],[Date]]&gt;=Calculation!$E$3,CCData[[#This Row],[Date]]&lt;Calculation!$E$3+7)</f>
        <v>0</v>
      </c>
    </row>
    <row r="4425" spans="1:10">
      <c r="A4425" t="s">
        <v>4424</v>
      </c>
      <c r="B4425" s="2">
        <v>42083.415000000001</v>
      </c>
      <c r="C4425" s="3" t="s">
        <v>5010</v>
      </c>
      <c r="D4425" t="s">
        <v>5013</v>
      </c>
      <c r="E4425" t="s">
        <v>5018</v>
      </c>
      <c r="F4425" t="s">
        <v>5018</v>
      </c>
      <c r="G4425">
        <v>16</v>
      </c>
      <c r="H4425" s="5">
        <v>2.0295858605896859E-3</v>
      </c>
      <c r="I4425">
        <v>5</v>
      </c>
      <c r="J4425" t="b">
        <f>AND(CCData[[#This Row],[Date]]&gt;=Calculation!$E$3,CCData[[#This Row],[Date]]&lt;Calculation!$E$3+7)</f>
        <v>0</v>
      </c>
    </row>
    <row r="4426" spans="1:10">
      <c r="A4426" t="s">
        <v>4425</v>
      </c>
      <c r="B4426" s="2">
        <v>42083.428999999996</v>
      </c>
      <c r="C4426" s="3" t="s">
        <v>5010</v>
      </c>
      <c r="D4426" t="s">
        <v>5015</v>
      </c>
      <c r="E4426" t="s">
        <v>5018</v>
      </c>
      <c r="F4426" t="s">
        <v>5018</v>
      </c>
      <c r="G4426">
        <v>102</v>
      </c>
      <c r="H4426" s="5">
        <v>4.3380179654615089E-3</v>
      </c>
      <c r="I4426">
        <v>3</v>
      </c>
      <c r="J4426" t="b">
        <f>AND(CCData[[#This Row],[Date]]&gt;=Calculation!$E$3,CCData[[#This Row],[Date]]&lt;Calculation!$E$3+7)</f>
        <v>0</v>
      </c>
    </row>
    <row r="4427" spans="1:10">
      <c r="A4427" t="s">
        <v>4426</v>
      </c>
      <c r="B4427" s="2">
        <v>42083.428999999996</v>
      </c>
      <c r="C4427" s="3" t="s">
        <v>5005</v>
      </c>
      <c r="D4427" t="s">
        <v>5016</v>
      </c>
      <c r="E4427" t="s">
        <v>5019</v>
      </c>
      <c r="F4427" t="s">
        <v>5019</v>
      </c>
      <c r="G4427" t="s">
        <v>5022</v>
      </c>
      <c r="H4427" s="5" t="s">
        <v>5022</v>
      </c>
      <c r="I4427" t="s">
        <v>5022</v>
      </c>
      <c r="J4427" t="b">
        <f>AND(CCData[[#This Row],[Date]]&gt;=Calculation!$E$3,CCData[[#This Row],[Date]]&lt;Calculation!$E$3+7)</f>
        <v>0</v>
      </c>
    </row>
    <row r="4428" spans="1:10">
      <c r="A4428" t="s">
        <v>4427</v>
      </c>
      <c r="B4428" s="2">
        <v>42083.43</v>
      </c>
      <c r="C4428" s="3" t="s">
        <v>5008</v>
      </c>
      <c r="D4428" t="s">
        <v>5016</v>
      </c>
      <c r="E4428" t="s">
        <v>5018</v>
      </c>
      <c r="F4428" t="s">
        <v>5018</v>
      </c>
      <c r="G4428">
        <v>111</v>
      </c>
      <c r="H4428" s="5">
        <v>4.3566754174657078E-3</v>
      </c>
      <c r="I4428">
        <v>3</v>
      </c>
      <c r="J4428" t="b">
        <f>AND(CCData[[#This Row],[Date]]&gt;=Calculation!$E$3,CCData[[#This Row],[Date]]&lt;Calculation!$E$3+7)</f>
        <v>0</v>
      </c>
    </row>
    <row r="4429" spans="1:10">
      <c r="A4429" t="s">
        <v>4428</v>
      </c>
      <c r="B4429" s="2">
        <v>42083.43</v>
      </c>
      <c r="C4429" s="3" t="s">
        <v>5004</v>
      </c>
      <c r="D4429" t="s">
        <v>5014</v>
      </c>
      <c r="E4429" t="s">
        <v>5018</v>
      </c>
      <c r="F4429" t="s">
        <v>5018</v>
      </c>
      <c r="G4429">
        <v>81</v>
      </c>
      <c r="H4429" s="5">
        <v>3.301831711759001E-3</v>
      </c>
      <c r="I4429">
        <v>4</v>
      </c>
      <c r="J4429" t="b">
        <f>AND(CCData[[#This Row],[Date]]&gt;=Calculation!$E$3,CCData[[#This Row],[Date]]&lt;Calculation!$E$3+7)</f>
        <v>0</v>
      </c>
    </row>
    <row r="4430" spans="1:10">
      <c r="A4430" t="s">
        <v>4429</v>
      </c>
      <c r="B4430" s="2">
        <v>42083.446000000004</v>
      </c>
      <c r="C4430" s="3" t="s">
        <v>5003</v>
      </c>
      <c r="D4430" t="s">
        <v>5012</v>
      </c>
      <c r="E4430" t="s">
        <v>5019</v>
      </c>
      <c r="F4430" t="s">
        <v>5019</v>
      </c>
      <c r="G4430" t="s">
        <v>5022</v>
      </c>
      <c r="H4430" s="5" t="s">
        <v>5022</v>
      </c>
      <c r="I4430" t="s">
        <v>5022</v>
      </c>
      <c r="J4430" t="b">
        <f>AND(CCData[[#This Row],[Date]]&gt;=Calculation!$E$3,CCData[[#This Row],[Date]]&lt;Calculation!$E$3+7)</f>
        <v>0</v>
      </c>
    </row>
    <row r="4431" spans="1:10">
      <c r="A4431" t="s">
        <v>4430</v>
      </c>
      <c r="B4431" s="2">
        <v>42083.446000000004</v>
      </c>
      <c r="C4431" s="3" t="s">
        <v>5009</v>
      </c>
      <c r="D4431" t="s">
        <v>5013</v>
      </c>
      <c r="E4431" t="s">
        <v>5018</v>
      </c>
      <c r="F4431" t="s">
        <v>5018</v>
      </c>
      <c r="G4431">
        <v>32</v>
      </c>
      <c r="H4431" s="5">
        <v>4.1834858789505726E-4</v>
      </c>
      <c r="I4431">
        <v>5</v>
      </c>
      <c r="J4431" t="b">
        <f>AND(CCData[[#This Row],[Date]]&gt;=Calculation!$E$3,CCData[[#This Row],[Date]]&lt;Calculation!$E$3+7)</f>
        <v>0</v>
      </c>
    </row>
    <row r="4432" spans="1:10">
      <c r="A4432" t="s">
        <v>4431</v>
      </c>
      <c r="B4432" s="2">
        <v>42083.466999999997</v>
      </c>
      <c r="C4432" s="3" t="s">
        <v>5010</v>
      </c>
      <c r="D4432" t="s">
        <v>5014</v>
      </c>
      <c r="E4432" t="s">
        <v>5019</v>
      </c>
      <c r="F4432" t="s">
        <v>5019</v>
      </c>
      <c r="G4432" t="s">
        <v>5022</v>
      </c>
      <c r="H4432" s="5" t="s">
        <v>5022</v>
      </c>
      <c r="I4432" t="s">
        <v>5022</v>
      </c>
      <c r="J4432" t="b">
        <f>AND(CCData[[#This Row],[Date]]&gt;=Calculation!$E$3,CCData[[#This Row],[Date]]&lt;Calculation!$E$3+7)</f>
        <v>0</v>
      </c>
    </row>
    <row r="4433" spans="1:10">
      <c r="A4433" t="s">
        <v>4432</v>
      </c>
      <c r="B4433" s="2">
        <v>42083.466999999997</v>
      </c>
      <c r="C4433" s="3" t="s">
        <v>5003</v>
      </c>
      <c r="D4433" t="s">
        <v>5016</v>
      </c>
      <c r="E4433" t="s">
        <v>5018</v>
      </c>
      <c r="F4433" t="s">
        <v>5018</v>
      </c>
      <c r="G4433">
        <v>52</v>
      </c>
      <c r="H4433" s="5">
        <v>2.2471040211647295E-3</v>
      </c>
      <c r="I4433">
        <v>3</v>
      </c>
      <c r="J4433" t="b">
        <f>AND(CCData[[#This Row],[Date]]&gt;=Calculation!$E$3,CCData[[#This Row],[Date]]&lt;Calculation!$E$3+7)</f>
        <v>0</v>
      </c>
    </row>
    <row r="4434" spans="1:10">
      <c r="A4434" t="s">
        <v>4433</v>
      </c>
      <c r="B4434" s="2">
        <v>42083.476000000002</v>
      </c>
      <c r="C4434" s="3" t="s">
        <v>5009</v>
      </c>
      <c r="D4434" t="s">
        <v>5013</v>
      </c>
      <c r="E4434" t="s">
        <v>5018</v>
      </c>
      <c r="F4434" t="s">
        <v>5018</v>
      </c>
      <c r="G4434">
        <v>112</v>
      </c>
      <c r="H4434" s="5">
        <v>2.2152117594493414E-3</v>
      </c>
      <c r="I4434">
        <v>5</v>
      </c>
      <c r="J4434" t="b">
        <f>AND(CCData[[#This Row],[Date]]&gt;=Calculation!$E$3,CCData[[#This Row],[Date]]&lt;Calculation!$E$3+7)</f>
        <v>0</v>
      </c>
    </row>
    <row r="4435" spans="1:10">
      <c r="A4435" t="s">
        <v>4434</v>
      </c>
      <c r="B4435" s="2">
        <v>42083.476000000002</v>
      </c>
      <c r="C4435" s="3" t="s">
        <v>5004</v>
      </c>
      <c r="D4435" t="s">
        <v>5013</v>
      </c>
      <c r="E4435" t="s">
        <v>5018</v>
      </c>
      <c r="F4435" t="s">
        <v>5018</v>
      </c>
      <c r="G4435">
        <v>30</v>
      </c>
      <c r="H4435" s="5">
        <v>4.3419396121760108E-3</v>
      </c>
      <c r="I4435">
        <v>3</v>
      </c>
      <c r="J4435" t="b">
        <f>AND(CCData[[#This Row],[Date]]&gt;=Calculation!$E$3,CCData[[#This Row],[Date]]&lt;Calculation!$E$3+7)</f>
        <v>0</v>
      </c>
    </row>
    <row r="4436" spans="1:10">
      <c r="A4436" t="s">
        <v>4435</v>
      </c>
      <c r="B4436" s="2">
        <v>42083.491000000002</v>
      </c>
      <c r="C4436" s="3" t="s">
        <v>5004</v>
      </c>
      <c r="D4436" t="s">
        <v>5015</v>
      </c>
      <c r="E4436" t="s">
        <v>5018</v>
      </c>
      <c r="F4436" t="s">
        <v>5018</v>
      </c>
      <c r="G4436">
        <v>91</v>
      </c>
      <c r="H4436" s="5">
        <v>1.375725124055294E-3</v>
      </c>
      <c r="I4436">
        <v>1</v>
      </c>
      <c r="J4436" t="b">
        <f>AND(CCData[[#This Row],[Date]]&gt;=Calculation!$E$3,CCData[[#This Row],[Date]]&lt;Calculation!$E$3+7)</f>
        <v>0</v>
      </c>
    </row>
    <row r="4437" spans="1:10">
      <c r="A4437" t="s">
        <v>4436</v>
      </c>
      <c r="B4437" s="2">
        <v>42083.491000000002</v>
      </c>
      <c r="C4437" s="3" t="s">
        <v>5006</v>
      </c>
      <c r="D4437" t="s">
        <v>5016</v>
      </c>
      <c r="E4437" t="s">
        <v>5018</v>
      </c>
      <c r="F4437" t="s">
        <v>5018</v>
      </c>
      <c r="G4437">
        <v>53</v>
      </c>
      <c r="H4437" s="5">
        <v>3.6412708992347048E-3</v>
      </c>
      <c r="I4437">
        <v>3</v>
      </c>
      <c r="J4437" t="b">
        <f>AND(CCData[[#This Row],[Date]]&gt;=Calculation!$E$3,CCData[[#This Row],[Date]]&lt;Calculation!$E$3+7)</f>
        <v>0</v>
      </c>
    </row>
    <row r="4438" spans="1:10">
      <c r="A4438" t="s">
        <v>4437</v>
      </c>
      <c r="B4438" s="2">
        <v>42083.497000000003</v>
      </c>
      <c r="C4438" s="3" t="s">
        <v>5004</v>
      </c>
      <c r="D4438" t="s">
        <v>5012</v>
      </c>
      <c r="E4438" t="s">
        <v>5019</v>
      </c>
      <c r="F4438" t="s">
        <v>5019</v>
      </c>
      <c r="G4438" t="s">
        <v>5022</v>
      </c>
      <c r="H4438" s="5" t="s">
        <v>5022</v>
      </c>
      <c r="I4438" t="s">
        <v>5022</v>
      </c>
      <c r="J4438" t="b">
        <f>AND(CCData[[#This Row],[Date]]&gt;=Calculation!$E$3,CCData[[#This Row],[Date]]&lt;Calculation!$E$3+7)</f>
        <v>0</v>
      </c>
    </row>
    <row r="4439" spans="1:10">
      <c r="A4439" t="s">
        <v>4438</v>
      </c>
      <c r="B4439" s="2">
        <v>42083.497000000003</v>
      </c>
      <c r="C4439" s="3" t="s">
        <v>5003</v>
      </c>
      <c r="D4439" t="s">
        <v>5012</v>
      </c>
      <c r="E4439" t="s">
        <v>5019</v>
      </c>
      <c r="F4439" t="s">
        <v>5019</v>
      </c>
      <c r="G4439" t="s">
        <v>5022</v>
      </c>
      <c r="H4439" s="5" t="s">
        <v>5022</v>
      </c>
      <c r="I4439" t="s">
        <v>5022</v>
      </c>
      <c r="J4439" t="b">
        <f>AND(CCData[[#This Row],[Date]]&gt;=Calculation!$E$3,CCData[[#This Row],[Date]]&lt;Calculation!$E$3+7)</f>
        <v>0</v>
      </c>
    </row>
    <row r="4440" spans="1:10">
      <c r="A4440" t="s">
        <v>4439</v>
      </c>
      <c r="B4440" s="2">
        <v>42083.508999999998</v>
      </c>
      <c r="C4440" s="3" t="s">
        <v>5007</v>
      </c>
      <c r="D4440" t="s">
        <v>5013</v>
      </c>
      <c r="E4440" t="s">
        <v>5018</v>
      </c>
      <c r="F4440" t="s">
        <v>5018</v>
      </c>
      <c r="G4440">
        <v>40</v>
      </c>
      <c r="H4440" s="5">
        <v>3.4924737994937363E-3</v>
      </c>
      <c r="I4440">
        <v>3</v>
      </c>
      <c r="J4440" t="b">
        <f>AND(CCData[[#This Row],[Date]]&gt;=Calculation!$E$3,CCData[[#This Row],[Date]]&lt;Calculation!$E$3+7)</f>
        <v>0</v>
      </c>
    </row>
    <row r="4441" spans="1:10">
      <c r="A4441" t="s">
        <v>4440</v>
      </c>
      <c r="B4441" s="2">
        <v>42083.508999999998</v>
      </c>
      <c r="C4441" s="3" t="s">
        <v>5003</v>
      </c>
      <c r="D4441" t="s">
        <v>5012</v>
      </c>
      <c r="E4441" t="s">
        <v>5018</v>
      </c>
      <c r="F4441" t="s">
        <v>5018</v>
      </c>
      <c r="G4441">
        <v>45</v>
      </c>
      <c r="H4441" s="5">
        <v>4.0077968175194316E-3</v>
      </c>
      <c r="I4441">
        <v>5</v>
      </c>
      <c r="J4441" t="b">
        <f>AND(CCData[[#This Row],[Date]]&gt;=Calculation!$E$3,CCData[[#This Row],[Date]]&lt;Calculation!$E$3+7)</f>
        <v>0</v>
      </c>
    </row>
    <row r="4442" spans="1:10">
      <c r="A4442" t="s">
        <v>4441</v>
      </c>
      <c r="B4442" s="2">
        <v>42083.517</v>
      </c>
      <c r="C4442" s="3" t="s">
        <v>5007</v>
      </c>
      <c r="D4442" t="s">
        <v>5016</v>
      </c>
      <c r="E4442" t="s">
        <v>5019</v>
      </c>
      <c r="F4442" t="s">
        <v>5019</v>
      </c>
      <c r="G4442" t="s">
        <v>5022</v>
      </c>
      <c r="H4442" s="5" t="s">
        <v>5022</v>
      </c>
      <c r="I4442" t="s">
        <v>5022</v>
      </c>
      <c r="J4442" t="b">
        <f>AND(CCData[[#This Row],[Date]]&gt;=Calculation!$E$3,CCData[[#This Row],[Date]]&lt;Calculation!$E$3+7)</f>
        <v>0</v>
      </c>
    </row>
    <row r="4443" spans="1:10">
      <c r="A4443" t="s">
        <v>4442</v>
      </c>
      <c r="B4443" s="2">
        <v>42083.517</v>
      </c>
      <c r="C4443" s="3" t="s">
        <v>5005</v>
      </c>
      <c r="D4443" t="s">
        <v>5015</v>
      </c>
      <c r="E4443" t="s">
        <v>5018</v>
      </c>
      <c r="F4443" t="s">
        <v>5018</v>
      </c>
      <c r="G4443">
        <v>89</v>
      </c>
      <c r="H4443" s="5">
        <v>2.5152271402633037E-3</v>
      </c>
      <c r="I4443">
        <v>2</v>
      </c>
      <c r="J4443" t="b">
        <f>AND(CCData[[#This Row],[Date]]&gt;=Calculation!$E$3,CCData[[#This Row],[Date]]&lt;Calculation!$E$3+7)</f>
        <v>0</v>
      </c>
    </row>
    <row r="4444" spans="1:10">
      <c r="A4444" t="s">
        <v>4443</v>
      </c>
      <c r="B4444" s="2">
        <v>42083.546999999999</v>
      </c>
      <c r="C4444" s="3" t="s">
        <v>5004</v>
      </c>
      <c r="D4444" t="s">
        <v>5013</v>
      </c>
      <c r="E4444" t="s">
        <v>5018</v>
      </c>
      <c r="F4444" t="s">
        <v>5018</v>
      </c>
      <c r="G4444">
        <v>24</v>
      </c>
      <c r="H4444" s="5">
        <v>1.2786874996776967E-3</v>
      </c>
      <c r="I4444">
        <v>5</v>
      </c>
      <c r="J4444" t="b">
        <f>AND(CCData[[#This Row],[Date]]&gt;=Calculation!$E$3,CCData[[#This Row],[Date]]&lt;Calculation!$E$3+7)</f>
        <v>0</v>
      </c>
    </row>
    <row r="4445" spans="1:10">
      <c r="A4445" t="s">
        <v>4444</v>
      </c>
      <c r="B4445" s="2">
        <v>42083.546999999999</v>
      </c>
      <c r="C4445" s="3" t="s">
        <v>5003</v>
      </c>
      <c r="D4445" t="s">
        <v>5013</v>
      </c>
      <c r="E4445" t="s">
        <v>5018</v>
      </c>
      <c r="F4445" t="s">
        <v>5018</v>
      </c>
      <c r="G4445">
        <v>76</v>
      </c>
      <c r="H4445" s="5">
        <v>3.5197473711465984E-3</v>
      </c>
      <c r="I4445">
        <v>3</v>
      </c>
      <c r="J4445" t="b">
        <f>AND(CCData[[#This Row],[Date]]&gt;=Calculation!$E$3,CCData[[#This Row],[Date]]&lt;Calculation!$E$3+7)</f>
        <v>0</v>
      </c>
    </row>
    <row r="4446" spans="1:10">
      <c r="A4446" t="s">
        <v>4445</v>
      </c>
      <c r="B4446" s="2">
        <v>42083.55</v>
      </c>
      <c r="C4446" s="3" t="s">
        <v>5006</v>
      </c>
      <c r="D4446" t="s">
        <v>5016</v>
      </c>
      <c r="E4446" t="s">
        <v>5018</v>
      </c>
      <c r="F4446" t="s">
        <v>5018</v>
      </c>
      <c r="G4446">
        <v>27</v>
      </c>
      <c r="H4446" s="5">
        <v>2.9745880839021997E-3</v>
      </c>
      <c r="I4446">
        <v>2</v>
      </c>
      <c r="J4446" t="b">
        <f>AND(CCData[[#This Row],[Date]]&gt;=Calculation!$E$3,CCData[[#This Row],[Date]]&lt;Calculation!$E$3+7)</f>
        <v>0</v>
      </c>
    </row>
    <row r="4447" spans="1:10">
      <c r="A4447" t="s">
        <v>4446</v>
      </c>
      <c r="B4447" s="2">
        <v>42083.55</v>
      </c>
      <c r="C4447" s="3" t="s">
        <v>5005</v>
      </c>
      <c r="D4447" t="s">
        <v>5012</v>
      </c>
      <c r="E4447" t="s">
        <v>5018</v>
      </c>
      <c r="F4447" t="s">
        <v>5019</v>
      </c>
      <c r="G4447">
        <v>27</v>
      </c>
      <c r="H4447" s="5">
        <v>1.7433674052050009E-3</v>
      </c>
      <c r="I4447">
        <v>4</v>
      </c>
      <c r="J4447" t="b">
        <f>AND(CCData[[#This Row],[Date]]&gt;=Calculation!$E$3,CCData[[#This Row],[Date]]&lt;Calculation!$E$3+7)</f>
        <v>0</v>
      </c>
    </row>
    <row r="4448" spans="1:10">
      <c r="A4448" t="s">
        <v>4447</v>
      </c>
      <c r="B4448" s="2">
        <v>42083.571000000004</v>
      </c>
      <c r="C4448" s="3" t="s">
        <v>5003</v>
      </c>
      <c r="D4448" t="s">
        <v>5012</v>
      </c>
      <c r="E4448" t="s">
        <v>5018</v>
      </c>
      <c r="F4448" t="s">
        <v>5018</v>
      </c>
      <c r="G4448">
        <v>104</v>
      </c>
      <c r="H4448" s="5">
        <v>3.842870820038894E-3</v>
      </c>
      <c r="I4448">
        <v>2</v>
      </c>
      <c r="J4448" t="b">
        <f>AND(CCData[[#This Row],[Date]]&gt;=Calculation!$E$3,CCData[[#This Row],[Date]]&lt;Calculation!$E$3+7)</f>
        <v>0</v>
      </c>
    </row>
    <row r="4449" spans="1:10">
      <c r="A4449" t="s">
        <v>4448</v>
      </c>
      <c r="B4449" s="2">
        <v>42083.571000000004</v>
      </c>
      <c r="C4449" s="3" t="s">
        <v>5003</v>
      </c>
      <c r="D4449" t="s">
        <v>5015</v>
      </c>
      <c r="E4449" t="s">
        <v>5018</v>
      </c>
      <c r="F4449" t="s">
        <v>5018</v>
      </c>
      <c r="G4449">
        <v>110</v>
      </c>
      <c r="H4449" s="5">
        <v>2.4141233762905714E-3</v>
      </c>
      <c r="I4449">
        <v>1</v>
      </c>
      <c r="J4449" t="b">
        <f>AND(CCData[[#This Row],[Date]]&gt;=Calculation!$E$3,CCData[[#This Row],[Date]]&lt;Calculation!$E$3+7)</f>
        <v>0</v>
      </c>
    </row>
    <row r="4450" spans="1:10">
      <c r="A4450" t="s">
        <v>4449</v>
      </c>
      <c r="B4450" s="2">
        <v>42083.574000000001</v>
      </c>
      <c r="C4450" s="3" t="s">
        <v>5008</v>
      </c>
      <c r="D4450" t="s">
        <v>5012</v>
      </c>
      <c r="E4450" t="s">
        <v>5018</v>
      </c>
      <c r="F4450" t="s">
        <v>5018</v>
      </c>
      <c r="G4450">
        <v>51</v>
      </c>
      <c r="H4450" s="5">
        <v>3.6002197822420658E-3</v>
      </c>
      <c r="I4450">
        <v>4</v>
      </c>
      <c r="J4450" t="b">
        <f>AND(CCData[[#This Row],[Date]]&gt;=Calculation!$E$3,CCData[[#This Row],[Date]]&lt;Calculation!$E$3+7)</f>
        <v>0</v>
      </c>
    </row>
    <row r="4451" spans="1:10">
      <c r="A4451" t="s">
        <v>4450</v>
      </c>
      <c r="B4451" s="2">
        <v>42083.574000000001</v>
      </c>
      <c r="C4451" s="3" t="s">
        <v>5010</v>
      </c>
      <c r="D4451" t="s">
        <v>5012</v>
      </c>
      <c r="E4451" t="s">
        <v>5018</v>
      </c>
      <c r="F4451" t="s">
        <v>5018</v>
      </c>
      <c r="G4451">
        <v>65</v>
      </c>
      <c r="H4451" s="5">
        <v>4.0411881049266744E-3</v>
      </c>
      <c r="I4451">
        <v>2</v>
      </c>
      <c r="J4451" t="b">
        <f>AND(CCData[[#This Row],[Date]]&gt;=Calculation!$E$3,CCData[[#This Row],[Date]]&lt;Calculation!$E$3+7)</f>
        <v>0</v>
      </c>
    </row>
    <row r="4452" spans="1:10">
      <c r="A4452" t="s">
        <v>4451</v>
      </c>
      <c r="B4452" s="2">
        <v>42083.601999999999</v>
      </c>
      <c r="C4452" s="3" t="s">
        <v>5006</v>
      </c>
      <c r="D4452" t="s">
        <v>5015</v>
      </c>
      <c r="E4452" t="s">
        <v>5018</v>
      </c>
      <c r="F4452" t="s">
        <v>5018</v>
      </c>
      <c r="G4452">
        <v>21</v>
      </c>
      <c r="H4452" s="5">
        <v>2.2239304781982395E-3</v>
      </c>
      <c r="I4452">
        <v>4</v>
      </c>
      <c r="J4452" t="b">
        <f>AND(CCData[[#This Row],[Date]]&gt;=Calculation!$E$3,CCData[[#This Row],[Date]]&lt;Calculation!$E$3+7)</f>
        <v>0</v>
      </c>
    </row>
    <row r="4453" spans="1:10">
      <c r="A4453" t="s">
        <v>4452</v>
      </c>
      <c r="B4453" s="2">
        <v>42083.601999999999</v>
      </c>
      <c r="C4453" s="3" t="s">
        <v>5004</v>
      </c>
      <c r="D4453" t="s">
        <v>5016</v>
      </c>
      <c r="E4453" t="s">
        <v>5018</v>
      </c>
      <c r="F4453" t="s">
        <v>5018</v>
      </c>
      <c r="G4453">
        <v>29</v>
      </c>
      <c r="H4453" s="5">
        <v>8.4240267670449682E-4</v>
      </c>
      <c r="I4453">
        <v>3</v>
      </c>
      <c r="J4453" t="b">
        <f>AND(CCData[[#This Row],[Date]]&gt;=Calculation!$E$3,CCData[[#This Row],[Date]]&lt;Calculation!$E$3+7)</f>
        <v>0</v>
      </c>
    </row>
    <row r="4454" spans="1:10">
      <c r="A4454" t="s">
        <v>4453</v>
      </c>
      <c r="B4454" s="2">
        <v>42083.641000000003</v>
      </c>
      <c r="C4454" s="3" t="s">
        <v>5003</v>
      </c>
      <c r="D4454" t="s">
        <v>5014</v>
      </c>
      <c r="E4454" t="s">
        <v>5019</v>
      </c>
      <c r="F4454" t="s">
        <v>5019</v>
      </c>
      <c r="G4454" t="s">
        <v>5022</v>
      </c>
      <c r="H4454" s="5" t="s">
        <v>5022</v>
      </c>
      <c r="I4454" t="s">
        <v>5022</v>
      </c>
      <c r="J4454" t="b">
        <f>AND(CCData[[#This Row],[Date]]&gt;=Calculation!$E$3,CCData[[#This Row],[Date]]&lt;Calculation!$E$3+7)</f>
        <v>0</v>
      </c>
    </row>
    <row r="4455" spans="1:10">
      <c r="A4455" t="s">
        <v>4454</v>
      </c>
      <c r="B4455" s="2">
        <v>42083.641000000003</v>
      </c>
      <c r="C4455" s="3" t="s">
        <v>5008</v>
      </c>
      <c r="D4455" t="s">
        <v>5013</v>
      </c>
      <c r="E4455" t="s">
        <v>5019</v>
      </c>
      <c r="F4455" t="s">
        <v>5019</v>
      </c>
      <c r="G4455" t="s">
        <v>5022</v>
      </c>
      <c r="H4455" s="5" t="s">
        <v>5022</v>
      </c>
      <c r="I4455" t="s">
        <v>5022</v>
      </c>
      <c r="J4455" t="b">
        <f>AND(CCData[[#This Row],[Date]]&gt;=Calculation!$E$3,CCData[[#This Row],[Date]]&lt;Calculation!$E$3+7)</f>
        <v>0</v>
      </c>
    </row>
    <row r="4456" spans="1:10">
      <c r="A4456" t="s">
        <v>4455</v>
      </c>
      <c r="B4456" s="2">
        <v>42083.654000000002</v>
      </c>
      <c r="C4456" s="3" t="s">
        <v>5005</v>
      </c>
      <c r="D4456" t="s">
        <v>5012</v>
      </c>
      <c r="E4456" t="s">
        <v>5018</v>
      </c>
      <c r="F4456" t="s">
        <v>5018</v>
      </c>
      <c r="G4456">
        <v>124</v>
      </c>
      <c r="H4456" s="5">
        <v>2.1152170957640533E-3</v>
      </c>
      <c r="I4456">
        <v>4</v>
      </c>
      <c r="J4456" t="b">
        <f>AND(CCData[[#This Row],[Date]]&gt;=Calculation!$E$3,CCData[[#This Row],[Date]]&lt;Calculation!$E$3+7)</f>
        <v>0</v>
      </c>
    </row>
    <row r="4457" spans="1:10">
      <c r="A4457" t="s">
        <v>4456</v>
      </c>
      <c r="B4457" s="2">
        <v>42083.654000000002</v>
      </c>
      <c r="C4457" s="3" t="s">
        <v>5006</v>
      </c>
      <c r="D4457" t="s">
        <v>5016</v>
      </c>
      <c r="E4457" t="s">
        <v>5018</v>
      </c>
      <c r="F4457" t="s">
        <v>5018</v>
      </c>
      <c r="G4457">
        <v>21</v>
      </c>
      <c r="H4457" s="5">
        <v>3.0557241648568002E-3</v>
      </c>
      <c r="I4457">
        <v>1</v>
      </c>
      <c r="J4457" t="b">
        <f>AND(CCData[[#This Row],[Date]]&gt;=Calculation!$E$3,CCData[[#This Row],[Date]]&lt;Calculation!$E$3+7)</f>
        <v>0</v>
      </c>
    </row>
    <row r="4458" spans="1:10">
      <c r="A4458" t="s">
        <v>4457</v>
      </c>
      <c r="B4458" s="2">
        <v>42083.654999999999</v>
      </c>
      <c r="C4458" s="3" t="s">
        <v>5009</v>
      </c>
      <c r="D4458" t="s">
        <v>5015</v>
      </c>
      <c r="E4458" t="s">
        <v>5018</v>
      </c>
      <c r="F4458" t="s">
        <v>5018</v>
      </c>
      <c r="G4458">
        <v>121</v>
      </c>
      <c r="H4458" s="5">
        <v>1.5942829732832227E-3</v>
      </c>
      <c r="I4458">
        <v>3</v>
      </c>
      <c r="J4458" t="b">
        <f>AND(CCData[[#This Row],[Date]]&gt;=Calculation!$E$3,CCData[[#This Row],[Date]]&lt;Calculation!$E$3+7)</f>
        <v>0</v>
      </c>
    </row>
    <row r="4459" spans="1:10">
      <c r="A4459" t="s">
        <v>4458</v>
      </c>
      <c r="B4459" s="2">
        <v>42083.654999999999</v>
      </c>
      <c r="C4459" s="3" t="s">
        <v>5004</v>
      </c>
      <c r="D4459" t="s">
        <v>5013</v>
      </c>
      <c r="E4459" t="s">
        <v>5019</v>
      </c>
      <c r="F4459" t="s">
        <v>5019</v>
      </c>
      <c r="G4459" t="s">
        <v>5022</v>
      </c>
      <c r="H4459" s="5" t="s">
        <v>5022</v>
      </c>
      <c r="I4459" t="s">
        <v>5022</v>
      </c>
      <c r="J4459" t="b">
        <f>AND(CCData[[#This Row],[Date]]&gt;=Calculation!$E$3,CCData[[#This Row],[Date]]&lt;Calculation!$E$3+7)</f>
        <v>0</v>
      </c>
    </row>
    <row r="4460" spans="1:10">
      <c r="A4460" t="s">
        <v>4459</v>
      </c>
      <c r="B4460" s="2">
        <v>42083.654999999999</v>
      </c>
      <c r="C4460" s="3" t="s">
        <v>5010</v>
      </c>
      <c r="D4460" t="s">
        <v>5014</v>
      </c>
      <c r="E4460" t="s">
        <v>5018</v>
      </c>
      <c r="F4460" t="s">
        <v>5018</v>
      </c>
      <c r="G4460">
        <v>56</v>
      </c>
      <c r="H4460" s="5">
        <v>1.9384429657802796E-3</v>
      </c>
      <c r="I4460">
        <v>2</v>
      </c>
      <c r="J4460" t="b">
        <f>AND(CCData[[#This Row],[Date]]&gt;=Calculation!$E$3,CCData[[#This Row],[Date]]&lt;Calculation!$E$3+7)</f>
        <v>0</v>
      </c>
    </row>
    <row r="4461" spans="1:10">
      <c r="A4461" t="s">
        <v>4460</v>
      </c>
      <c r="B4461" s="2">
        <v>42083.654999999999</v>
      </c>
      <c r="C4461" s="3" t="s">
        <v>5006</v>
      </c>
      <c r="D4461" t="s">
        <v>5012</v>
      </c>
      <c r="E4461" t="s">
        <v>5018</v>
      </c>
      <c r="F4461" t="s">
        <v>5018</v>
      </c>
      <c r="G4461">
        <v>10</v>
      </c>
      <c r="H4461" s="5">
        <v>4.3126966838172281E-3</v>
      </c>
      <c r="I4461">
        <v>3</v>
      </c>
      <c r="J4461" t="b">
        <f>AND(CCData[[#This Row],[Date]]&gt;=Calculation!$E$3,CCData[[#This Row],[Date]]&lt;Calculation!$E$3+7)</f>
        <v>0</v>
      </c>
    </row>
    <row r="4462" spans="1:10">
      <c r="A4462" t="s">
        <v>4461</v>
      </c>
      <c r="B4462" s="2">
        <v>42083.656000000003</v>
      </c>
      <c r="C4462" s="3" t="s">
        <v>5009</v>
      </c>
      <c r="D4462" t="s">
        <v>5014</v>
      </c>
      <c r="E4462" t="s">
        <v>5018</v>
      </c>
      <c r="F4462" t="s">
        <v>5018</v>
      </c>
      <c r="G4462">
        <v>56</v>
      </c>
      <c r="H4462" s="5">
        <v>1.9887117327545378E-3</v>
      </c>
      <c r="I4462">
        <v>4</v>
      </c>
      <c r="J4462" t="b">
        <f>AND(CCData[[#This Row],[Date]]&gt;=Calculation!$E$3,CCData[[#This Row],[Date]]&lt;Calculation!$E$3+7)</f>
        <v>0</v>
      </c>
    </row>
    <row r="4463" spans="1:10">
      <c r="A4463" t="s">
        <v>4462</v>
      </c>
      <c r="B4463" s="2">
        <v>42083.656000000003</v>
      </c>
      <c r="C4463" s="3" t="s">
        <v>5008</v>
      </c>
      <c r="D4463" t="s">
        <v>5014</v>
      </c>
      <c r="E4463" t="s">
        <v>5019</v>
      </c>
      <c r="F4463" t="s">
        <v>5019</v>
      </c>
      <c r="G4463" t="s">
        <v>5022</v>
      </c>
      <c r="H4463" s="5" t="s">
        <v>5022</v>
      </c>
      <c r="I4463" t="s">
        <v>5022</v>
      </c>
      <c r="J4463" t="b">
        <f>AND(CCData[[#This Row],[Date]]&gt;=Calculation!$E$3,CCData[[#This Row],[Date]]&lt;Calculation!$E$3+7)</f>
        <v>0</v>
      </c>
    </row>
    <row r="4464" spans="1:10">
      <c r="A4464" t="s">
        <v>4463</v>
      </c>
      <c r="B4464" s="2">
        <v>42083.663999999997</v>
      </c>
      <c r="C4464" s="3" t="s">
        <v>5007</v>
      </c>
      <c r="D4464" t="s">
        <v>5013</v>
      </c>
      <c r="E4464" t="s">
        <v>5018</v>
      </c>
      <c r="F4464" t="s">
        <v>5018</v>
      </c>
      <c r="G4464">
        <v>17</v>
      </c>
      <c r="H4464" s="5">
        <v>3.6019121797503521E-4</v>
      </c>
      <c r="I4464">
        <v>3</v>
      </c>
      <c r="J4464" t="b">
        <f>AND(CCData[[#This Row],[Date]]&gt;=Calculation!$E$3,CCData[[#This Row],[Date]]&lt;Calculation!$E$3+7)</f>
        <v>0</v>
      </c>
    </row>
    <row r="4465" spans="1:10">
      <c r="A4465" t="s">
        <v>4464</v>
      </c>
      <c r="B4465" s="2">
        <v>42083.663999999997</v>
      </c>
      <c r="C4465" s="3" t="s">
        <v>5009</v>
      </c>
      <c r="D4465" t="s">
        <v>5012</v>
      </c>
      <c r="E4465" t="s">
        <v>5018</v>
      </c>
      <c r="F4465" t="s">
        <v>5018</v>
      </c>
      <c r="G4465">
        <v>37</v>
      </c>
      <c r="H4465" s="5">
        <v>5.796126313572915E-4</v>
      </c>
      <c r="I4465">
        <v>5</v>
      </c>
      <c r="J4465" t="b">
        <f>AND(CCData[[#This Row],[Date]]&gt;=Calculation!$E$3,CCData[[#This Row],[Date]]&lt;Calculation!$E$3+7)</f>
        <v>0</v>
      </c>
    </row>
    <row r="4466" spans="1:10">
      <c r="A4466" t="s">
        <v>4465</v>
      </c>
      <c r="B4466" s="2">
        <v>42083.671000000002</v>
      </c>
      <c r="C4466" s="3" t="s">
        <v>5004</v>
      </c>
      <c r="D4466" t="s">
        <v>5016</v>
      </c>
      <c r="E4466" t="s">
        <v>5018</v>
      </c>
      <c r="F4466" t="s">
        <v>5018</v>
      </c>
      <c r="G4466">
        <v>108</v>
      </c>
      <c r="H4466" s="5">
        <v>7.6423102319849541E-4</v>
      </c>
      <c r="I4466">
        <v>5</v>
      </c>
      <c r="J4466" t="b">
        <f>AND(CCData[[#This Row],[Date]]&gt;=Calculation!$E$3,CCData[[#This Row],[Date]]&lt;Calculation!$E$3+7)</f>
        <v>0</v>
      </c>
    </row>
    <row r="4467" spans="1:10">
      <c r="A4467" t="s">
        <v>4466</v>
      </c>
      <c r="B4467" s="2">
        <v>42083.671000000002</v>
      </c>
      <c r="C4467" s="3" t="s">
        <v>5003</v>
      </c>
      <c r="D4467" t="s">
        <v>5013</v>
      </c>
      <c r="E4467" t="s">
        <v>5018</v>
      </c>
      <c r="F4467" t="s">
        <v>5018</v>
      </c>
      <c r="G4467">
        <v>18</v>
      </c>
      <c r="H4467" s="5">
        <v>3.9697437157162506E-3</v>
      </c>
      <c r="I4467">
        <v>5</v>
      </c>
      <c r="J4467" t="b">
        <f>AND(CCData[[#This Row],[Date]]&gt;=Calculation!$E$3,CCData[[#This Row],[Date]]&lt;Calculation!$E$3+7)</f>
        <v>0</v>
      </c>
    </row>
    <row r="4468" spans="1:10">
      <c r="A4468" t="s">
        <v>4467</v>
      </c>
      <c r="B4468" s="2">
        <v>42083.701999999997</v>
      </c>
      <c r="C4468" s="3" t="s">
        <v>5009</v>
      </c>
      <c r="D4468" t="s">
        <v>5016</v>
      </c>
      <c r="E4468" t="s">
        <v>5019</v>
      </c>
      <c r="F4468" t="s">
        <v>5019</v>
      </c>
      <c r="G4468" t="s">
        <v>5022</v>
      </c>
      <c r="H4468" s="5" t="s">
        <v>5022</v>
      </c>
      <c r="I4468" t="s">
        <v>5022</v>
      </c>
      <c r="J4468" t="b">
        <f>AND(CCData[[#This Row],[Date]]&gt;=Calculation!$E$3,CCData[[#This Row],[Date]]&lt;Calculation!$E$3+7)</f>
        <v>0</v>
      </c>
    </row>
    <row r="4469" spans="1:10">
      <c r="A4469" t="s">
        <v>4468</v>
      </c>
      <c r="B4469" s="2">
        <v>42083.701999999997</v>
      </c>
      <c r="C4469" s="3" t="s">
        <v>5009</v>
      </c>
      <c r="D4469" t="s">
        <v>5016</v>
      </c>
      <c r="E4469" t="s">
        <v>5018</v>
      </c>
      <c r="F4469" t="s">
        <v>5018</v>
      </c>
      <c r="G4469">
        <v>77</v>
      </c>
      <c r="H4469" s="5">
        <v>3.2717468057356191E-3</v>
      </c>
      <c r="I4469">
        <v>4</v>
      </c>
      <c r="J4469" t="b">
        <f>AND(CCData[[#This Row],[Date]]&gt;=Calculation!$E$3,CCData[[#This Row],[Date]]&lt;Calculation!$E$3+7)</f>
        <v>0</v>
      </c>
    </row>
    <row r="4470" spans="1:10">
      <c r="A4470" t="s">
        <v>4469</v>
      </c>
      <c r="B4470" s="2">
        <v>42083.731</v>
      </c>
      <c r="C4470" s="3" t="s">
        <v>5003</v>
      </c>
      <c r="D4470" t="s">
        <v>5016</v>
      </c>
      <c r="E4470" t="s">
        <v>5018</v>
      </c>
      <c r="F4470" t="s">
        <v>5018</v>
      </c>
      <c r="G4470">
        <v>34</v>
      </c>
      <c r="H4470" s="5">
        <v>3.134625652207651E-3</v>
      </c>
      <c r="I4470">
        <v>1</v>
      </c>
      <c r="J4470" t="b">
        <f>AND(CCData[[#This Row],[Date]]&gt;=Calculation!$E$3,CCData[[#This Row],[Date]]&lt;Calculation!$E$3+7)</f>
        <v>0</v>
      </c>
    </row>
    <row r="4471" spans="1:10">
      <c r="A4471" t="s">
        <v>4470</v>
      </c>
      <c r="B4471" s="2">
        <v>42083.731</v>
      </c>
      <c r="C4471" s="3" t="s">
        <v>5006</v>
      </c>
      <c r="D4471" t="s">
        <v>5012</v>
      </c>
      <c r="E4471" t="s">
        <v>5018</v>
      </c>
      <c r="F4471" t="s">
        <v>5018</v>
      </c>
      <c r="G4471">
        <v>73</v>
      </c>
      <c r="H4471" s="5">
        <v>1.181769983837626E-3</v>
      </c>
      <c r="I4471">
        <v>3</v>
      </c>
      <c r="J4471" t="b">
        <f>AND(CCData[[#This Row],[Date]]&gt;=Calculation!$E$3,CCData[[#This Row],[Date]]&lt;Calculation!$E$3+7)</f>
        <v>0</v>
      </c>
    </row>
    <row r="4472" spans="1:10">
      <c r="A4472" t="s">
        <v>4471</v>
      </c>
      <c r="B4472" s="2">
        <v>42083.739000000001</v>
      </c>
      <c r="C4472" s="3" t="s">
        <v>5009</v>
      </c>
      <c r="D4472" t="s">
        <v>5016</v>
      </c>
      <c r="E4472" t="s">
        <v>5019</v>
      </c>
      <c r="F4472" t="s">
        <v>5019</v>
      </c>
      <c r="G4472" t="s">
        <v>5022</v>
      </c>
      <c r="H4472" s="5" t="s">
        <v>5022</v>
      </c>
      <c r="I4472" t="s">
        <v>5022</v>
      </c>
      <c r="J4472" t="b">
        <f>AND(CCData[[#This Row],[Date]]&gt;=Calculation!$E$3,CCData[[#This Row],[Date]]&lt;Calculation!$E$3+7)</f>
        <v>0</v>
      </c>
    </row>
    <row r="4473" spans="1:10">
      <c r="A4473" t="s">
        <v>4472</v>
      </c>
      <c r="B4473" s="2">
        <v>42083.739000000001</v>
      </c>
      <c r="C4473" s="3" t="s">
        <v>5006</v>
      </c>
      <c r="D4473" t="s">
        <v>5015</v>
      </c>
      <c r="E4473" t="s">
        <v>5018</v>
      </c>
      <c r="F4473" t="s">
        <v>5018</v>
      </c>
      <c r="G4473">
        <v>120</v>
      </c>
      <c r="H4473" s="5">
        <v>1.8698436989213927E-3</v>
      </c>
      <c r="I4473">
        <v>3</v>
      </c>
      <c r="J4473" t="b">
        <f>AND(CCData[[#This Row],[Date]]&gt;=Calculation!$E$3,CCData[[#This Row],[Date]]&lt;Calculation!$E$3+7)</f>
        <v>0</v>
      </c>
    </row>
    <row r="4474" spans="1:10">
      <c r="A4474" t="s">
        <v>4473</v>
      </c>
      <c r="B4474" s="2">
        <v>42083.748</v>
      </c>
      <c r="C4474" s="3" t="s">
        <v>5005</v>
      </c>
      <c r="D4474" t="s">
        <v>5013</v>
      </c>
      <c r="E4474" t="s">
        <v>5018</v>
      </c>
      <c r="F4474" t="s">
        <v>5018</v>
      </c>
      <c r="G4474">
        <v>100</v>
      </c>
      <c r="H4474" s="5">
        <v>3.6687318023751712E-3</v>
      </c>
      <c r="I4474">
        <v>1</v>
      </c>
      <c r="J4474" t="b">
        <f>AND(CCData[[#This Row],[Date]]&gt;=Calculation!$E$3,CCData[[#This Row],[Date]]&lt;Calculation!$E$3+7)</f>
        <v>0</v>
      </c>
    </row>
    <row r="4475" spans="1:10">
      <c r="A4475" t="s">
        <v>4474</v>
      </c>
      <c r="B4475" s="2">
        <v>42083.748</v>
      </c>
      <c r="C4475" s="3" t="s">
        <v>5009</v>
      </c>
      <c r="D4475" t="s">
        <v>5014</v>
      </c>
      <c r="E4475" t="s">
        <v>5018</v>
      </c>
      <c r="F4475" t="s">
        <v>5018</v>
      </c>
      <c r="G4475">
        <v>93</v>
      </c>
      <c r="H4475" s="5">
        <v>4.3763780202028943E-3</v>
      </c>
      <c r="I4475">
        <v>4</v>
      </c>
      <c r="J4475" t="b">
        <f>AND(CCData[[#This Row],[Date]]&gt;=Calculation!$E$3,CCData[[#This Row],[Date]]&lt;Calculation!$E$3+7)</f>
        <v>0</v>
      </c>
    </row>
    <row r="4476" spans="1:10">
      <c r="A4476" t="s">
        <v>4475</v>
      </c>
      <c r="B4476" s="2">
        <v>42083.749000000003</v>
      </c>
      <c r="C4476" s="3" t="s">
        <v>5003</v>
      </c>
      <c r="D4476" t="s">
        <v>5016</v>
      </c>
      <c r="E4476" t="s">
        <v>5018</v>
      </c>
      <c r="F4476" t="s">
        <v>5019</v>
      </c>
      <c r="G4476">
        <v>17</v>
      </c>
      <c r="H4476" s="5">
        <v>5.639357807127245E-4</v>
      </c>
      <c r="I4476">
        <v>4</v>
      </c>
      <c r="J4476" t="b">
        <f>AND(CCData[[#This Row],[Date]]&gt;=Calculation!$E$3,CCData[[#This Row],[Date]]&lt;Calculation!$E$3+7)</f>
        <v>0</v>
      </c>
    </row>
    <row r="4477" spans="1:10">
      <c r="A4477" t="s">
        <v>4476</v>
      </c>
      <c r="B4477" s="2">
        <v>42083.749000000003</v>
      </c>
      <c r="C4477" s="3" t="s">
        <v>5005</v>
      </c>
      <c r="D4477" t="s">
        <v>5014</v>
      </c>
      <c r="E4477" t="s">
        <v>5018</v>
      </c>
      <c r="F4477" t="s">
        <v>5018</v>
      </c>
      <c r="G4477">
        <v>17</v>
      </c>
      <c r="H4477" s="5">
        <v>3.5764583119092686E-3</v>
      </c>
      <c r="I4477">
        <v>2</v>
      </c>
      <c r="J4477" t="b">
        <f>AND(CCData[[#This Row],[Date]]&gt;=Calculation!$E$3,CCData[[#This Row],[Date]]&lt;Calculation!$E$3+7)</f>
        <v>0</v>
      </c>
    </row>
    <row r="4478" spans="1:10">
      <c r="A4478" t="s">
        <v>4477</v>
      </c>
      <c r="B4478" s="2">
        <v>42084.375999999997</v>
      </c>
      <c r="C4478" s="3" t="s">
        <v>5007</v>
      </c>
      <c r="D4478" t="s">
        <v>5012</v>
      </c>
      <c r="E4478" t="s">
        <v>5018</v>
      </c>
      <c r="F4478" t="s">
        <v>5018</v>
      </c>
      <c r="G4478">
        <v>56</v>
      </c>
      <c r="H4478" s="5">
        <v>3.0613914101813959E-3</v>
      </c>
      <c r="I4478">
        <v>2</v>
      </c>
      <c r="J4478" t="b">
        <f>AND(CCData[[#This Row],[Date]]&gt;=Calculation!$E$3,CCData[[#This Row],[Date]]&lt;Calculation!$E$3+7)</f>
        <v>0</v>
      </c>
    </row>
    <row r="4479" spans="1:10">
      <c r="A4479" t="s">
        <v>4478</v>
      </c>
      <c r="B4479" s="2">
        <v>42084.375999999997</v>
      </c>
      <c r="C4479" s="3" t="s">
        <v>5003</v>
      </c>
      <c r="D4479" t="s">
        <v>5015</v>
      </c>
      <c r="E4479" t="s">
        <v>5019</v>
      </c>
      <c r="F4479" t="s">
        <v>5019</v>
      </c>
      <c r="G4479" t="s">
        <v>5022</v>
      </c>
      <c r="H4479" s="5" t="s">
        <v>5022</v>
      </c>
      <c r="I4479" t="s">
        <v>5022</v>
      </c>
      <c r="J4479" t="b">
        <f>AND(CCData[[#This Row],[Date]]&gt;=Calculation!$E$3,CCData[[#This Row],[Date]]&lt;Calculation!$E$3+7)</f>
        <v>0</v>
      </c>
    </row>
    <row r="4480" spans="1:10">
      <c r="A4480" t="s">
        <v>4479</v>
      </c>
      <c r="B4480" s="2">
        <v>42084.377999999997</v>
      </c>
      <c r="C4480" s="3" t="s">
        <v>5010</v>
      </c>
      <c r="D4480" t="s">
        <v>5012</v>
      </c>
      <c r="E4480" t="s">
        <v>5018</v>
      </c>
      <c r="F4480" t="s">
        <v>5018</v>
      </c>
      <c r="G4480">
        <v>97</v>
      </c>
      <c r="H4480" s="5">
        <v>1.8454548510237767E-3</v>
      </c>
      <c r="I4480">
        <v>2</v>
      </c>
      <c r="J4480" t="b">
        <f>AND(CCData[[#This Row],[Date]]&gt;=Calculation!$E$3,CCData[[#This Row],[Date]]&lt;Calculation!$E$3+7)</f>
        <v>0</v>
      </c>
    </row>
    <row r="4481" spans="1:10">
      <c r="A4481" t="s">
        <v>4480</v>
      </c>
      <c r="B4481" s="2">
        <v>42084.377999999997</v>
      </c>
      <c r="C4481" s="3" t="s">
        <v>5005</v>
      </c>
      <c r="D4481" t="s">
        <v>5016</v>
      </c>
      <c r="E4481" t="s">
        <v>5018</v>
      </c>
      <c r="F4481" t="s">
        <v>5018</v>
      </c>
      <c r="G4481">
        <v>25</v>
      </c>
      <c r="H4481" s="5">
        <v>4.3949785319087661E-3</v>
      </c>
      <c r="I4481">
        <v>4</v>
      </c>
      <c r="J4481" t="b">
        <f>AND(CCData[[#This Row],[Date]]&gt;=Calculation!$E$3,CCData[[#This Row],[Date]]&lt;Calculation!$E$3+7)</f>
        <v>0</v>
      </c>
    </row>
    <row r="4482" spans="1:10">
      <c r="A4482" t="s">
        <v>4481</v>
      </c>
      <c r="B4482" s="2">
        <v>42084.394</v>
      </c>
      <c r="C4482" s="3" t="s">
        <v>5003</v>
      </c>
      <c r="D4482" t="s">
        <v>5013</v>
      </c>
      <c r="E4482" t="s">
        <v>5018</v>
      </c>
      <c r="F4482" t="s">
        <v>5018</v>
      </c>
      <c r="G4482">
        <v>47</v>
      </c>
      <c r="H4482" s="5">
        <v>1.9664492909356041E-3</v>
      </c>
      <c r="I4482">
        <v>4</v>
      </c>
      <c r="J4482" t="b">
        <f>AND(CCData[[#This Row],[Date]]&gt;=Calculation!$E$3,CCData[[#This Row],[Date]]&lt;Calculation!$E$3+7)</f>
        <v>0</v>
      </c>
    </row>
    <row r="4483" spans="1:10">
      <c r="A4483" t="s">
        <v>4482</v>
      </c>
      <c r="B4483" s="2">
        <v>42084.394</v>
      </c>
      <c r="C4483" s="3" t="s">
        <v>5007</v>
      </c>
      <c r="D4483" t="s">
        <v>5014</v>
      </c>
      <c r="E4483" t="s">
        <v>5018</v>
      </c>
      <c r="F4483" t="s">
        <v>5018</v>
      </c>
      <c r="G4483">
        <v>70</v>
      </c>
      <c r="H4483" s="5">
        <v>1.3337262654194272E-3</v>
      </c>
      <c r="I4483">
        <v>3</v>
      </c>
      <c r="J4483" t="b">
        <f>AND(CCData[[#This Row],[Date]]&gt;=Calculation!$E$3,CCData[[#This Row],[Date]]&lt;Calculation!$E$3+7)</f>
        <v>0</v>
      </c>
    </row>
    <row r="4484" spans="1:10">
      <c r="A4484" t="s">
        <v>4483</v>
      </c>
      <c r="B4484" s="2">
        <v>42084.417999999998</v>
      </c>
      <c r="C4484" s="3" t="s">
        <v>5006</v>
      </c>
      <c r="D4484" t="s">
        <v>5013</v>
      </c>
      <c r="E4484" t="s">
        <v>5018</v>
      </c>
      <c r="F4484" t="s">
        <v>5018</v>
      </c>
      <c r="G4484">
        <v>86</v>
      </c>
      <c r="H4484" s="5">
        <v>2.1697558712149784E-3</v>
      </c>
      <c r="I4484">
        <v>3</v>
      </c>
      <c r="J4484" t="b">
        <f>AND(CCData[[#This Row],[Date]]&gt;=Calculation!$E$3,CCData[[#This Row],[Date]]&lt;Calculation!$E$3+7)</f>
        <v>0</v>
      </c>
    </row>
    <row r="4485" spans="1:10">
      <c r="A4485" t="s">
        <v>4484</v>
      </c>
      <c r="B4485" s="2">
        <v>42084.417999999998</v>
      </c>
      <c r="C4485" s="3" t="s">
        <v>5005</v>
      </c>
      <c r="D4485" t="s">
        <v>5012</v>
      </c>
      <c r="E4485" t="s">
        <v>5018</v>
      </c>
      <c r="F4485" t="s">
        <v>5018</v>
      </c>
      <c r="G4485">
        <v>92</v>
      </c>
      <c r="H4485" s="5">
        <v>2.883266114091388E-3</v>
      </c>
      <c r="I4485">
        <v>5</v>
      </c>
      <c r="J4485" t="b">
        <f>AND(CCData[[#This Row],[Date]]&gt;=Calculation!$E$3,CCData[[#This Row],[Date]]&lt;Calculation!$E$3+7)</f>
        <v>0</v>
      </c>
    </row>
    <row r="4486" spans="1:10">
      <c r="A4486" t="s">
        <v>4485</v>
      </c>
      <c r="B4486" s="2">
        <v>42084.440999999999</v>
      </c>
      <c r="C4486" s="3" t="s">
        <v>5006</v>
      </c>
      <c r="D4486" t="s">
        <v>5015</v>
      </c>
      <c r="E4486" t="s">
        <v>5018</v>
      </c>
      <c r="F4486" t="s">
        <v>5018</v>
      </c>
      <c r="G4486">
        <v>122</v>
      </c>
      <c r="H4486" s="5">
        <v>1.018666008485349E-3</v>
      </c>
      <c r="I4486">
        <v>3</v>
      </c>
      <c r="J4486" t="b">
        <f>AND(CCData[[#This Row],[Date]]&gt;=Calculation!$E$3,CCData[[#This Row],[Date]]&lt;Calculation!$E$3+7)</f>
        <v>0</v>
      </c>
    </row>
    <row r="4487" spans="1:10">
      <c r="A4487" t="s">
        <v>4486</v>
      </c>
      <c r="B4487" s="2">
        <v>42084.440999999999</v>
      </c>
      <c r="C4487" s="3" t="s">
        <v>5003</v>
      </c>
      <c r="D4487" t="s">
        <v>5016</v>
      </c>
      <c r="E4487" t="s">
        <v>5018</v>
      </c>
      <c r="F4487" t="s">
        <v>5018</v>
      </c>
      <c r="G4487">
        <v>11</v>
      </c>
      <c r="H4487" s="5">
        <v>4.7174761375670853E-3</v>
      </c>
      <c r="I4487">
        <v>3</v>
      </c>
      <c r="J4487" t="b">
        <f>AND(CCData[[#This Row],[Date]]&gt;=Calculation!$E$3,CCData[[#This Row],[Date]]&lt;Calculation!$E$3+7)</f>
        <v>0</v>
      </c>
    </row>
    <row r="4488" spans="1:10">
      <c r="A4488" t="s">
        <v>4487</v>
      </c>
      <c r="B4488" s="2">
        <v>42084.447</v>
      </c>
      <c r="C4488" s="3" t="s">
        <v>5003</v>
      </c>
      <c r="D4488" t="s">
        <v>5013</v>
      </c>
      <c r="E4488" t="s">
        <v>5018</v>
      </c>
      <c r="F4488" t="s">
        <v>5018</v>
      </c>
      <c r="G4488">
        <v>27</v>
      </c>
      <c r="H4488" s="5">
        <v>4.2612503320435865E-3</v>
      </c>
      <c r="I4488">
        <v>3</v>
      </c>
      <c r="J4488" t="b">
        <f>AND(CCData[[#This Row],[Date]]&gt;=Calculation!$E$3,CCData[[#This Row],[Date]]&lt;Calculation!$E$3+7)</f>
        <v>0</v>
      </c>
    </row>
    <row r="4489" spans="1:10">
      <c r="A4489" t="s">
        <v>4488</v>
      </c>
      <c r="B4489" s="2">
        <v>42084.447</v>
      </c>
      <c r="C4489" s="3" t="s">
        <v>5006</v>
      </c>
      <c r="D4489" t="s">
        <v>5012</v>
      </c>
      <c r="E4489" t="s">
        <v>5019</v>
      </c>
      <c r="F4489" t="s">
        <v>5019</v>
      </c>
      <c r="G4489" t="s">
        <v>5022</v>
      </c>
      <c r="H4489" s="5" t="s">
        <v>5022</v>
      </c>
      <c r="I4489" t="s">
        <v>5022</v>
      </c>
      <c r="J4489" t="b">
        <f>AND(CCData[[#This Row],[Date]]&gt;=Calculation!$E$3,CCData[[#This Row],[Date]]&lt;Calculation!$E$3+7)</f>
        <v>0</v>
      </c>
    </row>
    <row r="4490" spans="1:10">
      <c r="A4490" t="s">
        <v>4489</v>
      </c>
      <c r="B4490" s="2">
        <v>42084.464999999997</v>
      </c>
      <c r="C4490" s="3" t="s">
        <v>5004</v>
      </c>
      <c r="D4490" t="s">
        <v>5014</v>
      </c>
      <c r="E4490" t="s">
        <v>5018</v>
      </c>
      <c r="F4490" t="s">
        <v>5018</v>
      </c>
      <c r="G4490">
        <v>17</v>
      </c>
      <c r="H4490" s="5">
        <v>1.3684198839882976E-3</v>
      </c>
      <c r="I4490">
        <v>4</v>
      </c>
      <c r="J4490" t="b">
        <f>AND(CCData[[#This Row],[Date]]&gt;=Calculation!$E$3,CCData[[#This Row],[Date]]&lt;Calculation!$E$3+7)</f>
        <v>0</v>
      </c>
    </row>
    <row r="4491" spans="1:10">
      <c r="A4491" t="s">
        <v>4490</v>
      </c>
      <c r="B4491" s="2">
        <v>42084.464999999997</v>
      </c>
      <c r="C4491" s="3" t="s">
        <v>5006</v>
      </c>
      <c r="D4491" t="s">
        <v>5014</v>
      </c>
      <c r="E4491" t="s">
        <v>5018</v>
      </c>
      <c r="F4491" t="s">
        <v>5018</v>
      </c>
      <c r="G4491">
        <v>113</v>
      </c>
      <c r="H4491" s="5">
        <v>2.2404915778312601E-3</v>
      </c>
      <c r="I4491">
        <v>3</v>
      </c>
      <c r="J4491" t="b">
        <f>AND(CCData[[#This Row],[Date]]&gt;=Calculation!$E$3,CCData[[#This Row],[Date]]&lt;Calculation!$E$3+7)</f>
        <v>0</v>
      </c>
    </row>
    <row r="4492" spans="1:10">
      <c r="A4492" t="s">
        <v>4491</v>
      </c>
      <c r="B4492" s="2">
        <v>42084.480000000003</v>
      </c>
      <c r="C4492" s="3" t="s">
        <v>5010</v>
      </c>
      <c r="D4492" t="s">
        <v>5014</v>
      </c>
      <c r="E4492" t="s">
        <v>5019</v>
      </c>
      <c r="F4492" t="s">
        <v>5019</v>
      </c>
      <c r="G4492" t="s">
        <v>5022</v>
      </c>
      <c r="H4492" s="5" t="s">
        <v>5022</v>
      </c>
      <c r="I4492" t="s">
        <v>5022</v>
      </c>
      <c r="J4492" t="b">
        <f>AND(CCData[[#This Row],[Date]]&gt;=Calculation!$E$3,CCData[[#This Row],[Date]]&lt;Calculation!$E$3+7)</f>
        <v>0</v>
      </c>
    </row>
    <row r="4493" spans="1:10">
      <c r="A4493" t="s">
        <v>4492</v>
      </c>
      <c r="B4493" s="2">
        <v>42084.480000000003</v>
      </c>
      <c r="C4493" s="3" t="s">
        <v>5004</v>
      </c>
      <c r="D4493" t="s">
        <v>5016</v>
      </c>
      <c r="E4493" t="s">
        <v>5018</v>
      </c>
      <c r="F4493" t="s">
        <v>5018</v>
      </c>
      <c r="G4493">
        <v>101</v>
      </c>
      <c r="H4493" s="5">
        <v>2.3332402077160101E-3</v>
      </c>
      <c r="I4493">
        <v>3</v>
      </c>
      <c r="J4493" t="b">
        <f>AND(CCData[[#This Row],[Date]]&gt;=Calculation!$E$3,CCData[[#This Row],[Date]]&lt;Calculation!$E$3+7)</f>
        <v>0</v>
      </c>
    </row>
    <row r="4494" spans="1:10">
      <c r="A4494" t="s">
        <v>4493</v>
      </c>
      <c r="B4494" s="2">
        <v>42084.491000000002</v>
      </c>
      <c r="C4494" s="3" t="s">
        <v>5004</v>
      </c>
      <c r="D4494" t="s">
        <v>5012</v>
      </c>
      <c r="E4494" t="s">
        <v>5018</v>
      </c>
      <c r="F4494" t="s">
        <v>5018</v>
      </c>
      <c r="G4494">
        <v>69</v>
      </c>
      <c r="H4494" s="5">
        <v>1.7787556835278887E-3</v>
      </c>
      <c r="I4494">
        <v>1</v>
      </c>
      <c r="J4494" t="b">
        <f>AND(CCData[[#This Row],[Date]]&gt;=Calculation!$E$3,CCData[[#This Row],[Date]]&lt;Calculation!$E$3+7)</f>
        <v>0</v>
      </c>
    </row>
    <row r="4495" spans="1:10">
      <c r="A4495" t="s">
        <v>4494</v>
      </c>
      <c r="B4495" s="2">
        <v>42084.491000000002</v>
      </c>
      <c r="C4495" s="3" t="s">
        <v>5005</v>
      </c>
      <c r="D4495" t="s">
        <v>5013</v>
      </c>
      <c r="E4495" t="s">
        <v>5018</v>
      </c>
      <c r="F4495" t="s">
        <v>5018</v>
      </c>
      <c r="G4495">
        <v>24</v>
      </c>
      <c r="H4495" s="5">
        <v>2.7435952263326437E-3</v>
      </c>
      <c r="I4495">
        <v>3</v>
      </c>
      <c r="J4495" t="b">
        <f>AND(CCData[[#This Row],[Date]]&gt;=Calculation!$E$3,CCData[[#This Row],[Date]]&lt;Calculation!$E$3+7)</f>
        <v>0</v>
      </c>
    </row>
    <row r="4496" spans="1:10">
      <c r="A4496" t="s">
        <v>4495</v>
      </c>
      <c r="B4496" s="2">
        <v>42084.497000000003</v>
      </c>
      <c r="C4496" s="3" t="s">
        <v>5004</v>
      </c>
      <c r="D4496" t="s">
        <v>5013</v>
      </c>
      <c r="E4496" t="s">
        <v>5018</v>
      </c>
      <c r="F4496" t="s">
        <v>5018</v>
      </c>
      <c r="G4496">
        <v>84</v>
      </c>
      <c r="H4496" s="5">
        <v>1.3837199849813949E-3</v>
      </c>
      <c r="I4496">
        <v>4</v>
      </c>
      <c r="J4496" t="b">
        <f>AND(CCData[[#This Row],[Date]]&gt;=Calculation!$E$3,CCData[[#This Row],[Date]]&lt;Calculation!$E$3+7)</f>
        <v>0</v>
      </c>
    </row>
    <row r="4497" spans="1:10">
      <c r="A4497" t="s">
        <v>4496</v>
      </c>
      <c r="B4497" s="2">
        <v>42084.497000000003</v>
      </c>
      <c r="C4497" s="3" t="s">
        <v>5006</v>
      </c>
      <c r="D4497" t="s">
        <v>5013</v>
      </c>
      <c r="E4497" t="s">
        <v>5019</v>
      </c>
      <c r="F4497" t="s">
        <v>5019</v>
      </c>
      <c r="G4497" t="s">
        <v>5022</v>
      </c>
      <c r="H4497" s="5" t="s">
        <v>5022</v>
      </c>
      <c r="I4497" t="s">
        <v>5022</v>
      </c>
      <c r="J4497" t="b">
        <f>AND(CCData[[#This Row],[Date]]&gt;=Calculation!$E$3,CCData[[#This Row],[Date]]&lt;Calculation!$E$3+7)</f>
        <v>0</v>
      </c>
    </row>
    <row r="4498" spans="1:10">
      <c r="A4498" t="s">
        <v>4497</v>
      </c>
      <c r="B4498" s="2">
        <v>42084.5</v>
      </c>
      <c r="C4498" s="3" t="s">
        <v>5003</v>
      </c>
      <c r="D4498" t="s">
        <v>5014</v>
      </c>
      <c r="E4498" t="s">
        <v>5019</v>
      </c>
      <c r="F4498" t="s">
        <v>5019</v>
      </c>
      <c r="G4498" t="s">
        <v>5022</v>
      </c>
      <c r="H4498" s="5" t="s">
        <v>5022</v>
      </c>
      <c r="I4498" t="s">
        <v>5022</v>
      </c>
      <c r="J4498" t="b">
        <f>AND(CCData[[#This Row],[Date]]&gt;=Calculation!$E$3,CCData[[#This Row],[Date]]&lt;Calculation!$E$3+7)</f>
        <v>0</v>
      </c>
    </row>
    <row r="4499" spans="1:10">
      <c r="A4499" t="s">
        <v>4498</v>
      </c>
      <c r="B4499" s="2">
        <v>42084.5</v>
      </c>
      <c r="C4499" s="3" t="s">
        <v>5003</v>
      </c>
      <c r="D4499" t="s">
        <v>5013</v>
      </c>
      <c r="E4499" t="s">
        <v>5019</v>
      </c>
      <c r="F4499" t="s">
        <v>5019</v>
      </c>
      <c r="G4499" t="s">
        <v>5022</v>
      </c>
      <c r="H4499" s="5" t="s">
        <v>5022</v>
      </c>
      <c r="I4499" t="s">
        <v>5022</v>
      </c>
      <c r="J4499" t="b">
        <f>AND(CCData[[#This Row],[Date]]&gt;=Calculation!$E$3,CCData[[#This Row],[Date]]&lt;Calculation!$E$3+7)</f>
        <v>0</v>
      </c>
    </row>
    <row r="4500" spans="1:10">
      <c r="A4500" t="s">
        <v>4499</v>
      </c>
      <c r="B4500" s="2">
        <v>42084.512999999999</v>
      </c>
      <c r="C4500" s="3" t="s">
        <v>5009</v>
      </c>
      <c r="D4500" t="s">
        <v>5016</v>
      </c>
      <c r="E4500" t="s">
        <v>5018</v>
      </c>
      <c r="F4500" t="s">
        <v>5018</v>
      </c>
      <c r="G4500">
        <v>92</v>
      </c>
      <c r="H4500" s="5">
        <v>2.8912546988266643E-3</v>
      </c>
      <c r="I4500">
        <v>3</v>
      </c>
      <c r="J4500" t="b">
        <f>AND(CCData[[#This Row],[Date]]&gt;=Calculation!$E$3,CCData[[#This Row],[Date]]&lt;Calculation!$E$3+7)</f>
        <v>0</v>
      </c>
    </row>
    <row r="4501" spans="1:10">
      <c r="A4501" t="s">
        <v>4500</v>
      </c>
      <c r="B4501" s="2">
        <v>42084.512999999999</v>
      </c>
      <c r="C4501" s="3" t="s">
        <v>5008</v>
      </c>
      <c r="D4501" t="s">
        <v>5015</v>
      </c>
      <c r="E4501" t="s">
        <v>5019</v>
      </c>
      <c r="F4501" t="s">
        <v>5019</v>
      </c>
      <c r="G4501" t="s">
        <v>5022</v>
      </c>
      <c r="H4501" s="5" t="s">
        <v>5022</v>
      </c>
      <c r="I4501" t="s">
        <v>5022</v>
      </c>
      <c r="J4501" t="b">
        <f>AND(CCData[[#This Row],[Date]]&gt;=Calculation!$E$3,CCData[[#This Row],[Date]]&lt;Calculation!$E$3+7)</f>
        <v>0</v>
      </c>
    </row>
    <row r="4502" spans="1:10">
      <c r="A4502" t="s">
        <v>4501</v>
      </c>
      <c r="B4502" s="2">
        <v>42084.536999999997</v>
      </c>
      <c r="C4502" s="3" t="s">
        <v>5005</v>
      </c>
      <c r="D4502" t="s">
        <v>5014</v>
      </c>
      <c r="E4502" t="s">
        <v>5019</v>
      </c>
      <c r="F4502" t="s">
        <v>5019</v>
      </c>
      <c r="G4502" t="s">
        <v>5022</v>
      </c>
      <c r="H4502" s="5" t="s">
        <v>5022</v>
      </c>
      <c r="I4502" t="s">
        <v>5022</v>
      </c>
      <c r="J4502" t="b">
        <f>AND(CCData[[#This Row],[Date]]&gt;=Calculation!$E$3,CCData[[#This Row],[Date]]&lt;Calculation!$E$3+7)</f>
        <v>0</v>
      </c>
    </row>
    <row r="4503" spans="1:10">
      <c r="A4503" t="s">
        <v>4502</v>
      </c>
      <c r="B4503" s="2">
        <v>42084.536999999997</v>
      </c>
      <c r="C4503" s="3" t="s">
        <v>5003</v>
      </c>
      <c r="D4503" t="s">
        <v>5016</v>
      </c>
      <c r="E4503" t="s">
        <v>5018</v>
      </c>
      <c r="F4503" t="s">
        <v>5018</v>
      </c>
      <c r="G4503">
        <v>114</v>
      </c>
      <c r="H4503" s="5">
        <v>2.7244151712985144E-3</v>
      </c>
      <c r="I4503">
        <v>2</v>
      </c>
      <c r="J4503" t="b">
        <f>AND(CCData[[#This Row],[Date]]&gt;=Calculation!$E$3,CCData[[#This Row],[Date]]&lt;Calculation!$E$3+7)</f>
        <v>0</v>
      </c>
    </row>
    <row r="4504" spans="1:10">
      <c r="A4504" t="s">
        <v>4503</v>
      </c>
      <c r="B4504" s="2">
        <v>42084.536999999997</v>
      </c>
      <c r="C4504" s="3" t="s">
        <v>5003</v>
      </c>
      <c r="D4504" t="s">
        <v>5014</v>
      </c>
      <c r="E4504" t="s">
        <v>5018</v>
      </c>
      <c r="F4504" t="s">
        <v>5018</v>
      </c>
      <c r="G4504">
        <v>109</v>
      </c>
      <c r="H4504" s="5">
        <v>3.2309143920892761E-3</v>
      </c>
      <c r="I4504">
        <v>3</v>
      </c>
      <c r="J4504" t="b">
        <f>AND(CCData[[#This Row],[Date]]&gt;=Calculation!$E$3,CCData[[#This Row],[Date]]&lt;Calculation!$E$3+7)</f>
        <v>0</v>
      </c>
    </row>
    <row r="4505" spans="1:10">
      <c r="A4505" t="s">
        <v>4504</v>
      </c>
      <c r="B4505" s="2">
        <v>42084.536999999997</v>
      </c>
      <c r="C4505" s="3" t="s">
        <v>5003</v>
      </c>
      <c r="D4505" t="s">
        <v>5013</v>
      </c>
      <c r="E4505" t="s">
        <v>5018</v>
      </c>
      <c r="F4505" t="s">
        <v>5018</v>
      </c>
      <c r="G4505">
        <v>89</v>
      </c>
      <c r="H4505" s="5">
        <v>1.7491553418355508E-3</v>
      </c>
      <c r="I4505">
        <v>3</v>
      </c>
      <c r="J4505" t="b">
        <f>AND(CCData[[#This Row],[Date]]&gt;=Calculation!$E$3,CCData[[#This Row],[Date]]&lt;Calculation!$E$3+7)</f>
        <v>0</v>
      </c>
    </row>
    <row r="4506" spans="1:10">
      <c r="A4506" t="s">
        <v>4505</v>
      </c>
      <c r="B4506" s="2">
        <v>42084.548000000003</v>
      </c>
      <c r="C4506" s="3" t="s">
        <v>5010</v>
      </c>
      <c r="D4506" t="s">
        <v>5014</v>
      </c>
      <c r="E4506" t="s">
        <v>5018</v>
      </c>
      <c r="F4506" t="s">
        <v>5018</v>
      </c>
      <c r="G4506">
        <v>124</v>
      </c>
      <c r="H4506" s="5">
        <v>2.5217770757890445E-3</v>
      </c>
      <c r="I4506">
        <v>3</v>
      </c>
      <c r="J4506" t="b">
        <f>AND(CCData[[#This Row],[Date]]&gt;=Calculation!$E$3,CCData[[#This Row],[Date]]&lt;Calculation!$E$3+7)</f>
        <v>0</v>
      </c>
    </row>
    <row r="4507" spans="1:10">
      <c r="A4507" t="s">
        <v>4506</v>
      </c>
      <c r="B4507" s="2">
        <v>42084.548000000003</v>
      </c>
      <c r="C4507" s="3" t="s">
        <v>5009</v>
      </c>
      <c r="D4507" t="s">
        <v>5016</v>
      </c>
      <c r="E4507" t="s">
        <v>5018</v>
      </c>
      <c r="F4507" t="s">
        <v>5018</v>
      </c>
      <c r="G4507">
        <v>43</v>
      </c>
      <c r="H4507" s="5">
        <v>7.7090886087563949E-4</v>
      </c>
      <c r="I4507">
        <v>5</v>
      </c>
      <c r="J4507" t="b">
        <f>AND(CCData[[#This Row],[Date]]&gt;=Calculation!$E$3,CCData[[#This Row],[Date]]&lt;Calculation!$E$3+7)</f>
        <v>0</v>
      </c>
    </row>
    <row r="4508" spans="1:10">
      <c r="A4508" t="s">
        <v>4507</v>
      </c>
      <c r="B4508" s="2">
        <v>42084.563000000002</v>
      </c>
      <c r="C4508" s="3" t="s">
        <v>5010</v>
      </c>
      <c r="D4508" t="s">
        <v>5012</v>
      </c>
      <c r="E4508" t="s">
        <v>5018</v>
      </c>
      <c r="F4508" t="s">
        <v>5018</v>
      </c>
      <c r="G4508">
        <v>110</v>
      </c>
      <c r="H4508" s="5">
        <v>3.6994519657849913E-3</v>
      </c>
      <c r="I4508">
        <v>5</v>
      </c>
      <c r="J4508" t="b">
        <f>AND(CCData[[#This Row],[Date]]&gt;=Calculation!$E$3,CCData[[#This Row],[Date]]&lt;Calculation!$E$3+7)</f>
        <v>0</v>
      </c>
    </row>
    <row r="4509" spans="1:10">
      <c r="A4509" t="s">
        <v>4508</v>
      </c>
      <c r="B4509" s="2">
        <v>42084.563000000002</v>
      </c>
      <c r="C4509" s="3" t="s">
        <v>5004</v>
      </c>
      <c r="D4509" t="s">
        <v>5016</v>
      </c>
      <c r="E4509" t="s">
        <v>5018</v>
      </c>
      <c r="F4509" t="s">
        <v>5018</v>
      </c>
      <c r="G4509">
        <v>31</v>
      </c>
      <c r="H4509" s="5">
        <v>2.301817446092745E-3</v>
      </c>
      <c r="I4509">
        <v>4</v>
      </c>
      <c r="J4509" t="b">
        <f>AND(CCData[[#This Row],[Date]]&gt;=Calculation!$E$3,CCData[[#This Row],[Date]]&lt;Calculation!$E$3+7)</f>
        <v>0</v>
      </c>
    </row>
    <row r="4510" spans="1:10">
      <c r="A4510" t="s">
        <v>4509</v>
      </c>
      <c r="B4510" s="2">
        <v>42084.576000000001</v>
      </c>
      <c r="C4510" s="3" t="s">
        <v>5005</v>
      </c>
      <c r="D4510" t="s">
        <v>5014</v>
      </c>
      <c r="E4510" t="s">
        <v>5019</v>
      </c>
      <c r="F4510" t="s">
        <v>5019</v>
      </c>
      <c r="G4510" t="s">
        <v>5022</v>
      </c>
      <c r="H4510" s="5" t="s">
        <v>5022</v>
      </c>
      <c r="I4510" t="s">
        <v>5022</v>
      </c>
      <c r="J4510" t="b">
        <f>AND(CCData[[#This Row],[Date]]&gt;=Calculation!$E$3,CCData[[#This Row],[Date]]&lt;Calculation!$E$3+7)</f>
        <v>0</v>
      </c>
    </row>
    <row r="4511" spans="1:10">
      <c r="A4511" t="s">
        <v>4510</v>
      </c>
      <c r="B4511" s="2">
        <v>42084.576000000001</v>
      </c>
      <c r="C4511" s="3" t="s">
        <v>5003</v>
      </c>
      <c r="D4511" t="s">
        <v>5015</v>
      </c>
      <c r="E4511" t="s">
        <v>5019</v>
      </c>
      <c r="F4511" t="s">
        <v>5019</v>
      </c>
      <c r="G4511" t="s">
        <v>5022</v>
      </c>
      <c r="H4511" s="5" t="s">
        <v>5022</v>
      </c>
      <c r="I4511" t="s">
        <v>5022</v>
      </c>
      <c r="J4511" t="b">
        <f>AND(CCData[[#This Row],[Date]]&gt;=Calculation!$E$3,CCData[[#This Row],[Date]]&lt;Calculation!$E$3+7)</f>
        <v>0</v>
      </c>
    </row>
    <row r="4512" spans="1:10">
      <c r="A4512" t="s">
        <v>4511</v>
      </c>
      <c r="B4512" s="2">
        <v>42084.591999999997</v>
      </c>
      <c r="C4512" s="3" t="s">
        <v>5003</v>
      </c>
      <c r="D4512" t="s">
        <v>5016</v>
      </c>
      <c r="E4512" t="s">
        <v>5018</v>
      </c>
      <c r="F4512" t="s">
        <v>5018</v>
      </c>
      <c r="G4512">
        <v>17</v>
      </c>
      <c r="H4512" s="5">
        <v>3.3311930136570652E-3</v>
      </c>
      <c r="I4512">
        <v>3</v>
      </c>
      <c r="J4512" t="b">
        <f>AND(CCData[[#This Row],[Date]]&gt;=Calculation!$E$3,CCData[[#This Row],[Date]]&lt;Calculation!$E$3+7)</f>
        <v>0</v>
      </c>
    </row>
    <row r="4513" spans="1:10">
      <c r="A4513" t="s">
        <v>4512</v>
      </c>
      <c r="B4513" s="2">
        <v>42084.591999999997</v>
      </c>
      <c r="C4513" s="3" t="s">
        <v>5004</v>
      </c>
      <c r="D4513" t="s">
        <v>5012</v>
      </c>
      <c r="E4513" t="s">
        <v>5018</v>
      </c>
      <c r="F4513" t="s">
        <v>5018</v>
      </c>
      <c r="G4513">
        <v>111</v>
      </c>
      <c r="H4513" s="5">
        <v>3.7617734965427778E-3</v>
      </c>
      <c r="I4513">
        <v>3</v>
      </c>
      <c r="J4513" t="b">
        <f>AND(CCData[[#This Row],[Date]]&gt;=Calculation!$E$3,CCData[[#This Row],[Date]]&lt;Calculation!$E$3+7)</f>
        <v>0</v>
      </c>
    </row>
    <row r="4514" spans="1:10">
      <c r="A4514" t="s">
        <v>4513</v>
      </c>
      <c r="B4514" s="2">
        <v>42084.595000000001</v>
      </c>
      <c r="C4514" s="3" t="s">
        <v>5003</v>
      </c>
      <c r="D4514" t="s">
        <v>5015</v>
      </c>
      <c r="E4514" t="s">
        <v>5018</v>
      </c>
      <c r="F4514" t="s">
        <v>5018</v>
      </c>
      <c r="G4514">
        <v>10</v>
      </c>
      <c r="H4514" s="5">
        <v>2.3212769567311923E-3</v>
      </c>
      <c r="I4514">
        <v>2</v>
      </c>
      <c r="J4514" t="b">
        <f>AND(CCData[[#This Row],[Date]]&gt;=Calculation!$E$3,CCData[[#This Row],[Date]]&lt;Calculation!$E$3+7)</f>
        <v>0</v>
      </c>
    </row>
    <row r="4515" spans="1:10">
      <c r="A4515" t="s">
        <v>4514</v>
      </c>
      <c r="B4515" s="2">
        <v>42084.595000000001</v>
      </c>
      <c r="C4515" s="3" t="s">
        <v>5005</v>
      </c>
      <c r="D4515" t="s">
        <v>5012</v>
      </c>
      <c r="E4515" t="s">
        <v>5018</v>
      </c>
      <c r="F4515" t="s">
        <v>5018</v>
      </c>
      <c r="G4515">
        <v>121</v>
      </c>
      <c r="H4515" s="5">
        <v>1.0300437048932655E-3</v>
      </c>
      <c r="I4515">
        <v>1</v>
      </c>
      <c r="J4515" t="b">
        <f>AND(CCData[[#This Row],[Date]]&gt;=Calculation!$E$3,CCData[[#This Row],[Date]]&lt;Calculation!$E$3+7)</f>
        <v>0</v>
      </c>
    </row>
    <row r="4516" spans="1:10">
      <c r="A4516" t="s">
        <v>4515</v>
      </c>
      <c r="B4516" s="2">
        <v>42084.599000000002</v>
      </c>
      <c r="C4516" s="3" t="s">
        <v>5010</v>
      </c>
      <c r="D4516" t="s">
        <v>5014</v>
      </c>
      <c r="E4516" t="s">
        <v>5018</v>
      </c>
      <c r="F4516" t="s">
        <v>5018</v>
      </c>
      <c r="G4516">
        <v>114</v>
      </c>
      <c r="H4516" s="5">
        <v>1.3650363503733779E-3</v>
      </c>
      <c r="I4516">
        <v>4</v>
      </c>
      <c r="J4516" t="b">
        <f>AND(CCData[[#This Row],[Date]]&gt;=Calculation!$E$3,CCData[[#This Row],[Date]]&lt;Calculation!$E$3+7)</f>
        <v>0</v>
      </c>
    </row>
    <row r="4517" spans="1:10">
      <c r="A4517" t="s">
        <v>4516</v>
      </c>
      <c r="B4517" s="2">
        <v>42084.599000000002</v>
      </c>
      <c r="C4517" s="3" t="s">
        <v>5006</v>
      </c>
      <c r="D4517" t="s">
        <v>5013</v>
      </c>
      <c r="E4517" t="s">
        <v>5018</v>
      </c>
      <c r="F4517" t="s">
        <v>5018</v>
      </c>
      <c r="G4517">
        <v>49</v>
      </c>
      <c r="H4517" s="5">
        <v>3.7558558532820182E-4</v>
      </c>
      <c r="I4517">
        <v>4</v>
      </c>
      <c r="J4517" t="b">
        <f>AND(CCData[[#This Row],[Date]]&gt;=Calculation!$E$3,CCData[[#This Row],[Date]]&lt;Calculation!$E$3+7)</f>
        <v>0</v>
      </c>
    </row>
    <row r="4518" spans="1:10">
      <c r="A4518" t="s">
        <v>4517</v>
      </c>
      <c r="B4518" s="2">
        <v>42084.603999999999</v>
      </c>
      <c r="C4518" s="3" t="s">
        <v>5006</v>
      </c>
      <c r="D4518" t="s">
        <v>5015</v>
      </c>
      <c r="E4518" t="s">
        <v>5018</v>
      </c>
      <c r="F4518" t="s">
        <v>5018</v>
      </c>
      <c r="G4518">
        <v>114</v>
      </c>
      <c r="H4518" s="5">
        <v>2.3709728216059719E-3</v>
      </c>
      <c r="I4518">
        <v>1</v>
      </c>
      <c r="J4518" t="b">
        <f>AND(CCData[[#This Row],[Date]]&gt;=Calculation!$E$3,CCData[[#This Row],[Date]]&lt;Calculation!$E$3+7)</f>
        <v>0</v>
      </c>
    </row>
    <row r="4519" spans="1:10">
      <c r="A4519" t="s">
        <v>4518</v>
      </c>
      <c r="B4519" s="2">
        <v>42084.603999999999</v>
      </c>
      <c r="C4519" s="3" t="s">
        <v>5007</v>
      </c>
      <c r="D4519" t="s">
        <v>5016</v>
      </c>
      <c r="E4519" t="s">
        <v>5018</v>
      </c>
      <c r="F4519" t="s">
        <v>5018</v>
      </c>
      <c r="G4519">
        <v>75</v>
      </c>
      <c r="H4519" s="5">
        <v>1.8693759042845337E-3</v>
      </c>
      <c r="I4519">
        <v>3</v>
      </c>
      <c r="J4519" t="b">
        <f>AND(CCData[[#This Row],[Date]]&gt;=Calculation!$E$3,CCData[[#This Row],[Date]]&lt;Calculation!$E$3+7)</f>
        <v>0</v>
      </c>
    </row>
    <row r="4520" spans="1:10">
      <c r="A4520" t="s">
        <v>4519</v>
      </c>
      <c r="B4520" s="2">
        <v>42084.608999999997</v>
      </c>
      <c r="C4520" s="3" t="s">
        <v>5007</v>
      </c>
      <c r="D4520" t="s">
        <v>5014</v>
      </c>
      <c r="E4520" t="s">
        <v>5018</v>
      </c>
      <c r="F4520" t="s">
        <v>5019</v>
      </c>
      <c r="G4520">
        <v>42</v>
      </c>
      <c r="H4520" s="5">
        <v>2.3707973268170548E-3</v>
      </c>
      <c r="I4520">
        <v>5</v>
      </c>
      <c r="J4520" t="b">
        <f>AND(CCData[[#This Row],[Date]]&gt;=Calculation!$E$3,CCData[[#This Row],[Date]]&lt;Calculation!$E$3+7)</f>
        <v>0</v>
      </c>
    </row>
    <row r="4521" spans="1:10">
      <c r="A4521" t="s">
        <v>4520</v>
      </c>
      <c r="B4521" s="2">
        <v>42084.608999999997</v>
      </c>
      <c r="C4521" s="3" t="s">
        <v>5006</v>
      </c>
      <c r="D4521" t="s">
        <v>5014</v>
      </c>
      <c r="E4521" t="s">
        <v>5018</v>
      </c>
      <c r="F4521" t="s">
        <v>5018</v>
      </c>
      <c r="G4521">
        <v>95</v>
      </c>
      <c r="H4521" s="5">
        <v>3.4317773292604097E-3</v>
      </c>
      <c r="I4521">
        <v>3</v>
      </c>
      <c r="J4521" t="b">
        <f>AND(CCData[[#This Row],[Date]]&gt;=Calculation!$E$3,CCData[[#This Row],[Date]]&lt;Calculation!$E$3+7)</f>
        <v>0</v>
      </c>
    </row>
    <row r="4522" spans="1:10">
      <c r="A4522" t="s">
        <v>4521</v>
      </c>
      <c r="B4522" s="2">
        <v>42084.633999999998</v>
      </c>
      <c r="C4522" s="3" t="s">
        <v>5005</v>
      </c>
      <c r="D4522" t="s">
        <v>5015</v>
      </c>
      <c r="E4522" t="s">
        <v>5018</v>
      </c>
      <c r="F4522" t="s">
        <v>5018</v>
      </c>
      <c r="G4522">
        <v>88</v>
      </c>
      <c r="H4522" s="5">
        <v>4.4561749554622634E-3</v>
      </c>
      <c r="I4522">
        <v>3</v>
      </c>
      <c r="J4522" t="b">
        <f>AND(CCData[[#This Row],[Date]]&gt;=Calculation!$E$3,CCData[[#This Row],[Date]]&lt;Calculation!$E$3+7)</f>
        <v>0</v>
      </c>
    </row>
    <row r="4523" spans="1:10">
      <c r="A4523" t="s">
        <v>4522</v>
      </c>
      <c r="B4523" s="2">
        <v>42084.633999999998</v>
      </c>
      <c r="C4523" s="3" t="s">
        <v>5008</v>
      </c>
      <c r="D4523" t="s">
        <v>5013</v>
      </c>
      <c r="E4523" t="s">
        <v>5018</v>
      </c>
      <c r="F4523" t="s">
        <v>5018</v>
      </c>
      <c r="G4523">
        <v>51</v>
      </c>
      <c r="H4523" s="5">
        <v>1.9494050862135725E-3</v>
      </c>
      <c r="I4523">
        <v>3</v>
      </c>
      <c r="J4523" t="b">
        <f>AND(CCData[[#This Row],[Date]]&gt;=Calculation!$E$3,CCData[[#This Row],[Date]]&lt;Calculation!$E$3+7)</f>
        <v>0</v>
      </c>
    </row>
    <row r="4524" spans="1:10">
      <c r="A4524" t="s">
        <v>4523</v>
      </c>
      <c r="B4524" s="2">
        <v>42084.635999999999</v>
      </c>
      <c r="C4524" s="3" t="s">
        <v>5009</v>
      </c>
      <c r="D4524" t="s">
        <v>5012</v>
      </c>
      <c r="E4524" t="s">
        <v>5018</v>
      </c>
      <c r="F4524" t="s">
        <v>5018</v>
      </c>
      <c r="G4524">
        <v>28</v>
      </c>
      <c r="H4524" s="5">
        <v>5.6316939546562929E-4</v>
      </c>
      <c r="I4524">
        <v>1</v>
      </c>
      <c r="J4524" t="b">
        <f>AND(CCData[[#This Row],[Date]]&gt;=Calculation!$E$3,CCData[[#This Row],[Date]]&lt;Calculation!$E$3+7)</f>
        <v>0</v>
      </c>
    </row>
    <row r="4525" spans="1:10">
      <c r="A4525" t="s">
        <v>4524</v>
      </c>
      <c r="B4525" s="2">
        <v>42084.635999999999</v>
      </c>
      <c r="C4525" s="3" t="s">
        <v>5003</v>
      </c>
      <c r="D4525" t="s">
        <v>5014</v>
      </c>
      <c r="E4525" t="s">
        <v>5018</v>
      </c>
      <c r="F4525" t="s">
        <v>5019</v>
      </c>
      <c r="G4525">
        <v>86</v>
      </c>
      <c r="H4525" s="5">
        <v>4.3291062013513073E-3</v>
      </c>
      <c r="I4525">
        <v>4</v>
      </c>
      <c r="J4525" t="b">
        <f>AND(CCData[[#This Row],[Date]]&gt;=Calculation!$E$3,CCData[[#This Row],[Date]]&lt;Calculation!$E$3+7)</f>
        <v>0</v>
      </c>
    </row>
    <row r="4526" spans="1:10">
      <c r="A4526" t="s">
        <v>4525</v>
      </c>
      <c r="B4526" s="2">
        <v>42084.642</v>
      </c>
      <c r="C4526" s="3" t="s">
        <v>5003</v>
      </c>
      <c r="D4526" t="s">
        <v>5012</v>
      </c>
      <c r="E4526" t="s">
        <v>5018</v>
      </c>
      <c r="F4526" t="s">
        <v>5019</v>
      </c>
      <c r="G4526">
        <v>60</v>
      </c>
      <c r="H4526" s="5">
        <v>2.2951067705891288E-3</v>
      </c>
      <c r="I4526">
        <v>4</v>
      </c>
      <c r="J4526" t="b">
        <f>AND(CCData[[#This Row],[Date]]&gt;=Calculation!$E$3,CCData[[#This Row],[Date]]&lt;Calculation!$E$3+7)</f>
        <v>0</v>
      </c>
    </row>
    <row r="4527" spans="1:10">
      <c r="A4527" t="s">
        <v>4526</v>
      </c>
      <c r="B4527" s="2">
        <v>42084.642</v>
      </c>
      <c r="C4527" s="3" t="s">
        <v>5008</v>
      </c>
      <c r="D4527" t="s">
        <v>5016</v>
      </c>
      <c r="E4527" t="s">
        <v>5018</v>
      </c>
      <c r="F4527" t="s">
        <v>5018</v>
      </c>
      <c r="G4527">
        <v>60</v>
      </c>
      <c r="H4527" s="5">
        <v>3.3165925597646701E-3</v>
      </c>
      <c r="I4527">
        <v>2</v>
      </c>
      <c r="J4527" t="b">
        <f>AND(CCData[[#This Row],[Date]]&gt;=Calculation!$E$3,CCData[[#This Row],[Date]]&lt;Calculation!$E$3+7)</f>
        <v>0</v>
      </c>
    </row>
    <row r="4528" spans="1:10">
      <c r="A4528" t="s">
        <v>4527</v>
      </c>
      <c r="B4528" s="2">
        <v>42084.671000000002</v>
      </c>
      <c r="C4528" s="3" t="s">
        <v>5010</v>
      </c>
      <c r="D4528" t="s">
        <v>5014</v>
      </c>
      <c r="E4528" t="s">
        <v>5018</v>
      </c>
      <c r="F4528" t="s">
        <v>5018</v>
      </c>
      <c r="G4528">
        <v>63</v>
      </c>
      <c r="H4528" s="5">
        <v>1.2853305394549346E-3</v>
      </c>
      <c r="I4528">
        <v>4</v>
      </c>
      <c r="J4528" t="b">
        <f>AND(CCData[[#This Row],[Date]]&gt;=Calculation!$E$3,CCData[[#This Row],[Date]]&lt;Calculation!$E$3+7)</f>
        <v>0</v>
      </c>
    </row>
    <row r="4529" spans="1:10">
      <c r="A4529" t="s">
        <v>4528</v>
      </c>
      <c r="B4529" s="2">
        <v>42084.671000000002</v>
      </c>
      <c r="C4529" s="3" t="s">
        <v>5008</v>
      </c>
      <c r="D4529" t="s">
        <v>5013</v>
      </c>
      <c r="E4529" t="s">
        <v>5018</v>
      </c>
      <c r="F4529" t="s">
        <v>5018</v>
      </c>
      <c r="G4529">
        <v>23</v>
      </c>
      <c r="H4529" s="5">
        <v>4.4119029354909942E-3</v>
      </c>
      <c r="I4529">
        <v>4</v>
      </c>
      <c r="J4529" t="b">
        <f>AND(CCData[[#This Row],[Date]]&gt;=Calculation!$E$3,CCData[[#This Row],[Date]]&lt;Calculation!$E$3+7)</f>
        <v>0</v>
      </c>
    </row>
    <row r="4530" spans="1:10">
      <c r="A4530" t="s">
        <v>4529</v>
      </c>
      <c r="B4530" s="2">
        <v>42084.675000000003</v>
      </c>
      <c r="C4530" s="3" t="s">
        <v>5006</v>
      </c>
      <c r="D4530" t="s">
        <v>5013</v>
      </c>
      <c r="E4530" t="s">
        <v>5019</v>
      </c>
      <c r="F4530" t="s">
        <v>5019</v>
      </c>
      <c r="G4530" t="s">
        <v>5022</v>
      </c>
      <c r="H4530" s="5" t="s">
        <v>5022</v>
      </c>
      <c r="I4530" t="s">
        <v>5022</v>
      </c>
      <c r="J4530" t="b">
        <f>AND(CCData[[#This Row],[Date]]&gt;=Calculation!$E$3,CCData[[#This Row],[Date]]&lt;Calculation!$E$3+7)</f>
        <v>0</v>
      </c>
    </row>
    <row r="4531" spans="1:10">
      <c r="A4531" t="s">
        <v>4530</v>
      </c>
      <c r="B4531" s="2">
        <v>42084.675000000003</v>
      </c>
      <c r="C4531" s="3" t="s">
        <v>5004</v>
      </c>
      <c r="D4531" t="s">
        <v>5016</v>
      </c>
      <c r="E4531" t="s">
        <v>5018</v>
      </c>
      <c r="F4531" t="s">
        <v>5018</v>
      </c>
      <c r="G4531">
        <v>100</v>
      </c>
      <c r="H4531" s="5">
        <v>1.2519024216519421E-3</v>
      </c>
      <c r="I4531">
        <v>4</v>
      </c>
      <c r="J4531" t="b">
        <f>AND(CCData[[#This Row],[Date]]&gt;=Calculation!$E$3,CCData[[#This Row],[Date]]&lt;Calculation!$E$3+7)</f>
        <v>0</v>
      </c>
    </row>
    <row r="4532" spans="1:10">
      <c r="A4532" t="s">
        <v>4531</v>
      </c>
      <c r="B4532" s="2">
        <v>42084.703000000001</v>
      </c>
      <c r="C4532" s="3" t="s">
        <v>5007</v>
      </c>
      <c r="D4532" t="s">
        <v>5015</v>
      </c>
      <c r="E4532" t="s">
        <v>5018</v>
      </c>
      <c r="F4532" t="s">
        <v>5018</v>
      </c>
      <c r="G4532">
        <v>105</v>
      </c>
      <c r="H4532" s="5">
        <v>3.7007683314564622E-4</v>
      </c>
      <c r="I4532">
        <v>4</v>
      </c>
      <c r="J4532" t="b">
        <f>AND(CCData[[#This Row],[Date]]&gt;=Calculation!$E$3,CCData[[#This Row],[Date]]&lt;Calculation!$E$3+7)</f>
        <v>0</v>
      </c>
    </row>
    <row r="4533" spans="1:10">
      <c r="A4533" t="s">
        <v>4532</v>
      </c>
      <c r="B4533" s="2">
        <v>42084.703000000001</v>
      </c>
      <c r="C4533" s="3" t="s">
        <v>5006</v>
      </c>
      <c r="D4533" t="s">
        <v>5013</v>
      </c>
      <c r="E4533" t="s">
        <v>5018</v>
      </c>
      <c r="F4533" t="s">
        <v>5018</v>
      </c>
      <c r="G4533">
        <v>29</v>
      </c>
      <c r="H4533" s="5">
        <v>1.520691174085655E-3</v>
      </c>
      <c r="I4533">
        <v>4</v>
      </c>
      <c r="J4533" t="b">
        <f>AND(CCData[[#This Row],[Date]]&gt;=Calculation!$E$3,CCData[[#This Row],[Date]]&lt;Calculation!$E$3+7)</f>
        <v>0</v>
      </c>
    </row>
    <row r="4534" spans="1:10">
      <c r="A4534" t="s">
        <v>4533</v>
      </c>
      <c r="B4534" s="2">
        <v>42084.726999999999</v>
      </c>
      <c r="C4534" s="3" t="s">
        <v>5004</v>
      </c>
      <c r="D4534" t="s">
        <v>5015</v>
      </c>
      <c r="E4534" t="s">
        <v>5019</v>
      </c>
      <c r="F4534" t="s">
        <v>5019</v>
      </c>
      <c r="G4534" t="s">
        <v>5022</v>
      </c>
      <c r="H4534" s="5" t="s">
        <v>5022</v>
      </c>
      <c r="I4534" t="s">
        <v>5022</v>
      </c>
      <c r="J4534" t="b">
        <f>AND(CCData[[#This Row],[Date]]&gt;=Calculation!$E$3,CCData[[#This Row],[Date]]&lt;Calculation!$E$3+7)</f>
        <v>0</v>
      </c>
    </row>
    <row r="4535" spans="1:10">
      <c r="A4535" t="s">
        <v>4534</v>
      </c>
      <c r="B4535" s="2">
        <v>42084.726999999999</v>
      </c>
      <c r="C4535" s="3" t="s">
        <v>5005</v>
      </c>
      <c r="D4535" t="s">
        <v>5014</v>
      </c>
      <c r="E4535" t="s">
        <v>5018</v>
      </c>
      <c r="F4535" t="s">
        <v>5019</v>
      </c>
      <c r="G4535">
        <v>98</v>
      </c>
      <c r="H4535" s="5">
        <v>2.8811295938902079E-3</v>
      </c>
      <c r="I4535">
        <v>2</v>
      </c>
      <c r="J4535" t="b">
        <f>AND(CCData[[#This Row],[Date]]&gt;=Calculation!$E$3,CCData[[#This Row],[Date]]&lt;Calculation!$E$3+7)</f>
        <v>0</v>
      </c>
    </row>
    <row r="4536" spans="1:10">
      <c r="A4536" t="s">
        <v>4535</v>
      </c>
      <c r="B4536" s="2">
        <v>42084.731</v>
      </c>
      <c r="C4536" s="3" t="s">
        <v>5010</v>
      </c>
      <c r="D4536" t="s">
        <v>5012</v>
      </c>
      <c r="E4536" t="s">
        <v>5018</v>
      </c>
      <c r="F4536" t="s">
        <v>5018</v>
      </c>
      <c r="G4536">
        <v>108</v>
      </c>
      <c r="H4536" s="5">
        <v>3.8014308324168895E-3</v>
      </c>
      <c r="I4536">
        <v>4</v>
      </c>
      <c r="J4536" t="b">
        <f>AND(CCData[[#This Row],[Date]]&gt;=Calculation!$E$3,CCData[[#This Row],[Date]]&lt;Calculation!$E$3+7)</f>
        <v>0</v>
      </c>
    </row>
    <row r="4537" spans="1:10">
      <c r="A4537" t="s">
        <v>4536</v>
      </c>
      <c r="B4537" s="2">
        <v>42084.731</v>
      </c>
      <c r="C4537" s="3" t="s">
        <v>5004</v>
      </c>
      <c r="D4537" t="s">
        <v>5014</v>
      </c>
      <c r="E4537" t="s">
        <v>5019</v>
      </c>
      <c r="F4537" t="s">
        <v>5019</v>
      </c>
      <c r="G4537" t="s">
        <v>5022</v>
      </c>
      <c r="H4537" s="5" t="s">
        <v>5022</v>
      </c>
      <c r="I4537" t="s">
        <v>5022</v>
      </c>
      <c r="J4537" t="b">
        <f>AND(CCData[[#This Row],[Date]]&gt;=Calculation!$E$3,CCData[[#This Row],[Date]]&lt;Calculation!$E$3+7)</f>
        <v>0</v>
      </c>
    </row>
    <row r="4538" spans="1:10">
      <c r="A4538" t="s">
        <v>4537</v>
      </c>
      <c r="B4538" s="2">
        <v>42084.737999999998</v>
      </c>
      <c r="C4538" s="3" t="s">
        <v>5005</v>
      </c>
      <c r="D4538" t="s">
        <v>5012</v>
      </c>
      <c r="E4538" t="s">
        <v>5018</v>
      </c>
      <c r="F4538" t="s">
        <v>5018</v>
      </c>
      <c r="G4538">
        <v>116</v>
      </c>
      <c r="H4538" s="5">
        <v>4.5451287415137886E-3</v>
      </c>
      <c r="I4538">
        <v>5</v>
      </c>
      <c r="J4538" t="b">
        <f>AND(CCData[[#This Row],[Date]]&gt;=Calculation!$E$3,CCData[[#This Row],[Date]]&lt;Calculation!$E$3+7)</f>
        <v>0</v>
      </c>
    </row>
    <row r="4539" spans="1:10">
      <c r="A4539" t="s">
        <v>4538</v>
      </c>
      <c r="B4539" s="2">
        <v>42084.737999999998</v>
      </c>
      <c r="C4539" s="3" t="s">
        <v>5005</v>
      </c>
      <c r="D4539" t="s">
        <v>5016</v>
      </c>
      <c r="E4539" t="s">
        <v>5018</v>
      </c>
      <c r="F4539" t="s">
        <v>5018</v>
      </c>
      <c r="G4539">
        <v>78</v>
      </c>
      <c r="H4539" s="5">
        <v>3.8183284491527048E-3</v>
      </c>
      <c r="I4539">
        <v>4</v>
      </c>
      <c r="J4539" t="b">
        <f>AND(CCData[[#This Row],[Date]]&gt;=Calculation!$E$3,CCData[[#This Row],[Date]]&lt;Calculation!$E$3+7)</f>
        <v>0</v>
      </c>
    </row>
    <row r="4540" spans="1:10">
      <c r="A4540" t="s">
        <v>4539</v>
      </c>
      <c r="B4540" s="2">
        <v>42085.406000000003</v>
      </c>
      <c r="C4540" s="3" t="s">
        <v>5003</v>
      </c>
      <c r="D4540" t="s">
        <v>5014</v>
      </c>
      <c r="E4540" t="s">
        <v>5019</v>
      </c>
      <c r="F4540" t="s">
        <v>5019</v>
      </c>
      <c r="G4540" t="s">
        <v>5022</v>
      </c>
      <c r="H4540" s="5" t="s">
        <v>5022</v>
      </c>
      <c r="I4540" t="s">
        <v>5022</v>
      </c>
      <c r="J4540" t="b">
        <f>AND(CCData[[#This Row],[Date]]&gt;=Calculation!$E$3,CCData[[#This Row],[Date]]&lt;Calculation!$E$3+7)</f>
        <v>0</v>
      </c>
    </row>
    <row r="4541" spans="1:10">
      <c r="A4541" t="s">
        <v>4540</v>
      </c>
      <c r="B4541" s="2">
        <v>42085.406000000003</v>
      </c>
      <c r="C4541" s="3" t="s">
        <v>5006</v>
      </c>
      <c r="D4541" t="s">
        <v>5014</v>
      </c>
      <c r="E4541" t="s">
        <v>5018</v>
      </c>
      <c r="F4541" t="s">
        <v>5018</v>
      </c>
      <c r="G4541">
        <v>81</v>
      </c>
      <c r="H4541" s="5">
        <v>2.6752387466459134E-3</v>
      </c>
      <c r="I4541">
        <v>3</v>
      </c>
      <c r="J4541" t="b">
        <f>AND(CCData[[#This Row],[Date]]&gt;=Calculation!$E$3,CCData[[#This Row],[Date]]&lt;Calculation!$E$3+7)</f>
        <v>0</v>
      </c>
    </row>
    <row r="4542" spans="1:10">
      <c r="A4542" t="s">
        <v>4541</v>
      </c>
      <c r="B4542" s="2">
        <v>42085.406999999999</v>
      </c>
      <c r="C4542" s="3" t="s">
        <v>5003</v>
      </c>
      <c r="D4542" t="s">
        <v>5016</v>
      </c>
      <c r="E4542" t="s">
        <v>5018</v>
      </c>
      <c r="F4542" t="s">
        <v>5018</v>
      </c>
      <c r="G4542">
        <v>84</v>
      </c>
      <c r="H4542" s="5">
        <v>6.0948782966390369E-4</v>
      </c>
      <c r="I4542">
        <v>2</v>
      </c>
      <c r="J4542" t="b">
        <f>AND(CCData[[#This Row],[Date]]&gt;=Calculation!$E$3,CCData[[#This Row],[Date]]&lt;Calculation!$E$3+7)</f>
        <v>0</v>
      </c>
    </row>
    <row r="4543" spans="1:10">
      <c r="A4543" t="s">
        <v>4542</v>
      </c>
      <c r="B4543" s="2">
        <v>42085.406999999999</v>
      </c>
      <c r="C4543" s="3" t="s">
        <v>5005</v>
      </c>
      <c r="D4543" t="s">
        <v>5012</v>
      </c>
      <c r="E4543" t="s">
        <v>5018</v>
      </c>
      <c r="F4543" t="s">
        <v>5018</v>
      </c>
      <c r="G4543">
        <v>24</v>
      </c>
      <c r="H4543" s="5">
        <v>3.8686322310760562E-3</v>
      </c>
      <c r="I4543">
        <v>4</v>
      </c>
      <c r="J4543" t="b">
        <f>AND(CCData[[#This Row],[Date]]&gt;=Calculation!$E$3,CCData[[#This Row],[Date]]&lt;Calculation!$E$3+7)</f>
        <v>0</v>
      </c>
    </row>
    <row r="4544" spans="1:10">
      <c r="A4544" t="s">
        <v>4543</v>
      </c>
      <c r="B4544" s="2">
        <v>42085.419000000002</v>
      </c>
      <c r="C4544" s="3" t="s">
        <v>5010</v>
      </c>
      <c r="D4544" t="s">
        <v>5016</v>
      </c>
      <c r="E4544" t="s">
        <v>5018</v>
      </c>
      <c r="F4544" t="s">
        <v>5018</v>
      </c>
      <c r="G4544">
        <v>114</v>
      </c>
      <c r="H4544" s="5">
        <v>3.9690509567731312E-3</v>
      </c>
      <c r="I4544">
        <v>3</v>
      </c>
      <c r="J4544" t="b">
        <f>AND(CCData[[#This Row],[Date]]&gt;=Calculation!$E$3,CCData[[#This Row],[Date]]&lt;Calculation!$E$3+7)</f>
        <v>0</v>
      </c>
    </row>
    <row r="4545" spans="1:10">
      <c r="A4545" t="s">
        <v>4544</v>
      </c>
      <c r="B4545" s="2">
        <v>42085.419000000002</v>
      </c>
      <c r="C4545" s="3" t="s">
        <v>5003</v>
      </c>
      <c r="D4545" t="s">
        <v>5012</v>
      </c>
      <c r="E4545" t="s">
        <v>5019</v>
      </c>
      <c r="F4545" t="s">
        <v>5019</v>
      </c>
      <c r="G4545" t="s">
        <v>5022</v>
      </c>
      <c r="H4545" s="5" t="s">
        <v>5022</v>
      </c>
      <c r="I4545" t="s">
        <v>5022</v>
      </c>
      <c r="J4545" t="b">
        <f>AND(CCData[[#This Row],[Date]]&gt;=Calculation!$E$3,CCData[[#This Row],[Date]]&lt;Calculation!$E$3+7)</f>
        <v>0</v>
      </c>
    </row>
    <row r="4546" spans="1:10">
      <c r="A4546" t="s">
        <v>4545</v>
      </c>
      <c r="B4546" s="2">
        <v>42085.421999999999</v>
      </c>
      <c r="C4546" s="3" t="s">
        <v>5006</v>
      </c>
      <c r="D4546" t="s">
        <v>5012</v>
      </c>
      <c r="E4546" t="s">
        <v>5018</v>
      </c>
      <c r="F4546" t="s">
        <v>5019</v>
      </c>
      <c r="G4546">
        <v>32</v>
      </c>
      <c r="H4546" s="5">
        <v>2.213405241154581E-3</v>
      </c>
      <c r="I4546">
        <v>5</v>
      </c>
      <c r="J4546" t="b">
        <f>AND(CCData[[#This Row],[Date]]&gt;=Calculation!$E$3,CCData[[#This Row],[Date]]&lt;Calculation!$E$3+7)</f>
        <v>0</v>
      </c>
    </row>
    <row r="4547" spans="1:10">
      <c r="A4547" t="s">
        <v>4546</v>
      </c>
      <c r="B4547" s="2">
        <v>42085.421999999999</v>
      </c>
      <c r="C4547" s="3" t="s">
        <v>5009</v>
      </c>
      <c r="D4547" t="s">
        <v>5012</v>
      </c>
      <c r="E4547" t="s">
        <v>5018</v>
      </c>
      <c r="F4547" t="s">
        <v>5018</v>
      </c>
      <c r="G4547">
        <v>16</v>
      </c>
      <c r="H4547" s="5">
        <v>2.1944363713477574E-3</v>
      </c>
      <c r="I4547">
        <v>4</v>
      </c>
      <c r="J4547" t="b">
        <f>AND(CCData[[#This Row],[Date]]&gt;=Calculation!$E$3,CCData[[#This Row],[Date]]&lt;Calculation!$E$3+7)</f>
        <v>0</v>
      </c>
    </row>
    <row r="4548" spans="1:10">
      <c r="A4548" t="s">
        <v>4547</v>
      </c>
      <c r="B4548" s="2">
        <v>42085.427000000003</v>
      </c>
      <c r="C4548" s="3" t="s">
        <v>5007</v>
      </c>
      <c r="D4548" t="s">
        <v>5015</v>
      </c>
      <c r="E4548" t="s">
        <v>5018</v>
      </c>
      <c r="F4548" t="s">
        <v>5019</v>
      </c>
      <c r="G4548">
        <v>104</v>
      </c>
      <c r="H4548" s="5">
        <v>3.28448248910533E-3</v>
      </c>
      <c r="I4548">
        <v>5</v>
      </c>
      <c r="J4548" t="b">
        <f>AND(CCData[[#This Row],[Date]]&gt;=Calculation!$E$3,CCData[[#This Row],[Date]]&lt;Calculation!$E$3+7)</f>
        <v>0</v>
      </c>
    </row>
    <row r="4549" spans="1:10">
      <c r="A4549" t="s">
        <v>4548</v>
      </c>
      <c r="B4549" s="2">
        <v>42085.427000000003</v>
      </c>
      <c r="C4549" s="3" t="s">
        <v>5005</v>
      </c>
      <c r="D4549" t="s">
        <v>5013</v>
      </c>
      <c r="E4549" t="s">
        <v>5018</v>
      </c>
      <c r="F4549" t="s">
        <v>5018</v>
      </c>
      <c r="G4549">
        <v>40</v>
      </c>
      <c r="H4549" s="5">
        <v>6.1095104000868168E-4</v>
      </c>
      <c r="I4549">
        <v>3</v>
      </c>
      <c r="J4549" t="b">
        <f>AND(CCData[[#This Row],[Date]]&gt;=Calculation!$E$3,CCData[[#This Row],[Date]]&lt;Calculation!$E$3+7)</f>
        <v>0</v>
      </c>
    </row>
    <row r="4550" spans="1:10">
      <c r="A4550" t="s">
        <v>4549</v>
      </c>
      <c r="B4550" s="2">
        <v>42085.472000000002</v>
      </c>
      <c r="C4550" s="3" t="s">
        <v>5008</v>
      </c>
      <c r="D4550" t="s">
        <v>5012</v>
      </c>
      <c r="E4550" t="s">
        <v>5018</v>
      </c>
      <c r="F4550" t="s">
        <v>5018</v>
      </c>
      <c r="G4550">
        <v>80</v>
      </c>
      <c r="H4550" s="5">
        <v>1.9277561461527673E-3</v>
      </c>
      <c r="I4550">
        <v>4</v>
      </c>
      <c r="J4550" t="b">
        <f>AND(CCData[[#This Row],[Date]]&gt;=Calculation!$E$3,CCData[[#This Row],[Date]]&lt;Calculation!$E$3+7)</f>
        <v>0</v>
      </c>
    </row>
    <row r="4551" spans="1:10">
      <c r="A4551" t="s">
        <v>4550</v>
      </c>
      <c r="B4551" s="2">
        <v>42085.472000000002</v>
      </c>
      <c r="C4551" s="3" t="s">
        <v>5007</v>
      </c>
      <c r="D4551" t="s">
        <v>5014</v>
      </c>
      <c r="E4551" t="s">
        <v>5018</v>
      </c>
      <c r="F4551" t="s">
        <v>5018</v>
      </c>
      <c r="G4551">
        <v>88</v>
      </c>
      <c r="H4551" s="5">
        <v>3.5842296456852019E-3</v>
      </c>
      <c r="I4551">
        <v>4</v>
      </c>
      <c r="J4551" t="b">
        <f>AND(CCData[[#This Row],[Date]]&gt;=Calculation!$E$3,CCData[[#This Row],[Date]]&lt;Calculation!$E$3+7)</f>
        <v>0</v>
      </c>
    </row>
    <row r="4552" spans="1:10">
      <c r="A4552" t="s">
        <v>4551</v>
      </c>
      <c r="B4552" s="2">
        <v>42085.5</v>
      </c>
      <c r="C4552" s="3" t="s">
        <v>5008</v>
      </c>
      <c r="D4552" t="s">
        <v>5015</v>
      </c>
      <c r="E4552" t="s">
        <v>5018</v>
      </c>
      <c r="F4552" t="s">
        <v>5018</v>
      </c>
      <c r="G4552">
        <v>86</v>
      </c>
      <c r="H4552" s="5">
        <v>2.5294628611824787E-3</v>
      </c>
      <c r="I4552">
        <v>3</v>
      </c>
      <c r="J4552" t="b">
        <f>AND(CCData[[#This Row],[Date]]&gt;=Calculation!$E$3,CCData[[#This Row],[Date]]&lt;Calculation!$E$3+7)</f>
        <v>0</v>
      </c>
    </row>
    <row r="4553" spans="1:10">
      <c r="A4553" t="s">
        <v>4552</v>
      </c>
      <c r="B4553" s="2">
        <v>42085.5</v>
      </c>
      <c r="C4553" s="3" t="s">
        <v>5009</v>
      </c>
      <c r="D4553" t="s">
        <v>5016</v>
      </c>
      <c r="E4553" t="s">
        <v>5018</v>
      </c>
      <c r="F4553" t="s">
        <v>5018</v>
      </c>
      <c r="G4553">
        <v>57</v>
      </c>
      <c r="H4553" s="5">
        <v>4.6093063295723205E-3</v>
      </c>
      <c r="I4553">
        <v>4</v>
      </c>
      <c r="J4553" t="b">
        <f>AND(CCData[[#This Row],[Date]]&gt;=Calculation!$E$3,CCData[[#This Row],[Date]]&lt;Calculation!$E$3+7)</f>
        <v>0</v>
      </c>
    </row>
    <row r="4554" spans="1:10">
      <c r="A4554" t="s">
        <v>4553</v>
      </c>
      <c r="B4554" s="2">
        <v>42085.504000000001</v>
      </c>
      <c r="C4554" s="3" t="s">
        <v>5007</v>
      </c>
      <c r="D4554" t="s">
        <v>5012</v>
      </c>
      <c r="E4554" t="s">
        <v>5018</v>
      </c>
      <c r="F4554" t="s">
        <v>5018</v>
      </c>
      <c r="G4554">
        <v>96</v>
      </c>
      <c r="H4554" s="5">
        <v>4.2876852126504167E-3</v>
      </c>
      <c r="I4554">
        <v>5</v>
      </c>
      <c r="J4554" t="b">
        <f>AND(CCData[[#This Row],[Date]]&gt;=Calculation!$E$3,CCData[[#This Row],[Date]]&lt;Calculation!$E$3+7)</f>
        <v>0</v>
      </c>
    </row>
    <row r="4555" spans="1:10">
      <c r="A4555" t="s">
        <v>4554</v>
      </c>
      <c r="B4555" s="2">
        <v>42085.504000000001</v>
      </c>
      <c r="C4555" s="3" t="s">
        <v>5007</v>
      </c>
      <c r="D4555" t="s">
        <v>5013</v>
      </c>
      <c r="E4555" t="s">
        <v>5018</v>
      </c>
      <c r="F4555" t="s">
        <v>5018</v>
      </c>
      <c r="G4555">
        <v>72</v>
      </c>
      <c r="H4555" s="5">
        <v>3.0045245620021702E-3</v>
      </c>
      <c r="I4555">
        <v>2</v>
      </c>
      <c r="J4555" t="b">
        <f>AND(CCData[[#This Row],[Date]]&gt;=Calculation!$E$3,CCData[[#This Row],[Date]]&lt;Calculation!$E$3+7)</f>
        <v>0</v>
      </c>
    </row>
    <row r="4556" spans="1:10">
      <c r="A4556" t="s">
        <v>4555</v>
      </c>
      <c r="B4556" s="2">
        <v>42085.504999999997</v>
      </c>
      <c r="C4556" s="3" t="s">
        <v>5007</v>
      </c>
      <c r="D4556" t="s">
        <v>5015</v>
      </c>
      <c r="E4556" t="s">
        <v>5018</v>
      </c>
      <c r="F4556" t="s">
        <v>5018</v>
      </c>
      <c r="G4556">
        <v>37</v>
      </c>
      <c r="H4556" s="5">
        <v>8.8300399921675138E-4</v>
      </c>
      <c r="I4556">
        <v>5</v>
      </c>
      <c r="J4556" t="b">
        <f>AND(CCData[[#This Row],[Date]]&gt;=Calculation!$E$3,CCData[[#This Row],[Date]]&lt;Calculation!$E$3+7)</f>
        <v>0</v>
      </c>
    </row>
    <row r="4557" spans="1:10">
      <c r="A4557" t="s">
        <v>4556</v>
      </c>
      <c r="B4557" s="2">
        <v>42085.504999999997</v>
      </c>
      <c r="C4557" s="3" t="s">
        <v>5007</v>
      </c>
      <c r="D4557" t="s">
        <v>5013</v>
      </c>
      <c r="E4557" t="s">
        <v>5019</v>
      </c>
      <c r="F4557" t="s">
        <v>5019</v>
      </c>
      <c r="G4557" t="s">
        <v>5022</v>
      </c>
      <c r="H4557" s="5" t="s">
        <v>5022</v>
      </c>
      <c r="I4557" t="s">
        <v>5022</v>
      </c>
      <c r="J4557" t="b">
        <f>AND(CCData[[#This Row],[Date]]&gt;=Calculation!$E$3,CCData[[#This Row],[Date]]&lt;Calculation!$E$3+7)</f>
        <v>0</v>
      </c>
    </row>
    <row r="4558" spans="1:10">
      <c r="A4558" t="s">
        <v>4557</v>
      </c>
      <c r="B4558" s="2">
        <v>42085.531999999999</v>
      </c>
      <c r="C4558" s="3" t="s">
        <v>5009</v>
      </c>
      <c r="D4558" t="s">
        <v>5013</v>
      </c>
      <c r="E4558" t="s">
        <v>5018</v>
      </c>
      <c r="F4558" t="s">
        <v>5018</v>
      </c>
      <c r="G4558">
        <v>37</v>
      </c>
      <c r="H4558" s="5">
        <v>3.6994665278615544E-4</v>
      </c>
      <c r="I4558">
        <v>1</v>
      </c>
      <c r="J4558" t="b">
        <f>AND(CCData[[#This Row],[Date]]&gt;=Calculation!$E$3,CCData[[#This Row],[Date]]&lt;Calculation!$E$3+7)</f>
        <v>0</v>
      </c>
    </row>
    <row r="4559" spans="1:10">
      <c r="A4559" t="s">
        <v>4558</v>
      </c>
      <c r="B4559" s="2">
        <v>42085.531999999999</v>
      </c>
      <c r="C4559" s="3" t="s">
        <v>5004</v>
      </c>
      <c r="D4559" t="s">
        <v>5016</v>
      </c>
      <c r="E4559" t="s">
        <v>5018</v>
      </c>
      <c r="F4559" t="s">
        <v>5018</v>
      </c>
      <c r="G4559">
        <v>10</v>
      </c>
      <c r="H4559" s="5">
        <v>1.2602124164796916E-3</v>
      </c>
      <c r="I4559">
        <v>5</v>
      </c>
      <c r="J4559" t="b">
        <f>AND(CCData[[#This Row],[Date]]&gt;=Calculation!$E$3,CCData[[#This Row],[Date]]&lt;Calculation!$E$3+7)</f>
        <v>0</v>
      </c>
    </row>
    <row r="4560" spans="1:10">
      <c r="A4560" t="s">
        <v>4559</v>
      </c>
      <c r="B4560" s="2">
        <v>42085.56</v>
      </c>
      <c r="C4560" s="3" t="s">
        <v>5003</v>
      </c>
      <c r="D4560" t="s">
        <v>5015</v>
      </c>
      <c r="E4560" t="s">
        <v>5019</v>
      </c>
      <c r="F4560" t="s">
        <v>5019</v>
      </c>
      <c r="G4560" t="s">
        <v>5022</v>
      </c>
      <c r="H4560" s="5" t="s">
        <v>5022</v>
      </c>
      <c r="I4560" t="s">
        <v>5022</v>
      </c>
      <c r="J4560" t="b">
        <f>AND(CCData[[#This Row],[Date]]&gt;=Calculation!$E$3,CCData[[#This Row],[Date]]&lt;Calculation!$E$3+7)</f>
        <v>0</v>
      </c>
    </row>
    <row r="4561" spans="1:10">
      <c r="A4561" t="s">
        <v>4560</v>
      </c>
      <c r="B4561" s="2">
        <v>42085.56</v>
      </c>
      <c r="C4561" s="3" t="s">
        <v>5010</v>
      </c>
      <c r="D4561" t="s">
        <v>5013</v>
      </c>
      <c r="E4561" t="s">
        <v>5018</v>
      </c>
      <c r="F4561" t="s">
        <v>5018</v>
      </c>
      <c r="G4561">
        <v>120</v>
      </c>
      <c r="H4561" s="5">
        <v>1.4254395371957693E-3</v>
      </c>
      <c r="I4561">
        <v>3</v>
      </c>
      <c r="J4561" t="b">
        <f>AND(CCData[[#This Row],[Date]]&gt;=Calculation!$E$3,CCData[[#This Row],[Date]]&lt;Calculation!$E$3+7)</f>
        <v>0</v>
      </c>
    </row>
    <row r="4562" spans="1:10">
      <c r="A4562" t="s">
        <v>4561</v>
      </c>
      <c r="B4562" s="2">
        <v>42085.561000000002</v>
      </c>
      <c r="C4562" s="3" t="s">
        <v>5004</v>
      </c>
      <c r="D4562" t="s">
        <v>5012</v>
      </c>
      <c r="E4562" t="s">
        <v>5018</v>
      </c>
      <c r="F4562" t="s">
        <v>5018</v>
      </c>
      <c r="G4562">
        <v>95</v>
      </c>
      <c r="H4562" s="5">
        <v>2.8210500922129472E-3</v>
      </c>
      <c r="I4562">
        <v>4</v>
      </c>
      <c r="J4562" t="b">
        <f>AND(CCData[[#This Row],[Date]]&gt;=Calculation!$E$3,CCData[[#This Row],[Date]]&lt;Calculation!$E$3+7)</f>
        <v>0</v>
      </c>
    </row>
    <row r="4563" spans="1:10">
      <c r="A4563" t="s">
        <v>4562</v>
      </c>
      <c r="B4563" s="2">
        <v>42085.561000000002</v>
      </c>
      <c r="C4563" s="3" t="s">
        <v>5007</v>
      </c>
      <c r="D4563" t="s">
        <v>5013</v>
      </c>
      <c r="E4563" t="s">
        <v>5018</v>
      </c>
      <c r="F4563" t="s">
        <v>5018</v>
      </c>
      <c r="G4563">
        <v>74</v>
      </c>
      <c r="H4563" s="5">
        <v>4.1072503143983613E-3</v>
      </c>
      <c r="I4563">
        <v>3</v>
      </c>
      <c r="J4563" t="b">
        <f>AND(CCData[[#This Row],[Date]]&gt;=Calculation!$E$3,CCData[[#This Row],[Date]]&lt;Calculation!$E$3+7)</f>
        <v>0</v>
      </c>
    </row>
    <row r="4564" spans="1:10">
      <c r="A4564" t="s">
        <v>4563</v>
      </c>
      <c r="B4564" s="2">
        <v>42085.563999999998</v>
      </c>
      <c r="C4564" s="3" t="s">
        <v>5003</v>
      </c>
      <c r="D4564" t="s">
        <v>5012</v>
      </c>
      <c r="E4564" t="s">
        <v>5019</v>
      </c>
      <c r="F4564" t="s">
        <v>5019</v>
      </c>
      <c r="G4564" t="s">
        <v>5022</v>
      </c>
      <c r="H4564" s="5" t="s">
        <v>5022</v>
      </c>
      <c r="I4564" t="s">
        <v>5022</v>
      </c>
      <c r="J4564" t="b">
        <f>AND(CCData[[#This Row],[Date]]&gt;=Calculation!$E$3,CCData[[#This Row],[Date]]&lt;Calculation!$E$3+7)</f>
        <v>0</v>
      </c>
    </row>
    <row r="4565" spans="1:10">
      <c r="A4565" t="s">
        <v>4564</v>
      </c>
      <c r="B4565" s="2">
        <v>42085.563999999998</v>
      </c>
      <c r="C4565" s="3" t="s">
        <v>5003</v>
      </c>
      <c r="D4565" t="s">
        <v>5016</v>
      </c>
      <c r="E4565" t="s">
        <v>5019</v>
      </c>
      <c r="F4565" t="s">
        <v>5019</v>
      </c>
      <c r="G4565" t="s">
        <v>5022</v>
      </c>
      <c r="H4565" s="5" t="s">
        <v>5022</v>
      </c>
      <c r="I4565" t="s">
        <v>5022</v>
      </c>
      <c r="J4565" t="b">
        <f>AND(CCData[[#This Row],[Date]]&gt;=Calculation!$E$3,CCData[[#This Row],[Date]]&lt;Calculation!$E$3+7)</f>
        <v>0</v>
      </c>
    </row>
    <row r="4566" spans="1:10">
      <c r="A4566" t="s">
        <v>4565</v>
      </c>
      <c r="B4566" s="2">
        <v>42085.572</v>
      </c>
      <c r="C4566" s="3" t="s">
        <v>5005</v>
      </c>
      <c r="D4566" t="s">
        <v>5013</v>
      </c>
      <c r="E4566" t="s">
        <v>5018</v>
      </c>
      <c r="F4566" t="s">
        <v>5018</v>
      </c>
      <c r="G4566">
        <v>77</v>
      </c>
      <c r="H4566" s="5">
        <v>9.2795703858875869E-4</v>
      </c>
      <c r="I4566">
        <v>3</v>
      </c>
      <c r="J4566" t="b">
        <f>AND(CCData[[#This Row],[Date]]&gt;=Calculation!$E$3,CCData[[#This Row],[Date]]&lt;Calculation!$E$3+7)</f>
        <v>0</v>
      </c>
    </row>
    <row r="4567" spans="1:10">
      <c r="A4567" t="s">
        <v>4566</v>
      </c>
      <c r="B4567" s="2">
        <v>42085.572</v>
      </c>
      <c r="C4567" s="3" t="s">
        <v>5008</v>
      </c>
      <c r="D4567" t="s">
        <v>5013</v>
      </c>
      <c r="E4567" t="s">
        <v>5018</v>
      </c>
      <c r="F4567" t="s">
        <v>5018</v>
      </c>
      <c r="G4567">
        <v>50</v>
      </c>
      <c r="H4567" s="5">
        <v>2.4474662190222445E-3</v>
      </c>
      <c r="I4567">
        <v>4</v>
      </c>
      <c r="J4567" t="b">
        <f>AND(CCData[[#This Row],[Date]]&gt;=Calculation!$E$3,CCData[[#This Row],[Date]]&lt;Calculation!$E$3+7)</f>
        <v>0</v>
      </c>
    </row>
    <row r="4568" spans="1:10">
      <c r="A4568" t="s">
        <v>4567</v>
      </c>
      <c r="B4568" s="2">
        <v>42085.593000000001</v>
      </c>
      <c r="C4568" s="3" t="s">
        <v>5003</v>
      </c>
      <c r="D4568" t="s">
        <v>5014</v>
      </c>
      <c r="E4568" t="s">
        <v>5018</v>
      </c>
      <c r="F4568" t="s">
        <v>5018</v>
      </c>
      <c r="G4568">
        <v>94</v>
      </c>
      <c r="H4568" s="5">
        <v>3.3827197911156974E-3</v>
      </c>
      <c r="I4568">
        <v>3</v>
      </c>
      <c r="J4568" t="b">
        <f>AND(CCData[[#This Row],[Date]]&gt;=Calculation!$E$3,CCData[[#This Row],[Date]]&lt;Calculation!$E$3+7)</f>
        <v>0</v>
      </c>
    </row>
    <row r="4569" spans="1:10">
      <c r="A4569" t="s">
        <v>4568</v>
      </c>
      <c r="B4569" s="2">
        <v>42085.593000000001</v>
      </c>
      <c r="C4569" s="3" t="s">
        <v>5004</v>
      </c>
      <c r="D4569" t="s">
        <v>5013</v>
      </c>
      <c r="E4569" t="s">
        <v>5018</v>
      </c>
      <c r="F4569" t="s">
        <v>5018</v>
      </c>
      <c r="G4569">
        <v>109</v>
      </c>
      <c r="H4569" s="5">
        <v>2.1926949464945952E-3</v>
      </c>
      <c r="I4569">
        <v>2</v>
      </c>
      <c r="J4569" t="b">
        <f>AND(CCData[[#This Row],[Date]]&gt;=Calculation!$E$3,CCData[[#This Row],[Date]]&lt;Calculation!$E$3+7)</f>
        <v>0</v>
      </c>
    </row>
    <row r="4570" spans="1:10">
      <c r="A4570" t="s">
        <v>4569</v>
      </c>
      <c r="B4570" s="2">
        <v>42085.616999999998</v>
      </c>
      <c r="C4570" s="3" t="s">
        <v>5010</v>
      </c>
      <c r="D4570" t="s">
        <v>5012</v>
      </c>
      <c r="E4570" t="s">
        <v>5018</v>
      </c>
      <c r="F4570" t="s">
        <v>5018</v>
      </c>
      <c r="G4570">
        <v>30</v>
      </c>
      <c r="H4570" s="5">
        <v>1.609518033515135E-3</v>
      </c>
      <c r="I4570">
        <v>1</v>
      </c>
      <c r="J4570" t="b">
        <f>AND(CCData[[#This Row],[Date]]&gt;=Calculation!$E$3,CCData[[#This Row],[Date]]&lt;Calculation!$E$3+7)</f>
        <v>0</v>
      </c>
    </row>
    <row r="4571" spans="1:10">
      <c r="A4571" t="s">
        <v>4570</v>
      </c>
      <c r="B4571" s="2">
        <v>42085.616999999998</v>
      </c>
      <c r="C4571" s="3" t="s">
        <v>5008</v>
      </c>
      <c r="D4571" t="s">
        <v>5015</v>
      </c>
      <c r="E4571" t="s">
        <v>5018</v>
      </c>
      <c r="F4571" t="s">
        <v>5018</v>
      </c>
      <c r="G4571">
        <v>124</v>
      </c>
      <c r="H4571" s="5">
        <v>3.7797615354508273E-3</v>
      </c>
      <c r="I4571">
        <v>4</v>
      </c>
      <c r="J4571" t="b">
        <f>AND(CCData[[#This Row],[Date]]&gt;=Calculation!$E$3,CCData[[#This Row],[Date]]&lt;Calculation!$E$3+7)</f>
        <v>0</v>
      </c>
    </row>
    <row r="4572" spans="1:10">
      <c r="A4572" t="s">
        <v>4571</v>
      </c>
      <c r="B4572" s="2">
        <v>42085.618999999999</v>
      </c>
      <c r="C4572" s="3" t="s">
        <v>5004</v>
      </c>
      <c r="D4572" t="s">
        <v>5013</v>
      </c>
      <c r="E4572" t="s">
        <v>5019</v>
      </c>
      <c r="F4572" t="s">
        <v>5019</v>
      </c>
      <c r="G4572" t="s">
        <v>5022</v>
      </c>
      <c r="H4572" s="5" t="s">
        <v>5022</v>
      </c>
      <c r="I4572" t="s">
        <v>5022</v>
      </c>
      <c r="J4572" t="b">
        <f>AND(CCData[[#This Row],[Date]]&gt;=Calculation!$E$3,CCData[[#This Row],[Date]]&lt;Calculation!$E$3+7)</f>
        <v>0</v>
      </c>
    </row>
    <row r="4573" spans="1:10">
      <c r="A4573" t="s">
        <v>4572</v>
      </c>
      <c r="B4573" s="2">
        <v>42085.618999999999</v>
      </c>
      <c r="C4573" s="3" t="s">
        <v>5003</v>
      </c>
      <c r="D4573" t="s">
        <v>5012</v>
      </c>
      <c r="E4573" t="s">
        <v>5019</v>
      </c>
      <c r="F4573" t="s">
        <v>5019</v>
      </c>
      <c r="G4573" t="s">
        <v>5022</v>
      </c>
      <c r="H4573" s="5" t="s">
        <v>5022</v>
      </c>
      <c r="I4573" t="s">
        <v>5022</v>
      </c>
      <c r="J4573" t="b">
        <f>AND(CCData[[#This Row],[Date]]&gt;=Calculation!$E$3,CCData[[#This Row],[Date]]&lt;Calculation!$E$3+7)</f>
        <v>0</v>
      </c>
    </row>
    <row r="4574" spans="1:10">
      <c r="A4574" t="s">
        <v>4573</v>
      </c>
      <c r="B4574" s="2">
        <v>42085.642999999996</v>
      </c>
      <c r="C4574" s="3" t="s">
        <v>5008</v>
      </c>
      <c r="D4574" t="s">
        <v>5016</v>
      </c>
      <c r="E4574" t="s">
        <v>5018</v>
      </c>
      <c r="F4574" t="s">
        <v>5018</v>
      </c>
      <c r="G4574">
        <v>114</v>
      </c>
      <c r="H4574" s="5">
        <v>2.8669752743198146E-3</v>
      </c>
      <c r="I4574">
        <v>3</v>
      </c>
      <c r="J4574" t="b">
        <f>AND(CCData[[#This Row],[Date]]&gt;=Calculation!$E$3,CCData[[#This Row],[Date]]&lt;Calculation!$E$3+7)</f>
        <v>0</v>
      </c>
    </row>
    <row r="4575" spans="1:10">
      <c r="A4575" t="s">
        <v>4574</v>
      </c>
      <c r="B4575" s="2">
        <v>42085.642999999996</v>
      </c>
      <c r="C4575" s="3" t="s">
        <v>5006</v>
      </c>
      <c r="D4575" t="s">
        <v>5013</v>
      </c>
      <c r="E4575" t="s">
        <v>5018</v>
      </c>
      <c r="F4575" t="s">
        <v>5018</v>
      </c>
      <c r="G4575">
        <v>32</v>
      </c>
      <c r="H4575" s="5">
        <v>3.4669853341855027E-3</v>
      </c>
      <c r="I4575">
        <v>4</v>
      </c>
      <c r="J4575" t="b">
        <f>AND(CCData[[#This Row],[Date]]&gt;=Calculation!$E$3,CCData[[#This Row],[Date]]&lt;Calculation!$E$3+7)</f>
        <v>0</v>
      </c>
    </row>
    <row r="4576" spans="1:10">
      <c r="A4576" t="s">
        <v>4575</v>
      </c>
      <c r="B4576" s="2">
        <v>42085.654000000002</v>
      </c>
      <c r="C4576" s="3" t="s">
        <v>5009</v>
      </c>
      <c r="D4576" t="s">
        <v>5012</v>
      </c>
      <c r="E4576" t="s">
        <v>5018</v>
      </c>
      <c r="F4576" t="s">
        <v>5018</v>
      </c>
      <c r="G4576">
        <v>75</v>
      </c>
      <c r="H4576" s="5">
        <v>1.2181743758782799E-3</v>
      </c>
      <c r="I4576">
        <v>4</v>
      </c>
      <c r="J4576" t="b">
        <f>AND(CCData[[#This Row],[Date]]&gt;=Calculation!$E$3,CCData[[#This Row],[Date]]&lt;Calculation!$E$3+7)</f>
        <v>0</v>
      </c>
    </row>
    <row r="4577" spans="1:10">
      <c r="A4577" t="s">
        <v>4576</v>
      </c>
      <c r="B4577" s="2">
        <v>42085.654000000002</v>
      </c>
      <c r="C4577" s="3" t="s">
        <v>5010</v>
      </c>
      <c r="D4577" t="s">
        <v>5012</v>
      </c>
      <c r="E4577" t="s">
        <v>5018</v>
      </c>
      <c r="F4577" t="s">
        <v>5019</v>
      </c>
      <c r="G4577">
        <v>109</v>
      </c>
      <c r="H4577" s="5">
        <v>4.2347092345606969E-3</v>
      </c>
      <c r="I4577">
        <v>2</v>
      </c>
      <c r="J4577" t="b">
        <f>AND(CCData[[#This Row],[Date]]&gt;=Calculation!$E$3,CCData[[#This Row],[Date]]&lt;Calculation!$E$3+7)</f>
        <v>0</v>
      </c>
    </row>
    <row r="4578" spans="1:10">
      <c r="A4578" t="s">
        <v>4577</v>
      </c>
      <c r="B4578" s="2">
        <v>42085.669000000002</v>
      </c>
      <c r="C4578" s="3" t="s">
        <v>5009</v>
      </c>
      <c r="D4578" t="s">
        <v>5016</v>
      </c>
      <c r="E4578" t="s">
        <v>5018</v>
      </c>
      <c r="F4578" t="s">
        <v>5018</v>
      </c>
      <c r="G4578">
        <v>116</v>
      </c>
      <c r="H4578" s="5">
        <v>1.8745045433405645E-3</v>
      </c>
      <c r="I4578">
        <v>3</v>
      </c>
      <c r="J4578" t="b">
        <f>AND(CCData[[#This Row],[Date]]&gt;=Calculation!$E$3,CCData[[#This Row],[Date]]&lt;Calculation!$E$3+7)</f>
        <v>0</v>
      </c>
    </row>
    <row r="4579" spans="1:10">
      <c r="A4579" t="s">
        <v>4578</v>
      </c>
      <c r="B4579" s="2">
        <v>42085.669000000002</v>
      </c>
      <c r="C4579" s="3" t="s">
        <v>5010</v>
      </c>
      <c r="D4579" t="s">
        <v>5013</v>
      </c>
      <c r="E4579" t="s">
        <v>5018</v>
      </c>
      <c r="F4579" t="s">
        <v>5018</v>
      </c>
      <c r="G4579">
        <v>26</v>
      </c>
      <c r="H4579" s="5">
        <v>1.7478981520288985E-3</v>
      </c>
      <c r="I4579">
        <v>3</v>
      </c>
      <c r="J4579" t="b">
        <f>AND(CCData[[#This Row],[Date]]&gt;=Calculation!$E$3,CCData[[#This Row],[Date]]&lt;Calculation!$E$3+7)</f>
        <v>0</v>
      </c>
    </row>
    <row r="4580" spans="1:10">
      <c r="A4580" t="s">
        <v>4579</v>
      </c>
      <c r="B4580" s="2">
        <v>42085.671000000002</v>
      </c>
      <c r="C4580" s="3" t="s">
        <v>5008</v>
      </c>
      <c r="D4580" t="s">
        <v>5015</v>
      </c>
      <c r="E4580" t="s">
        <v>5018</v>
      </c>
      <c r="F4580" t="s">
        <v>5018</v>
      </c>
      <c r="G4580">
        <v>67</v>
      </c>
      <c r="H4580" s="5">
        <v>4.2042086518064171E-3</v>
      </c>
      <c r="I4580">
        <v>4</v>
      </c>
      <c r="J4580" t="b">
        <f>AND(CCData[[#This Row],[Date]]&gt;=Calculation!$E$3,CCData[[#This Row],[Date]]&lt;Calculation!$E$3+7)</f>
        <v>0</v>
      </c>
    </row>
    <row r="4581" spans="1:10">
      <c r="A4581" t="s">
        <v>4580</v>
      </c>
      <c r="B4581" s="2">
        <v>42085.671000000002</v>
      </c>
      <c r="C4581" s="3" t="s">
        <v>5005</v>
      </c>
      <c r="D4581" t="s">
        <v>5015</v>
      </c>
      <c r="E4581" t="s">
        <v>5018</v>
      </c>
      <c r="F4581" t="s">
        <v>5019</v>
      </c>
      <c r="G4581">
        <v>58</v>
      </c>
      <c r="H4581" s="5">
        <v>2.5169129351758643E-3</v>
      </c>
      <c r="I4581">
        <v>4</v>
      </c>
      <c r="J4581" t="b">
        <f>AND(CCData[[#This Row],[Date]]&gt;=Calculation!$E$3,CCData[[#This Row],[Date]]&lt;Calculation!$E$3+7)</f>
        <v>0</v>
      </c>
    </row>
    <row r="4582" spans="1:10">
      <c r="A4582" t="s">
        <v>4581</v>
      </c>
      <c r="B4582" s="2">
        <v>42085.684000000001</v>
      </c>
      <c r="C4582" s="3" t="s">
        <v>5005</v>
      </c>
      <c r="D4582" t="s">
        <v>5016</v>
      </c>
      <c r="E4582" t="s">
        <v>5018</v>
      </c>
      <c r="F4582" t="s">
        <v>5018</v>
      </c>
      <c r="G4582">
        <v>20</v>
      </c>
      <c r="H4582" s="5">
        <v>4.5753892350912416E-3</v>
      </c>
      <c r="I4582">
        <v>2</v>
      </c>
      <c r="J4582" t="b">
        <f>AND(CCData[[#This Row],[Date]]&gt;=Calculation!$E$3,CCData[[#This Row],[Date]]&lt;Calculation!$E$3+7)</f>
        <v>0</v>
      </c>
    </row>
    <row r="4583" spans="1:10">
      <c r="A4583" t="s">
        <v>4582</v>
      </c>
      <c r="B4583" s="2">
        <v>42085.684000000001</v>
      </c>
      <c r="C4583" s="3" t="s">
        <v>5007</v>
      </c>
      <c r="D4583" t="s">
        <v>5013</v>
      </c>
      <c r="E4583" t="s">
        <v>5018</v>
      </c>
      <c r="F4583" t="s">
        <v>5018</v>
      </c>
      <c r="G4583">
        <v>115</v>
      </c>
      <c r="H4583" s="5">
        <v>3.3433697039558386E-3</v>
      </c>
      <c r="I4583">
        <v>1</v>
      </c>
      <c r="J4583" t="b">
        <f>AND(CCData[[#This Row],[Date]]&gt;=Calculation!$E$3,CCData[[#This Row],[Date]]&lt;Calculation!$E$3+7)</f>
        <v>0</v>
      </c>
    </row>
    <row r="4584" spans="1:10">
      <c r="A4584" t="s">
        <v>4583</v>
      </c>
      <c r="B4584" s="2">
        <v>42085.686999999998</v>
      </c>
      <c r="C4584" s="3" t="s">
        <v>5005</v>
      </c>
      <c r="D4584" t="s">
        <v>5015</v>
      </c>
      <c r="E4584" t="s">
        <v>5018</v>
      </c>
      <c r="F4584" t="s">
        <v>5019</v>
      </c>
      <c r="G4584">
        <v>35</v>
      </c>
      <c r="H4584" s="5">
        <v>2.5986365654047084E-3</v>
      </c>
      <c r="I4584">
        <v>4</v>
      </c>
      <c r="J4584" t="b">
        <f>AND(CCData[[#This Row],[Date]]&gt;=Calculation!$E$3,CCData[[#This Row],[Date]]&lt;Calculation!$E$3+7)</f>
        <v>0</v>
      </c>
    </row>
    <row r="4585" spans="1:10">
      <c r="A4585" t="s">
        <v>4584</v>
      </c>
      <c r="B4585" s="2">
        <v>42085.686999999998</v>
      </c>
      <c r="C4585" s="3" t="s">
        <v>5004</v>
      </c>
      <c r="D4585" t="s">
        <v>5013</v>
      </c>
      <c r="E4585" t="s">
        <v>5018</v>
      </c>
      <c r="F4585" t="s">
        <v>5018</v>
      </c>
      <c r="G4585">
        <v>36</v>
      </c>
      <c r="H4585" s="5">
        <v>1.5139491446772711E-3</v>
      </c>
      <c r="I4585">
        <v>4</v>
      </c>
      <c r="J4585" t="b">
        <f>AND(CCData[[#This Row],[Date]]&gt;=Calculation!$E$3,CCData[[#This Row],[Date]]&lt;Calculation!$E$3+7)</f>
        <v>0</v>
      </c>
    </row>
    <row r="4586" spans="1:10">
      <c r="A4586" t="s">
        <v>4585</v>
      </c>
      <c r="B4586" s="2">
        <v>42085.701000000001</v>
      </c>
      <c r="C4586" s="3" t="s">
        <v>5006</v>
      </c>
      <c r="D4586" t="s">
        <v>5012</v>
      </c>
      <c r="E4586" t="s">
        <v>5019</v>
      </c>
      <c r="F4586" t="s">
        <v>5019</v>
      </c>
      <c r="G4586" t="s">
        <v>5022</v>
      </c>
      <c r="H4586" s="5" t="s">
        <v>5022</v>
      </c>
      <c r="I4586" t="s">
        <v>5022</v>
      </c>
      <c r="J4586" t="b">
        <f>AND(CCData[[#This Row],[Date]]&gt;=Calculation!$E$3,CCData[[#This Row],[Date]]&lt;Calculation!$E$3+7)</f>
        <v>0</v>
      </c>
    </row>
    <row r="4587" spans="1:10">
      <c r="A4587" t="s">
        <v>4586</v>
      </c>
      <c r="B4587" s="2">
        <v>42085.701000000001</v>
      </c>
      <c r="C4587" s="3" t="s">
        <v>5006</v>
      </c>
      <c r="D4587" t="s">
        <v>5014</v>
      </c>
      <c r="E4587" t="s">
        <v>5018</v>
      </c>
      <c r="F4587" t="s">
        <v>5018</v>
      </c>
      <c r="G4587">
        <v>62</v>
      </c>
      <c r="H4587" s="5">
        <v>8.8953087801568699E-4</v>
      </c>
      <c r="I4587">
        <v>1</v>
      </c>
      <c r="J4587" t="b">
        <f>AND(CCData[[#This Row],[Date]]&gt;=Calculation!$E$3,CCData[[#This Row],[Date]]&lt;Calculation!$E$3+7)</f>
        <v>0</v>
      </c>
    </row>
    <row r="4588" spans="1:10">
      <c r="A4588" t="s">
        <v>4587</v>
      </c>
      <c r="B4588" s="2">
        <v>42085.735999999997</v>
      </c>
      <c r="C4588" s="3" t="s">
        <v>5010</v>
      </c>
      <c r="D4588" t="s">
        <v>5015</v>
      </c>
      <c r="E4588" t="s">
        <v>5018</v>
      </c>
      <c r="F4588" t="s">
        <v>5018</v>
      </c>
      <c r="G4588">
        <v>37</v>
      </c>
      <c r="H4588" s="5">
        <v>3.0076495107080711E-3</v>
      </c>
      <c r="I4588">
        <v>3</v>
      </c>
      <c r="J4588" t="b">
        <f>AND(CCData[[#This Row],[Date]]&gt;=Calculation!$E$3,CCData[[#This Row],[Date]]&lt;Calculation!$E$3+7)</f>
        <v>0</v>
      </c>
    </row>
    <row r="4589" spans="1:10">
      <c r="A4589" t="s">
        <v>4588</v>
      </c>
      <c r="B4589" s="2">
        <v>42085.735999999997</v>
      </c>
      <c r="C4589" s="3" t="s">
        <v>5010</v>
      </c>
      <c r="D4589" t="s">
        <v>5014</v>
      </c>
      <c r="E4589" t="s">
        <v>5019</v>
      </c>
      <c r="F4589" t="s">
        <v>5019</v>
      </c>
      <c r="G4589" t="s">
        <v>5022</v>
      </c>
      <c r="H4589" s="5" t="s">
        <v>5022</v>
      </c>
      <c r="I4589" t="s">
        <v>5022</v>
      </c>
      <c r="J4589" t="b">
        <f>AND(CCData[[#This Row],[Date]]&gt;=Calculation!$E$3,CCData[[#This Row],[Date]]&lt;Calculation!$E$3+7)</f>
        <v>0</v>
      </c>
    </row>
    <row r="4590" spans="1:10">
      <c r="A4590" t="s">
        <v>4589</v>
      </c>
      <c r="B4590" s="2">
        <v>42085.741999999998</v>
      </c>
      <c r="C4590" s="3" t="s">
        <v>5009</v>
      </c>
      <c r="D4590" t="s">
        <v>5013</v>
      </c>
      <c r="E4590" t="s">
        <v>5018</v>
      </c>
      <c r="F4590" t="s">
        <v>5018</v>
      </c>
      <c r="G4590">
        <v>124</v>
      </c>
      <c r="H4590" s="5">
        <v>4.3867949057093021E-3</v>
      </c>
      <c r="I4590">
        <v>1</v>
      </c>
      <c r="J4590" t="b">
        <f>AND(CCData[[#This Row],[Date]]&gt;=Calculation!$E$3,CCData[[#This Row],[Date]]&lt;Calculation!$E$3+7)</f>
        <v>0</v>
      </c>
    </row>
    <row r="4591" spans="1:10">
      <c r="A4591" t="s">
        <v>4590</v>
      </c>
      <c r="B4591" s="2">
        <v>42085.741999999998</v>
      </c>
      <c r="C4591" s="3" t="s">
        <v>5008</v>
      </c>
      <c r="D4591" t="s">
        <v>5015</v>
      </c>
      <c r="E4591" t="s">
        <v>5018</v>
      </c>
      <c r="F4591" t="s">
        <v>5018</v>
      </c>
      <c r="G4591">
        <v>58</v>
      </c>
      <c r="H4591" s="5">
        <v>4.3364061266030129E-3</v>
      </c>
      <c r="I4591">
        <v>5</v>
      </c>
      <c r="J4591" t="b">
        <f>AND(CCData[[#This Row],[Date]]&gt;=Calculation!$E$3,CCData[[#This Row],[Date]]&lt;Calculation!$E$3+7)</f>
        <v>0</v>
      </c>
    </row>
    <row r="4592" spans="1:10">
      <c r="A4592" t="s">
        <v>4591</v>
      </c>
      <c r="B4592" s="2">
        <v>42085.749000000003</v>
      </c>
      <c r="C4592" s="3" t="s">
        <v>5004</v>
      </c>
      <c r="D4592" t="s">
        <v>5015</v>
      </c>
      <c r="E4592" t="s">
        <v>5018</v>
      </c>
      <c r="F4592" t="s">
        <v>5018</v>
      </c>
      <c r="G4592">
        <v>77</v>
      </c>
      <c r="H4592" s="5">
        <v>1.5169281955492464E-3</v>
      </c>
      <c r="I4592">
        <v>5</v>
      </c>
      <c r="J4592" t="b">
        <f>AND(CCData[[#This Row],[Date]]&gt;=Calculation!$E$3,CCData[[#This Row],[Date]]&lt;Calculation!$E$3+7)</f>
        <v>0</v>
      </c>
    </row>
    <row r="4593" spans="1:10">
      <c r="A4593" t="s">
        <v>4592</v>
      </c>
      <c r="B4593" s="2">
        <v>42085.749000000003</v>
      </c>
      <c r="C4593" s="3" t="s">
        <v>5007</v>
      </c>
      <c r="D4593" t="s">
        <v>5013</v>
      </c>
      <c r="E4593" t="s">
        <v>5018</v>
      </c>
      <c r="F4593" t="s">
        <v>5018</v>
      </c>
      <c r="G4593">
        <v>80</v>
      </c>
      <c r="H4593" s="5">
        <v>7.8143395614591776E-4</v>
      </c>
      <c r="I4593">
        <v>4</v>
      </c>
      <c r="J4593" t="b">
        <f>AND(CCData[[#This Row],[Date]]&gt;=Calculation!$E$3,CCData[[#This Row],[Date]]&lt;Calculation!$E$3+7)</f>
        <v>0</v>
      </c>
    </row>
    <row r="4594" spans="1:10">
      <c r="A4594" t="s">
        <v>4593</v>
      </c>
      <c r="B4594" s="2">
        <v>42086.387999999999</v>
      </c>
      <c r="C4594" s="3" t="s">
        <v>5009</v>
      </c>
      <c r="D4594" t="s">
        <v>5014</v>
      </c>
      <c r="E4594" t="s">
        <v>5018</v>
      </c>
      <c r="F4594" t="s">
        <v>5018</v>
      </c>
      <c r="G4594">
        <v>51</v>
      </c>
      <c r="H4594" s="5">
        <v>1.682861764812962E-3</v>
      </c>
      <c r="I4594">
        <v>5</v>
      </c>
      <c r="J4594" t="b">
        <f>AND(CCData[[#This Row],[Date]]&gt;=Calculation!$E$3,CCData[[#This Row],[Date]]&lt;Calculation!$E$3+7)</f>
        <v>1</v>
      </c>
    </row>
    <row r="4595" spans="1:10">
      <c r="A4595" t="s">
        <v>4594</v>
      </c>
      <c r="B4595" s="2">
        <v>42086.387999999999</v>
      </c>
      <c r="C4595" s="3" t="s">
        <v>5009</v>
      </c>
      <c r="D4595" t="s">
        <v>5016</v>
      </c>
      <c r="E4595" t="s">
        <v>5018</v>
      </c>
      <c r="F4595" t="s">
        <v>5018</v>
      </c>
      <c r="G4595">
        <v>110</v>
      </c>
      <c r="H4595" s="5">
        <v>2.9936497926822897E-3</v>
      </c>
      <c r="I4595">
        <v>3</v>
      </c>
      <c r="J4595" t="b">
        <f>AND(CCData[[#This Row],[Date]]&gt;=Calculation!$E$3,CCData[[#This Row],[Date]]&lt;Calculation!$E$3+7)</f>
        <v>1</v>
      </c>
    </row>
    <row r="4596" spans="1:10">
      <c r="A4596" t="s">
        <v>4595</v>
      </c>
      <c r="B4596" s="2">
        <v>42086.408000000003</v>
      </c>
      <c r="C4596" s="3" t="s">
        <v>5004</v>
      </c>
      <c r="D4596" t="s">
        <v>5015</v>
      </c>
      <c r="E4596" t="s">
        <v>5018</v>
      </c>
      <c r="F4596" t="s">
        <v>5018</v>
      </c>
      <c r="G4596">
        <v>112</v>
      </c>
      <c r="H4596" s="5">
        <v>3.2399468800131028E-3</v>
      </c>
      <c r="I4596">
        <v>4</v>
      </c>
      <c r="J4596" t="b">
        <f>AND(CCData[[#This Row],[Date]]&gt;=Calculation!$E$3,CCData[[#This Row],[Date]]&lt;Calculation!$E$3+7)</f>
        <v>1</v>
      </c>
    </row>
    <row r="4597" spans="1:10">
      <c r="A4597" t="s">
        <v>4596</v>
      </c>
      <c r="B4597" s="2">
        <v>42086.408000000003</v>
      </c>
      <c r="C4597" s="3" t="s">
        <v>5010</v>
      </c>
      <c r="D4597" t="s">
        <v>5013</v>
      </c>
      <c r="E4597" t="s">
        <v>5018</v>
      </c>
      <c r="F4597" t="s">
        <v>5018</v>
      </c>
      <c r="G4597">
        <v>27</v>
      </c>
      <c r="H4597" s="5">
        <v>4.9179639732854861E-4</v>
      </c>
      <c r="I4597">
        <v>5</v>
      </c>
      <c r="J4597" t="b">
        <f>AND(CCData[[#This Row],[Date]]&gt;=Calculation!$E$3,CCData[[#This Row],[Date]]&lt;Calculation!$E$3+7)</f>
        <v>1</v>
      </c>
    </row>
    <row r="4598" spans="1:10">
      <c r="A4598" t="s">
        <v>4597</v>
      </c>
      <c r="B4598" s="2">
        <v>42086.474000000002</v>
      </c>
      <c r="C4598" s="3" t="s">
        <v>5010</v>
      </c>
      <c r="D4598" t="s">
        <v>5013</v>
      </c>
      <c r="E4598" t="s">
        <v>5018</v>
      </c>
      <c r="F4598" t="s">
        <v>5018</v>
      </c>
      <c r="G4598">
        <v>53</v>
      </c>
      <c r="H4598" s="5">
        <v>4.0152623405548173E-4</v>
      </c>
      <c r="I4598">
        <v>1</v>
      </c>
      <c r="J4598" t="b">
        <f>AND(CCData[[#This Row],[Date]]&gt;=Calculation!$E$3,CCData[[#This Row],[Date]]&lt;Calculation!$E$3+7)</f>
        <v>1</v>
      </c>
    </row>
    <row r="4599" spans="1:10">
      <c r="A4599" t="s">
        <v>4598</v>
      </c>
      <c r="B4599" s="2">
        <v>42086.474000000002</v>
      </c>
      <c r="C4599" s="3" t="s">
        <v>5008</v>
      </c>
      <c r="D4599" t="s">
        <v>5013</v>
      </c>
      <c r="E4599" t="s">
        <v>5018</v>
      </c>
      <c r="F4599" t="s">
        <v>5018</v>
      </c>
      <c r="G4599">
        <v>125</v>
      </c>
      <c r="H4599" s="5">
        <v>2.6824989405780518E-3</v>
      </c>
      <c r="I4599">
        <v>3</v>
      </c>
      <c r="J4599" t="b">
        <f>AND(CCData[[#This Row],[Date]]&gt;=Calculation!$E$3,CCData[[#This Row],[Date]]&lt;Calculation!$E$3+7)</f>
        <v>1</v>
      </c>
    </row>
    <row r="4600" spans="1:10">
      <c r="A4600" t="s">
        <v>4599</v>
      </c>
      <c r="B4600" s="2">
        <v>42086.49</v>
      </c>
      <c r="C4600" s="3" t="s">
        <v>5008</v>
      </c>
      <c r="D4600" t="s">
        <v>5016</v>
      </c>
      <c r="E4600" t="s">
        <v>5018</v>
      </c>
      <c r="F4600" t="s">
        <v>5018</v>
      </c>
      <c r="G4600">
        <v>13</v>
      </c>
      <c r="H4600" s="5">
        <v>2.0172753770374349E-3</v>
      </c>
      <c r="I4600">
        <v>1</v>
      </c>
      <c r="J4600" t="b">
        <f>AND(CCData[[#This Row],[Date]]&gt;=Calculation!$E$3,CCData[[#This Row],[Date]]&lt;Calculation!$E$3+7)</f>
        <v>1</v>
      </c>
    </row>
    <row r="4601" spans="1:10">
      <c r="A4601" t="s">
        <v>4600</v>
      </c>
      <c r="B4601" s="2">
        <v>42086.49</v>
      </c>
      <c r="C4601" s="3" t="s">
        <v>5008</v>
      </c>
      <c r="D4601" t="s">
        <v>5012</v>
      </c>
      <c r="E4601" t="s">
        <v>5018</v>
      </c>
      <c r="F4601" t="s">
        <v>5018</v>
      </c>
      <c r="G4601">
        <v>37</v>
      </c>
      <c r="H4601" s="5">
        <v>1.9016841854463584E-3</v>
      </c>
      <c r="I4601">
        <v>4</v>
      </c>
      <c r="J4601" t="b">
        <f>AND(CCData[[#This Row],[Date]]&gt;=Calculation!$E$3,CCData[[#This Row],[Date]]&lt;Calculation!$E$3+7)</f>
        <v>1</v>
      </c>
    </row>
    <row r="4602" spans="1:10">
      <c r="A4602" t="s">
        <v>4601</v>
      </c>
      <c r="B4602" s="2">
        <v>42086.519</v>
      </c>
      <c r="C4602" s="3" t="s">
        <v>5009</v>
      </c>
      <c r="D4602" t="s">
        <v>5016</v>
      </c>
      <c r="E4602" t="s">
        <v>5018</v>
      </c>
      <c r="F4602" t="s">
        <v>5018</v>
      </c>
      <c r="G4602">
        <v>84</v>
      </c>
      <c r="H4602" s="5">
        <v>2.6183134050895918E-3</v>
      </c>
      <c r="I4602">
        <v>4</v>
      </c>
      <c r="J4602" t="b">
        <f>AND(CCData[[#This Row],[Date]]&gt;=Calculation!$E$3,CCData[[#This Row],[Date]]&lt;Calculation!$E$3+7)</f>
        <v>1</v>
      </c>
    </row>
    <row r="4603" spans="1:10">
      <c r="A4603" t="s">
        <v>4602</v>
      </c>
      <c r="B4603" s="2">
        <v>42086.519</v>
      </c>
      <c r="C4603" s="3" t="s">
        <v>5006</v>
      </c>
      <c r="D4603" t="s">
        <v>5013</v>
      </c>
      <c r="E4603" t="s">
        <v>5019</v>
      </c>
      <c r="F4603" t="s">
        <v>5019</v>
      </c>
      <c r="G4603" t="s">
        <v>5022</v>
      </c>
      <c r="H4603" s="5" t="s">
        <v>5022</v>
      </c>
      <c r="I4603" t="s">
        <v>5022</v>
      </c>
      <c r="J4603" t="b">
        <f>AND(CCData[[#This Row],[Date]]&gt;=Calculation!$E$3,CCData[[#This Row],[Date]]&lt;Calculation!$E$3+7)</f>
        <v>1</v>
      </c>
    </row>
    <row r="4604" spans="1:10">
      <c r="A4604" t="s">
        <v>4603</v>
      </c>
      <c r="B4604" s="2">
        <v>42086.527000000002</v>
      </c>
      <c r="C4604" s="3" t="s">
        <v>5009</v>
      </c>
      <c r="D4604" t="s">
        <v>5016</v>
      </c>
      <c r="E4604" t="s">
        <v>5019</v>
      </c>
      <c r="F4604" t="s">
        <v>5019</v>
      </c>
      <c r="G4604" t="s">
        <v>5022</v>
      </c>
      <c r="H4604" s="5" t="s">
        <v>5022</v>
      </c>
      <c r="I4604" t="s">
        <v>5022</v>
      </c>
      <c r="J4604" t="b">
        <f>AND(CCData[[#This Row],[Date]]&gt;=Calculation!$E$3,CCData[[#This Row],[Date]]&lt;Calculation!$E$3+7)</f>
        <v>1</v>
      </c>
    </row>
    <row r="4605" spans="1:10">
      <c r="A4605" t="s">
        <v>4604</v>
      </c>
      <c r="B4605" s="2">
        <v>42086.527000000002</v>
      </c>
      <c r="C4605" s="3" t="s">
        <v>5008</v>
      </c>
      <c r="D4605" t="s">
        <v>5015</v>
      </c>
      <c r="E4605" t="s">
        <v>5018</v>
      </c>
      <c r="F4605" t="s">
        <v>5018</v>
      </c>
      <c r="G4605">
        <v>123</v>
      </c>
      <c r="H4605" s="5">
        <v>2.1474655026356882E-3</v>
      </c>
      <c r="I4605">
        <v>3</v>
      </c>
      <c r="J4605" t="b">
        <f>AND(CCData[[#This Row],[Date]]&gt;=Calculation!$E$3,CCData[[#This Row],[Date]]&lt;Calculation!$E$3+7)</f>
        <v>1</v>
      </c>
    </row>
    <row r="4606" spans="1:10">
      <c r="A4606" t="s">
        <v>4605</v>
      </c>
      <c r="B4606" s="2">
        <v>42086.544000000002</v>
      </c>
      <c r="C4606" s="3" t="s">
        <v>5009</v>
      </c>
      <c r="D4606" t="s">
        <v>5016</v>
      </c>
      <c r="E4606" t="s">
        <v>5018</v>
      </c>
      <c r="F4606" t="s">
        <v>5019</v>
      </c>
      <c r="G4606">
        <v>51</v>
      </c>
      <c r="H4606" s="5">
        <v>3.832732854408041E-3</v>
      </c>
      <c r="I4606">
        <v>3</v>
      </c>
      <c r="J4606" t="b">
        <f>AND(CCData[[#This Row],[Date]]&gt;=Calculation!$E$3,CCData[[#This Row],[Date]]&lt;Calculation!$E$3+7)</f>
        <v>1</v>
      </c>
    </row>
    <row r="4607" spans="1:10">
      <c r="A4607" t="s">
        <v>4606</v>
      </c>
      <c r="B4607" s="2">
        <v>42086.544000000002</v>
      </c>
      <c r="C4607" s="3" t="s">
        <v>5006</v>
      </c>
      <c r="D4607" t="s">
        <v>5015</v>
      </c>
      <c r="E4607" t="s">
        <v>5018</v>
      </c>
      <c r="F4607" t="s">
        <v>5018</v>
      </c>
      <c r="G4607">
        <v>69</v>
      </c>
      <c r="H4607" s="5">
        <v>3.3199312744029139E-3</v>
      </c>
      <c r="I4607">
        <v>1</v>
      </c>
      <c r="J4607" t="b">
        <f>AND(CCData[[#This Row],[Date]]&gt;=Calculation!$E$3,CCData[[#This Row],[Date]]&lt;Calculation!$E$3+7)</f>
        <v>1</v>
      </c>
    </row>
    <row r="4608" spans="1:10">
      <c r="A4608" t="s">
        <v>4607</v>
      </c>
      <c r="B4608" s="2">
        <v>42086.578000000001</v>
      </c>
      <c r="C4608" s="3" t="s">
        <v>5010</v>
      </c>
      <c r="D4608" t="s">
        <v>5016</v>
      </c>
      <c r="E4608" t="s">
        <v>5018</v>
      </c>
      <c r="F4608" t="s">
        <v>5018</v>
      </c>
      <c r="G4608">
        <v>80</v>
      </c>
      <c r="H4608" s="5">
        <v>2.081211202362473E-3</v>
      </c>
      <c r="I4608">
        <v>1</v>
      </c>
      <c r="J4608" t="b">
        <f>AND(CCData[[#This Row],[Date]]&gt;=Calculation!$E$3,CCData[[#This Row],[Date]]&lt;Calculation!$E$3+7)</f>
        <v>1</v>
      </c>
    </row>
    <row r="4609" spans="1:10">
      <c r="A4609" t="s">
        <v>4608</v>
      </c>
      <c r="B4609" s="2">
        <v>42086.578000000001</v>
      </c>
      <c r="C4609" s="3" t="s">
        <v>5006</v>
      </c>
      <c r="D4609" t="s">
        <v>5014</v>
      </c>
      <c r="E4609" t="s">
        <v>5018</v>
      </c>
      <c r="F4609" t="s">
        <v>5018</v>
      </c>
      <c r="G4609">
        <v>111</v>
      </c>
      <c r="H4609" s="5">
        <v>2.8368602705557619E-3</v>
      </c>
      <c r="I4609">
        <v>5</v>
      </c>
      <c r="J4609" t="b">
        <f>AND(CCData[[#This Row],[Date]]&gt;=Calculation!$E$3,CCData[[#This Row],[Date]]&lt;Calculation!$E$3+7)</f>
        <v>1</v>
      </c>
    </row>
    <row r="4610" spans="1:10">
      <c r="A4610" t="s">
        <v>4609</v>
      </c>
      <c r="B4610" s="2">
        <v>42086.587</v>
      </c>
      <c r="C4610" s="3" t="s">
        <v>5003</v>
      </c>
      <c r="D4610" t="s">
        <v>5015</v>
      </c>
      <c r="E4610" t="s">
        <v>5018</v>
      </c>
      <c r="F4610" t="s">
        <v>5018</v>
      </c>
      <c r="G4610">
        <v>26</v>
      </c>
      <c r="H4610" s="5">
        <v>4.1472071254659839E-3</v>
      </c>
      <c r="I4610">
        <v>4</v>
      </c>
      <c r="J4610" t="b">
        <f>AND(CCData[[#This Row],[Date]]&gt;=Calculation!$E$3,CCData[[#This Row],[Date]]&lt;Calculation!$E$3+7)</f>
        <v>1</v>
      </c>
    </row>
    <row r="4611" spans="1:10">
      <c r="A4611" t="s">
        <v>4610</v>
      </c>
      <c r="B4611" s="2">
        <v>42086.587</v>
      </c>
      <c r="C4611" s="3" t="s">
        <v>5010</v>
      </c>
      <c r="D4611" t="s">
        <v>5015</v>
      </c>
      <c r="E4611" t="s">
        <v>5018</v>
      </c>
      <c r="F4611" t="s">
        <v>5018</v>
      </c>
      <c r="G4611">
        <v>29</v>
      </c>
      <c r="H4611" s="5">
        <v>1.8839840984465805E-3</v>
      </c>
      <c r="I4611">
        <v>1</v>
      </c>
      <c r="J4611" t="b">
        <f>AND(CCData[[#This Row],[Date]]&gt;=Calculation!$E$3,CCData[[#This Row],[Date]]&lt;Calculation!$E$3+7)</f>
        <v>1</v>
      </c>
    </row>
    <row r="4612" spans="1:10">
      <c r="A4612" t="s">
        <v>4611</v>
      </c>
      <c r="B4612" s="2">
        <v>42086.601999999999</v>
      </c>
      <c r="C4612" s="3" t="s">
        <v>5009</v>
      </c>
      <c r="D4612" t="s">
        <v>5016</v>
      </c>
      <c r="E4612" t="s">
        <v>5019</v>
      </c>
      <c r="F4612" t="s">
        <v>5019</v>
      </c>
      <c r="G4612" t="s">
        <v>5022</v>
      </c>
      <c r="H4612" s="5" t="s">
        <v>5022</v>
      </c>
      <c r="I4612" t="s">
        <v>5022</v>
      </c>
      <c r="J4612" t="b">
        <f>AND(CCData[[#This Row],[Date]]&gt;=Calculation!$E$3,CCData[[#This Row],[Date]]&lt;Calculation!$E$3+7)</f>
        <v>1</v>
      </c>
    </row>
    <row r="4613" spans="1:10">
      <c r="A4613" t="s">
        <v>4612</v>
      </c>
      <c r="B4613" s="2">
        <v>42086.601999999999</v>
      </c>
      <c r="C4613" s="3" t="s">
        <v>5004</v>
      </c>
      <c r="D4613" t="s">
        <v>5013</v>
      </c>
      <c r="E4613" t="s">
        <v>5018</v>
      </c>
      <c r="F4613" t="s">
        <v>5018</v>
      </c>
      <c r="G4613">
        <v>43</v>
      </c>
      <c r="H4613" s="5">
        <v>1.060735176582806E-3</v>
      </c>
      <c r="I4613">
        <v>4</v>
      </c>
      <c r="J4613" t="b">
        <f>AND(CCData[[#This Row],[Date]]&gt;=Calculation!$E$3,CCData[[#This Row],[Date]]&lt;Calculation!$E$3+7)</f>
        <v>1</v>
      </c>
    </row>
    <row r="4614" spans="1:10">
      <c r="A4614" t="s">
        <v>4613</v>
      </c>
      <c r="B4614" s="2">
        <v>42086.64</v>
      </c>
      <c r="C4614" s="3" t="s">
        <v>5003</v>
      </c>
      <c r="D4614" t="s">
        <v>5013</v>
      </c>
      <c r="E4614" t="s">
        <v>5018</v>
      </c>
      <c r="F4614" t="s">
        <v>5018</v>
      </c>
      <c r="G4614">
        <v>58</v>
      </c>
      <c r="H4614" s="5">
        <v>3.4281638734135617E-3</v>
      </c>
      <c r="I4614">
        <v>3</v>
      </c>
      <c r="J4614" t="b">
        <f>AND(CCData[[#This Row],[Date]]&gt;=Calculation!$E$3,CCData[[#This Row],[Date]]&lt;Calculation!$E$3+7)</f>
        <v>1</v>
      </c>
    </row>
    <row r="4615" spans="1:10">
      <c r="A4615" t="s">
        <v>4614</v>
      </c>
      <c r="B4615" s="2">
        <v>42086.64</v>
      </c>
      <c r="C4615" s="3" t="s">
        <v>5007</v>
      </c>
      <c r="D4615" t="s">
        <v>5015</v>
      </c>
      <c r="E4615" t="s">
        <v>5018</v>
      </c>
      <c r="F4615" t="s">
        <v>5018</v>
      </c>
      <c r="G4615">
        <v>27</v>
      </c>
      <c r="H4615" s="5">
        <v>4.4879090900929609E-3</v>
      </c>
      <c r="I4615">
        <v>2</v>
      </c>
      <c r="J4615" t="b">
        <f>AND(CCData[[#This Row],[Date]]&gt;=Calculation!$E$3,CCData[[#This Row],[Date]]&lt;Calculation!$E$3+7)</f>
        <v>1</v>
      </c>
    </row>
    <row r="4616" spans="1:10">
      <c r="A4616" t="s">
        <v>4615</v>
      </c>
      <c r="B4616" s="2">
        <v>42086.644</v>
      </c>
      <c r="C4616" s="3" t="s">
        <v>5003</v>
      </c>
      <c r="D4616" t="s">
        <v>5015</v>
      </c>
      <c r="E4616" t="s">
        <v>5018</v>
      </c>
      <c r="F4616" t="s">
        <v>5018</v>
      </c>
      <c r="G4616">
        <v>39</v>
      </c>
      <c r="H4616" s="5">
        <v>1.3317271194712679E-3</v>
      </c>
      <c r="I4616">
        <v>4</v>
      </c>
      <c r="J4616" t="b">
        <f>AND(CCData[[#This Row],[Date]]&gt;=Calculation!$E$3,CCData[[#This Row],[Date]]&lt;Calculation!$E$3+7)</f>
        <v>1</v>
      </c>
    </row>
    <row r="4617" spans="1:10">
      <c r="A4617" t="s">
        <v>4616</v>
      </c>
      <c r="B4617" s="2">
        <v>42086.644</v>
      </c>
      <c r="C4617" s="3" t="s">
        <v>5008</v>
      </c>
      <c r="D4617" t="s">
        <v>5014</v>
      </c>
      <c r="E4617" t="s">
        <v>5018</v>
      </c>
      <c r="F4617" t="s">
        <v>5018</v>
      </c>
      <c r="G4617">
        <v>83</v>
      </c>
      <c r="H4617" s="5">
        <v>1.4256320672613916E-3</v>
      </c>
      <c r="I4617">
        <v>4</v>
      </c>
      <c r="J4617" t="b">
        <f>AND(CCData[[#This Row],[Date]]&gt;=Calculation!$E$3,CCData[[#This Row],[Date]]&lt;Calculation!$E$3+7)</f>
        <v>1</v>
      </c>
    </row>
    <row r="4618" spans="1:10">
      <c r="A4618" t="s">
        <v>4617</v>
      </c>
      <c r="B4618" s="2">
        <v>42086.648000000001</v>
      </c>
      <c r="C4618" s="3" t="s">
        <v>5007</v>
      </c>
      <c r="D4618" t="s">
        <v>5012</v>
      </c>
      <c r="E4618" t="s">
        <v>5018</v>
      </c>
      <c r="F4618" t="s">
        <v>5018</v>
      </c>
      <c r="G4618">
        <v>22</v>
      </c>
      <c r="H4618" s="5">
        <v>2.9621766016554099E-3</v>
      </c>
      <c r="I4618">
        <v>4</v>
      </c>
      <c r="J4618" t="b">
        <f>AND(CCData[[#This Row],[Date]]&gt;=Calculation!$E$3,CCData[[#This Row],[Date]]&lt;Calculation!$E$3+7)</f>
        <v>1</v>
      </c>
    </row>
    <row r="4619" spans="1:10">
      <c r="A4619" t="s">
        <v>4618</v>
      </c>
      <c r="B4619" s="2">
        <v>42086.648000000001</v>
      </c>
      <c r="C4619" s="3" t="s">
        <v>5007</v>
      </c>
      <c r="D4619" t="s">
        <v>5012</v>
      </c>
      <c r="E4619" t="s">
        <v>5018</v>
      </c>
      <c r="F4619" t="s">
        <v>5018</v>
      </c>
      <c r="G4619">
        <v>56</v>
      </c>
      <c r="H4619" s="5">
        <v>1.4685385982486836E-3</v>
      </c>
      <c r="I4619">
        <v>5</v>
      </c>
      <c r="J4619" t="b">
        <f>AND(CCData[[#This Row],[Date]]&gt;=Calculation!$E$3,CCData[[#This Row],[Date]]&lt;Calculation!$E$3+7)</f>
        <v>1</v>
      </c>
    </row>
    <row r="4620" spans="1:10">
      <c r="A4620" t="s">
        <v>4619</v>
      </c>
      <c r="B4620" s="2">
        <v>42086.680999999997</v>
      </c>
      <c r="C4620" s="3" t="s">
        <v>5009</v>
      </c>
      <c r="D4620" t="s">
        <v>5016</v>
      </c>
      <c r="E4620" t="s">
        <v>5018</v>
      </c>
      <c r="F4620" t="s">
        <v>5018</v>
      </c>
      <c r="G4620">
        <v>98</v>
      </c>
      <c r="H4620" s="5">
        <v>2.8931151508965083E-3</v>
      </c>
      <c r="I4620">
        <v>2</v>
      </c>
      <c r="J4620" t="b">
        <f>AND(CCData[[#This Row],[Date]]&gt;=Calculation!$E$3,CCData[[#This Row],[Date]]&lt;Calculation!$E$3+7)</f>
        <v>1</v>
      </c>
    </row>
    <row r="4621" spans="1:10">
      <c r="A4621" t="s">
        <v>4620</v>
      </c>
      <c r="B4621" s="2">
        <v>42086.680999999997</v>
      </c>
      <c r="C4621" s="3" t="s">
        <v>5003</v>
      </c>
      <c r="D4621" t="s">
        <v>5016</v>
      </c>
      <c r="E4621" t="s">
        <v>5019</v>
      </c>
      <c r="F4621" t="s">
        <v>5019</v>
      </c>
      <c r="G4621" t="s">
        <v>5022</v>
      </c>
      <c r="H4621" s="5" t="s">
        <v>5022</v>
      </c>
      <c r="I4621" t="s">
        <v>5022</v>
      </c>
      <c r="J4621" t="b">
        <f>AND(CCData[[#This Row],[Date]]&gt;=Calculation!$E$3,CCData[[#This Row],[Date]]&lt;Calculation!$E$3+7)</f>
        <v>1</v>
      </c>
    </row>
    <row r="4622" spans="1:10">
      <c r="A4622" t="s">
        <v>4621</v>
      </c>
      <c r="B4622" s="2">
        <v>42086.684000000001</v>
      </c>
      <c r="C4622" s="3" t="s">
        <v>5006</v>
      </c>
      <c r="D4622" t="s">
        <v>5016</v>
      </c>
      <c r="E4622" t="s">
        <v>5018</v>
      </c>
      <c r="F4622" t="s">
        <v>5018</v>
      </c>
      <c r="G4622">
        <v>101</v>
      </c>
      <c r="H4622" s="5">
        <v>8.7335452366063809E-4</v>
      </c>
      <c r="I4622">
        <v>5</v>
      </c>
      <c r="J4622" t="b">
        <f>AND(CCData[[#This Row],[Date]]&gt;=Calculation!$E$3,CCData[[#This Row],[Date]]&lt;Calculation!$E$3+7)</f>
        <v>1</v>
      </c>
    </row>
    <row r="4623" spans="1:10">
      <c r="A4623" t="s">
        <v>4622</v>
      </c>
      <c r="B4623" s="2">
        <v>42086.684000000001</v>
      </c>
      <c r="C4623" s="3" t="s">
        <v>5006</v>
      </c>
      <c r="D4623" t="s">
        <v>5016</v>
      </c>
      <c r="E4623" t="s">
        <v>5019</v>
      </c>
      <c r="F4623" t="s">
        <v>5019</v>
      </c>
      <c r="G4623" t="s">
        <v>5022</v>
      </c>
      <c r="H4623" s="5" t="s">
        <v>5022</v>
      </c>
      <c r="I4623" t="s">
        <v>5022</v>
      </c>
      <c r="J4623" t="b">
        <f>AND(CCData[[#This Row],[Date]]&gt;=Calculation!$E$3,CCData[[#This Row],[Date]]&lt;Calculation!$E$3+7)</f>
        <v>1</v>
      </c>
    </row>
    <row r="4624" spans="1:10">
      <c r="A4624" t="s">
        <v>4623</v>
      </c>
      <c r="B4624" s="2">
        <v>42086.69</v>
      </c>
      <c r="C4624" s="3" t="s">
        <v>5010</v>
      </c>
      <c r="D4624" t="s">
        <v>5013</v>
      </c>
      <c r="E4624" t="s">
        <v>5018</v>
      </c>
      <c r="F4624" t="s">
        <v>5018</v>
      </c>
      <c r="G4624">
        <v>93</v>
      </c>
      <c r="H4624" s="5">
        <v>4.1561821314921511E-4</v>
      </c>
      <c r="I4624">
        <v>4</v>
      </c>
      <c r="J4624" t="b">
        <f>AND(CCData[[#This Row],[Date]]&gt;=Calculation!$E$3,CCData[[#This Row],[Date]]&lt;Calculation!$E$3+7)</f>
        <v>1</v>
      </c>
    </row>
    <row r="4625" spans="1:10">
      <c r="A4625" t="s">
        <v>4624</v>
      </c>
      <c r="B4625" s="2">
        <v>42086.69</v>
      </c>
      <c r="C4625" s="3" t="s">
        <v>5010</v>
      </c>
      <c r="D4625" t="s">
        <v>5014</v>
      </c>
      <c r="E4625" t="s">
        <v>5018</v>
      </c>
      <c r="F4625" t="s">
        <v>5018</v>
      </c>
      <c r="G4625">
        <v>24</v>
      </c>
      <c r="H4625" s="5">
        <v>2.0435960915701958E-3</v>
      </c>
      <c r="I4625">
        <v>4</v>
      </c>
      <c r="J4625" t="b">
        <f>AND(CCData[[#This Row],[Date]]&gt;=Calculation!$E$3,CCData[[#This Row],[Date]]&lt;Calculation!$E$3+7)</f>
        <v>1</v>
      </c>
    </row>
    <row r="4626" spans="1:10">
      <c r="A4626" t="s">
        <v>4625</v>
      </c>
      <c r="B4626" s="2">
        <v>42086.694000000003</v>
      </c>
      <c r="C4626" s="3" t="s">
        <v>5003</v>
      </c>
      <c r="D4626" t="s">
        <v>5015</v>
      </c>
      <c r="E4626" t="s">
        <v>5018</v>
      </c>
      <c r="F4626" t="s">
        <v>5018</v>
      </c>
      <c r="G4626">
        <v>58</v>
      </c>
      <c r="H4626" s="5">
        <v>3.5253152394833921E-3</v>
      </c>
      <c r="I4626">
        <v>4</v>
      </c>
      <c r="J4626" t="b">
        <f>AND(CCData[[#This Row],[Date]]&gt;=Calculation!$E$3,CCData[[#This Row],[Date]]&lt;Calculation!$E$3+7)</f>
        <v>1</v>
      </c>
    </row>
    <row r="4627" spans="1:10">
      <c r="A4627" t="s">
        <v>4626</v>
      </c>
      <c r="B4627" s="2">
        <v>42086.694000000003</v>
      </c>
      <c r="C4627" s="3" t="s">
        <v>5006</v>
      </c>
      <c r="D4627" t="s">
        <v>5014</v>
      </c>
      <c r="E4627" t="s">
        <v>5018</v>
      </c>
      <c r="F4627" t="s">
        <v>5018</v>
      </c>
      <c r="G4627">
        <v>124</v>
      </c>
      <c r="H4627" s="5">
        <v>1.2613385572179706E-3</v>
      </c>
      <c r="I4627">
        <v>4</v>
      </c>
      <c r="J4627" t="b">
        <f>AND(CCData[[#This Row],[Date]]&gt;=Calculation!$E$3,CCData[[#This Row],[Date]]&lt;Calculation!$E$3+7)</f>
        <v>1</v>
      </c>
    </row>
    <row r="4628" spans="1:10">
      <c r="A4628" t="s">
        <v>4627</v>
      </c>
      <c r="B4628" s="2">
        <v>42086.694000000003</v>
      </c>
      <c r="C4628" s="3" t="s">
        <v>5010</v>
      </c>
      <c r="D4628" t="s">
        <v>5014</v>
      </c>
      <c r="E4628" t="s">
        <v>5018</v>
      </c>
      <c r="F4628" t="s">
        <v>5019</v>
      </c>
      <c r="G4628">
        <v>50</v>
      </c>
      <c r="H4628" s="5">
        <v>3.2665028793670741E-3</v>
      </c>
      <c r="I4628">
        <v>2</v>
      </c>
      <c r="J4628" t="b">
        <f>AND(CCData[[#This Row],[Date]]&gt;=Calculation!$E$3,CCData[[#This Row],[Date]]&lt;Calculation!$E$3+7)</f>
        <v>1</v>
      </c>
    </row>
    <row r="4629" spans="1:10">
      <c r="A4629" t="s">
        <v>4628</v>
      </c>
      <c r="B4629" s="2">
        <v>42086.694000000003</v>
      </c>
      <c r="C4629" s="3" t="s">
        <v>5009</v>
      </c>
      <c r="D4629" t="s">
        <v>5014</v>
      </c>
      <c r="E4629" t="s">
        <v>5018</v>
      </c>
      <c r="F4629" t="s">
        <v>5018</v>
      </c>
      <c r="G4629">
        <v>74</v>
      </c>
      <c r="H4629" s="5">
        <v>3.7037192382073816E-3</v>
      </c>
      <c r="I4629">
        <v>3</v>
      </c>
      <c r="J4629" t="b">
        <f>AND(CCData[[#This Row],[Date]]&gt;=Calculation!$E$3,CCData[[#This Row],[Date]]&lt;Calculation!$E$3+7)</f>
        <v>1</v>
      </c>
    </row>
    <row r="4630" spans="1:10">
      <c r="A4630" t="s">
        <v>4629</v>
      </c>
      <c r="B4630" s="2">
        <v>42086.7</v>
      </c>
      <c r="C4630" s="3" t="s">
        <v>5008</v>
      </c>
      <c r="D4630" t="s">
        <v>5015</v>
      </c>
      <c r="E4630" t="s">
        <v>5018</v>
      </c>
      <c r="F4630" t="s">
        <v>5018</v>
      </c>
      <c r="G4630">
        <v>62</v>
      </c>
      <c r="H4630" s="5">
        <v>5.2208784406713429E-4</v>
      </c>
      <c r="I4630">
        <v>4</v>
      </c>
      <c r="J4630" t="b">
        <f>AND(CCData[[#This Row],[Date]]&gt;=Calculation!$E$3,CCData[[#This Row],[Date]]&lt;Calculation!$E$3+7)</f>
        <v>1</v>
      </c>
    </row>
    <row r="4631" spans="1:10">
      <c r="A4631" t="s">
        <v>4630</v>
      </c>
      <c r="B4631" s="2">
        <v>42086.7</v>
      </c>
      <c r="C4631" s="3" t="s">
        <v>5008</v>
      </c>
      <c r="D4631" t="s">
        <v>5014</v>
      </c>
      <c r="E4631" t="s">
        <v>5019</v>
      </c>
      <c r="F4631" t="s">
        <v>5019</v>
      </c>
      <c r="G4631" t="s">
        <v>5022</v>
      </c>
      <c r="H4631" s="5" t="s">
        <v>5022</v>
      </c>
      <c r="I4631" t="s">
        <v>5022</v>
      </c>
      <c r="J4631" t="b">
        <f>AND(CCData[[#This Row],[Date]]&gt;=Calculation!$E$3,CCData[[#This Row],[Date]]&lt;Calculation!$E$3+7)</f>
        <v>1</v>
      </c>
    </row>
    <row r="4632" spans="1:10">
      <c r="A4632" t="s">
        <v>4631</v>
      </c>
      <c r="B4632" s="2">
        <v>42086.722999999998</v>
      </c>
      <c r="C4632" s="3" t="s">
        <v>5004</v>
      </c>
      <c r="D4632" t="s">
        <v>5014</v>
      </c>
      <c r="E4632" t="s">
        <v>5018</v>
      </c>
      <c r="F4632" t="s">
        <v>5018</v>
      </c>
      <c r="G4632">
        <v>19</v>
      </c>
      <c r="H4632" s="5">
        <v>2.6410809072435295E-3</v>
      </c>
      <c r="I4632">
        <v>3</v>
      </c>
      <c r="J4632" t="b">
        <f>AND(CCData[[#This Row],[Date]]&gt;=Calculation!$E$3,CCData[[#This Row],[Date]]&lt;Calculation!$E$3+7)</f>
        <v>1</v>
      </c>
    </row>
    <row r="4633" spans="1:10">
      <c r="A4633" t="s">
        <v>4632</v>
      </c>
      <c r="B4633" s="2">
        <v>42086.722999999998</v>
      </c>
      <c r="C4633" s="3" t="s">
        <v>5010</v>
      </c>
      <c r="D4633" t="s">
        <v>5015</v>
      </c>
      <c r="E4633" t="s">
        <v>5018</v>
      </c>
      <c r="F4633" t="s">
        <v>5018</v>
      </c>
      <c r="G4633">
        <v>65</v>
      </c>
      <c r="H4633" s="5">
        <v>3.701494033081554E-3</v>
      </c>
      <c r="I4633">
        <v>3</v>
      </c>
      <c r="J4633" t="b">
        <f>AND(CCData[[#This Row],[Date]]&gt;=Calculation!$E$3,CCData[[#This Row],[Date]]&lt;Calculation!$E$3+7)</f>
        <v>1</v>
      </c>
    </row>
    <row r="4634" spans="1:10">
      <c r="A4634" t="s">
        <v>4633</v>
      </c>
      <c r="B4634" s="2">
        <v>42086.731</v>
      </c>
      <c r="C4634" s="3" t="s">
        <v>5010</v>
      </c>
      <c r="D4634" t="s">
        <v>5012</v>
      </c>
      <c r="E4634" t="s">
        <v>5018</v>
      </c>
      <c r="F4634" t="s">
        <v>5018</v>
      </c>
      <c r="G4634">
        <v>30</v>
      </c>
      <c r="H4634" s="5">
        <v>2.0818400680444344E-3</v>
      </c>
      <c r="I4634">
        <v>3</v>
      </c>
      <c r="J4634" t="b">
        <f>AND(CCData[[#This Row],[Date]]&gt;=Calculation!$E$3,CCData[[#This Row],[Date]]&lt;Calculation!$E$3+7)</f>
        <v>1</v>
      </c>
    </row>
    <row r="4635" spans="1:10">
      <c r="A4635" t="s">
        <v>4634</v>
      </c>
      <c r="B4635" s="2">
        <v>42086.731</v>
      </c>
      <c r="C4635" s="3" t="s">
        <v>5005</v>
      </c>
      <c r="D4635" t="s">
        <v>5015</v>
      </c>
      <c r="E4635" t="s">
        <v>5018</v>
      </c>
      <c r="F4635" t="s">
        <v>5018</v>
      </c>
      <c r="G4635">
        <v>77</v>
      </c>
      <c r="H4635" s="5">
        <v>4.8049697904237686E-4</v>
      </c>
      <c r="I4635">
        <v>4</v>
      </c>
      <c r="J4635" t="b">
        <f>AND(CCData[[#This Row],[Date]]&gt;=Calculation!$E$3,CCData[[#This Row],[Date]]&lt;Calculation!$E$3+7)</f>
        <v>1</v>
      </c>
    </row>
    <row r="4636" spans="1:10">
      <c r="A4636" t="s">
        <v>4635</v>
      </c>
      <c r="B4636" s="2">
        <v>42086.735999999997</v>
      </c>
      <c r="C4636" s="3" t="s">
        <v>5008</v>
      </c>
      <c r="D4636" t="s">
        <v>5014</v>
      </c>
      <c r="E4636" t="s">
        <v>5019</v>
      </c>
      <c r="F4636" t="s">
        <v>5019</v>
      </c>
      <c r="G4636" t="s">
        <v>5022</v>
      </c>
      <c r="H4636" s="5" t="s">
        <v>5022</v>
      </c>
      <c r="I4636" t="s">
        <v>5022</v>
      </c>
      <c r="J4636" t="b">
        <f>AND(CCData[[#This Row],[Date]]&gt;=Calculation!$E$3,CCData[[#This Row],[Date]]&lt;Calculation!$E$3+7)</f>
        <v>1</v>
      </c>
    </row>
    <row r="4637" spans="1:10">
      <c r="A4637" t="s">
        <v>4636</v>
      </c>
      <c r="B4637" s="2">
        <v>42086.735999999997</v>
      </c>
      <c r="C4637" s="3" t="s">
        <v>5009</v>
      </c>
      <c r="D4637" t="s">
        <v>5014</v>
      </c>
      <c r="E4637" t="s">
        <v>5018</v>
      </c>
      <c r="F4637" t="s">
        <v>5019</v>
      </c>
      <c r="G4637">
        <v>98</v>
      </c>
      <c r="H4637" s="5">
        <v>1.9001514405300717E-3</v>
      </c>
      <c r="I4637">
        <v>5</v>
      </c>
      <c r="J4637" t="b">
        <f>AND(CCData[[#This Row],[Date]]&gt;=Calculation!$E$3,CCData[[#This Row],[Date]]&lt;Calculation!$E$3+7)</f>
        <v>1</v>
      </c>
    </row>
    <row r="4638" spans="1:10">
      <c r="A4638" t="s">
        <v>4637</v>
      </c>
      <c r="B4638" s="2">
        <v>42086.745999999999</v>
      </c>
      <c r="C4638" s="3" t="s">
        <v>5005</v>
      </c>
      <c r="D4638" t="s">
        <v>5015</v>
      </c>
      <c r="E4638" t="s">
        <v>5018</v>
      </c>
      <c r="F4638" t="s">
        <v>5018</v>
      </c>
      <c r="G4638">
        <v>70</v>
      </c>
      <c r="H4638" s="5">
        <v>3.2506215707645671E-3</v>
      </c>
      <c r="I4638">
        <v>1</v>
      </c>
      <c r="J4638" t="b">
        <f>AND(CCData[[#This Row],[Date]]&gt;=Calculation!$E$3,CCData[[#This Row],[Date]]&lt;Calculation!$E$3+7)</f>
        <v>1</v>
      </c>
    </row>
    <row r="4639" spans="1:10">
      <c r="A4639" t="s">
        <v>4638</v>
      </c>
      <c r="B4639" s="2">
        <v>42086.745999999999</v>
      </c>
      <c r="C4639" s="3" t="s">
        <v>5008</v>
      </c>
      <c r="D4639" t="s">
        <v>5012</v>
      </c>
      <c r="E4639" t="s">
        <v>5018</v>
      </c>
      <c r="F4639" t="s">
        <v>5018</v>
      </c>
      <c r="G4639">
        <v>58</v>
      </c>
      <c r="H4639" s="5">
        <v>1.67599668297648E-3</v>
      </c>
      <c r="I4639">
        <v>3</v>
      </c>
      <c r="J4639" t="b">
        <f>AND(CCData[[#This Row],[Date]]&gt;=Calculation!$E$3,CCData[[#This Row],[Date]]&lt;Calculation!$E$3+7)</f>
        <v>1</v>
      </c>
    </row>
    <row r="4640" spans="1:10">
      <c r="A4640" t="s">
        <v>4639</v>
      </c>
      <c r="B4640" s="2">
        <v>42087.375</v>
      </c>
      <c r="C4640" s="3" t="s">
        <v>5010</v>
      </c>
      <c r="D4640" t="s">
        <v>5013</v>
      </c>
      <c r="E4640" t="s">
        <v>5018</v>
      </c>
      <c r="F4640" t="s">
        <v>5018</v>
      </c>
      <c r="G4640">
        <v>21</v>
      </c>
      <c r="H4640" s="5">
        <v>1.7768285250259444E-3</v>
      </c>
      <c r="I4640">
        <v>3</v>
      </c>
      <c r="J4640" t="b">
        <f>AND(CCData[[#This Row],[Date]]&gt;=Calculation!$E$3,CCData[[#This Row],[Date]]&lt;Calculation!$E$3+7)</f>
        <v>1</v>
      </c>
    </row>
    <row r="4641" spans="1:10">
      <c r="A4641" t="s">
        <v>4640</v>
      </c>
      <c r="B4641" s="2">
        <v>42087.375</v>
      </c>
      <c r="C4641" s="3" t="s">
        <v>5010</v>
      </c>
      <c r="D4641" t="s">
        <v>5014</v>
      </c>
      <c r="E4641" t="s">
        <v>5018</v>
      </c>
      <c r="F4641" t="s">
        <v>5018</v>
      </c>
      <c r="G4641">
        <v>61</v>
      </c>
      <c r="H4641" s="5">
        <v>4.0211073274489962E-3</v>
      </c>
      <c r="I4641">
        <v>5</v>
      </c>
      <c r="J4641" t="b">
        <f>AND(CCData[[#This Row],[Date]]&gt;=Calculation!$E$3,CCData[[#This Row],[Date]]&lt;Calculation!$E$3+7)</f>
        <v>1</v>
      </c>
    </row>
    <row r="4642" spans="1:10">
      <c r="A4642" t="s">
        <v>4641</v>
      </c>
      <c r="B4642" s="2">
        <v>42087.383999999998</v>
      </c>
      <c r="C4642" s="3" t="s">
        <v>5007</v>
      </c>
      <c r="D4642" t="s">
        <v>5012</v>
      </c>
      <c r="E4642" t="s">
        <v>5018</v>
      </c>
      <c r="F4642" t="s">
        <v>5018</v>
      </c>
      <c r="G4642">
        <v>111</v>
      </c>
      <c r="H4642" s="5">
        <v>4.6438871704243562E-3</v>
      </c>
      <c r="I4642">
        <v>5</v>
      </c>
      <c r="J4642" t="b">
        <f>AND(CCData[[#This Row],[Date]]&gt;=Calculation!$E$3,CCData[[#This Row],[Date]]&lt;Calculation!$E$3+7)</f>
        <v>1</v>
      </c>
    </row>
    <row r="4643" spans="1:10">
      <c r="A4643" t="s">
        <v>4642</v>
      </c>
      <c r="B4643" s="2">
        <v>42087.383999999998</v>
      </c>
      <c r="C4643" s="3" t="s">
        <v>5010</v>
      </c>
      <c r="D4643" t="s">
        <v>5016</v>
      </c>
      <c r="E4643" t="s">
        <v>5018</v>
      </c>
      <c r="F4643" t="s">
        <v>5018</v>
      </c>
      <c r="G4643">
        <v>75</v>
      </c>
      <c r="H4643" s="5">
        <v>3.9214321627647781E-3</v>
      </c>
      <c r="I4643">
        <v>4</v>
      </c>
      <c r="J4643" t="b">
        <f>AND(CCData[[#This Row],[Date]]&gt;=Calculation!$E$3,CCData[[#This Row],[Date]]&lt;Calculation!$E$3+7)</f>
        <v>1</v>
      </c>
    </row>
    <row r="4644" spans="1:10">
      <c r="A4644" t="s">
        <v>4643</v>
      </c>
      <c r="B4644" s="2">
        <v>42087.400999999998</v>
      </c>
      <c r="C4644" s="3" t="s">
        <v>5006</v>
      </c>
      <c r="D4644" t="s">
        <v>5015</v>
      </c>
      <c r="E4644" t="s">
        <v>5019</v>
      </c>
      <c r="F4644" t="s">
        <v>5019</v>
      </c>
      <c r="G4644" t="s">
        <v>5022</v>
      </c>
      <c r="H4644" s="5" t="s">
        <v>5022</v>
      </c>
      <c r="I4644" t="s">
        <v>5022</v>
      </c>
      <c r="J4644" t="b">
        <f>AND(CCData[[#This Row],[Date]]&gt;=Calculation!$E$3,CCData[[#This Row],[Date]]&lt;Calculation!$E$3+7)</f>
        <v>1</v>
      </c>
    </row>
    <row r="4645" spans="1:10">
      <c r="A4645" t="s">
        <v>4644</v>
      </c>
      <c r="B4645" s="2">
        <v>42087.400999999998</v>
      </c>
      <c r="C4645" s="3" t="s">
        <v>5006</v>
      </c>
      <c r="D4645" t="s">
        <v>5013</v>
      </c>
      <c r="E4645" t="s">
        <v>5019</v>
      </c>
      <c r="F4645" t="s">
        <v>5019</v>
      </c>
      <c r="G4645" t="s">
        <v>5022</v>
      </c>
      <c r="H4645" s="5" t="s">
        <v>5022</v>
      </c>
      <c r="I4645" t="s">
        <v>5022</v>
      </c>
      <c r="J4645" t="b">
        <f>AND(CCData[[#This Row],[Date]]&gt;=Calculation!$E$3,CCData[[#This Row],[Date]]&lt;Calculation!$E$3+7)</f>
        <v>1</v>
      </c>
    </row>
    <row r="4646" spans="1:10">
      <c r="A4646" t="s">
        <v>4645</v>
      </c>
      <c r="B4646" s="2">
        <v>42087.404999999999</v>
      </c>
      <c r="C4646" s="3" t="s">
        <v>5008</v>
      </c>
      <c r="D4646" t="s">
        <v>5013</v>
      </c>
      <c r="E4646" t="s">
        <v>5018</v>
      </c>
      <c r="F4646" t="s">
        <v>5018</v>
      </c>
      <c r="G4646">
        <v>30</v>
      </c>
      <c r="H4646" s="5">
        <v>3.5043195835501497E-3</v>
      </c>
      <c r="I4646">
        <v>3</v>
      </c>
      <c r="J4646" t="b">
        <f>AND(CCData[[#This Row],[Date]]&gt;=Calculation!$E$3,CCData[[#This Row],[Date]]&lt;Calculation!$E$3+7)</f>
        <v>1</v>
      </c>
    </row>
    <row r="4647" spans="1:10">
      <c r="A4647" t="s">
        <v>4646</v>
      </c>
      <c r="B4647" s="2">
        <v>42087.404999999999</v>
      </c>
      <c r="C4647" s="3" t="s">
        <v>5008</v>
      </c>
      <c r="D4647" t="s">
        <v>5014</v>
      </c>
      <c r="E4647" t="s">
        <v>5018</v>
      </c>
      <c r="F4647" t="s">
        <v>5018</v>
      </c>
      <c r="G4647">
        <v>78</v>
      </c>
      <c r="H4647" s="5">
        <v>3.1945155240453204E-3</v>
      </c>
      <c r="I4647">
        <v>5</v>
      </c>
      <c r="J4647" t="b">
        <f>AND(CCData[[#This Row],[Date]]&gt;=Calculation!$E$3,CCData[[#This Row],[Date]]&lt;Calculation!$E$3+7)</f>
        <v>1</v>
      </c>
    </row>
    <row r="4648" spans="1:10">
      <c r="A4648" t="s">
        <v>4647</v>
      </c>
      <c r="B4648" s="2">
        <v>42087.41</v>
      </c>
      <c r="C4648" s="3" t="s">
        <v>5010</v>
      </c>
      <c r="D4648" t="s">
        <v>5013</v>
      </c>
      <c r="E4648" t="s">
        <v>5019</v>
      </c>
      <c r="F4648" t="s">
        <v>5019</v>
      </c>
      <c r="G4648" t="s">
        <v>5022</v>
      </c>
      <c r="H4648" s="5" t="s">
        <v>5022</v>
      </c>
      <c r="I4648" t="s">
        <v>5022</v>
      </c>
      <c r="J4648" t="b">
        <f>AND(CCData[[#This Row],[Date]]&gt;=Calculation!$E$3,CCData[[#This Row],[Date]]&lt;Calculation!$E$3+7)</f>
        <v>1</v>
      </c>
    </row>
    <row r="4649" spans="1:10">
      <c r="A4649" t="s">
        <v>4648</v>
      </c>
      <c r="B4649" s="2">
        <v>42087.41</v>
      </c>
      <c r="C4649" s="3" t="s">
        <v>5004</v>
      </c>
      <c r="D4649" t="s">
        <v>5013</v>
      </c>
      <c r="E4649" t="s">
        <v>5018</v>
      </c>
      <c r="F4649" t="s">
        <v>5018</v>
      </c>
      <c r="G4649">
        <v>26</v>
      </c>
      <c r="H4649" s="5">
        <v>2.6727286982342561E-3</v>
      </c>
      <c r="I4649">
        <v>5</v>
      </c>
      <c r="J4649" t="b">
        <f>AND(CCData[[#This Row],[Date]]&gt;=Calculation!$E$3,CCData[[#This Row],[Date]]&lt;Calculation!$E$3+7)</f>
        <v>1</v>
      </c>
    </row>
    <row r="4650" spans="1:10">
      <c r="A4650" t="s">
        <v>4649</v>
      </c>
      <c r="B4650" s="2">
        <v>42087.415999999997</v>
      </c>
      <c r="C4650" s="3" t="s">
        <v>5010</v>
      </c>
      <c r="D4650" t="s">
        <v>5014</v>
      </c>
      <c r="E4650" t="s">
        <v>5019</v>
      </c>
      <c r="F4650" t="s">
        <v>5019</v>
      </c>
      <c r="G4650" t="s">
        <v>5022</v>
      </c>
      <c r="H4650" s="5" t="s">
        <v>5022</v>
      </c>
      <c r="I4650" t="s">
        <v>5022</v>
      </c>
      <c r="J4650" t="b">
        <f>AND(CCData[[#This Row],[Date]]&gt;=Calculation!$E$3,CCData[[#This Row],[Date]]&lt;Calculation!$E$3+7)</f>
        <v>1</v>
      </c>
    </row>
    <row r="4651" spans="1:10">
      <c r="A4651" t="s">
        <v>4650</v>
      </c>
      <c r="B4651" s="2">
        <v>42087.415999999997</v>
      </c>
      <c r="C4651" s="3" t="s">
        <v>5006</v>
      </c>
      <c r="D4651" t="s">
        <v>5013</v>
      </c>
      <c r="E4651" t="s">
        <v>5018</v>
      </c>
      <c r="F4651" t="s">
        <v>5018</v>
      </c>
      <c r="G4651">
        <v>93</v>
      </c>
      <c r="H4651" s="5">
        <v>1.7277217124151796E-3</v>
      </c>
      <c r="I4651">
        <v>3</v>
      </c>
      <c r="J4651" t="b">
        <f>AND(CCData[[#This Row],[Date]]&gt;=Calculation!$E$3,CCData[[#This Row],[Date]]&lt;Calculation!$E$3+7)</f>
        <v>1</v>
      </c>
    </row>
    <row r="4652" spans="1:10">
      <c r="A4652" t="s">
        <v>4651</v>
      </c>
      <c r="B4652" s="2">
        <v>42087.421000000002</v>
      </c>
      <c r="C4652" s="3" t="s">
        <v>5007</v>
      </c>
      <c r="D4652" t="s">
        <v>5016</v>
      </c>
      <c r="E4652" t="s">
        <v>5018</v>
      </c>
      <c r="F4652" t="s">
        <v>5018</v>
      </c>
      <c r="G4652">
        <v>101</v>
      </c>
      <c r="H4652" s="5">
        <v>3.9420612435311113E-3</v>
      </c>
      <c r="I4652">
        <v>5</v>
      </c>
      <c r="J4652" t="b">
        <f>AND(CCData[[#This Row],[Date]]&gt;=Calculation!$E$3,CCData[[#This Row],[Date]]&lt;Calculation!$E$3+7)</f>
        <v>1</v>
      </c>
    </row>
    <row r="4653" spans="1:10">
      <c r="A4653" t="s">
        <v>4652</v>
      </c>
      <c r="B4653" s="2">
        <v>42087.421000000002</v>
      </c>
      <c r="C4653" s="3" t="s">
        <v>5007</v>
      </c>
      <c r="D4653" t="s">
        <v>5013</v>
      </c>
      <c r="E4653" t="s">
        <v>5018</v>
      </c>
      <c r="F4653" t="s">
        <v>5018</v>
      </c>
      <c r="G4653">
        <v>107</v>
      </c>
      <c r="H4653" s="5">
        <v>2.0675951200845523E-3</v>
      </c>
      <c r="I4653">
        <v>1</v>
      </c>
      <c r="J4653" t="b">
        <f>AND(CCData[[#This Row],[Date]]&gt;=Calculation!$E$3,CCData[[#This Row],[Date]]&lt;Calculation!$E$3+7)</f>
        <v>1</v>
      </c>
    </row>
    <row r="4654" spans="1:10">
      <c r="A4654" t="s">
        <v>4653</v>
      </c>
      <c r="B4654" s="2">
        <v>42087.423999999999</v>
      </c>
      <c r="C4654" s="3" t="s">
        <v>5005</v>
      </c>
      <c r="D4654" t="s">
        <v>5015</v>
      </c>
      <c r="E4654" t="s">
        <v>5018</v>
      </c>
      <c r="F4654" t="s">
        <v>5018</v>
      </c>
      <c r="G4654">
        <v>123</v>
      </c>
      <c r="H4654" s="5">
        <v>4.1076142900210878E-3</v>
      </c>
      <c r="I4654">
        <v>4</v>
      </c>
      <c r="J4654" t="b">
        <f>AND(CCData[[#This Row],[Date]]&gt;=Calculation!$E$3,CCData[[#This Row],[Date]]&lt;Calculation!$E$3+7)</f>
        <v>1</v>
      </c>
    </row>
    <row r="4655" spans="1:10">
      <c r="A4655" t="s">
        <v>4654</v>
      </c>
      <c r="B4655" s="2">
        <v>42087.423999999999</v>
      </c>
      <c r="C4655" s="3" t="s">
        <v>5009</v>
      </c>
      <c r="D4655" t="s">
        <v>5012</v>
      </c>
      <c r="E4655" t="s">
        <v>5018</v>
      </c>
      <c r="F4655" t="s">
        <v>5018</v>
      </c>
      <c r="G4655">
        <v>99</v>
      </c>
      <c r="H4655" s="5">
        <v>1.7748965222229894E-3</v>
      </c>
      <c r="I4655">
        <v>3</v>
      </c>
      <c r="J4655" t="b">
        <f>AND(CCData[[#This Row],[Date]]&gt;=Calculation!$E$3,CCData[[#This Row],[Date]]&lt;Calculation!$E$3+7)</f>
        <v>1</v>
      </c>
    </row>
    <row r="4656" spans="1:10">
      <c r="A4656" t="s">
        <v>4655</v>
      </c>
      <c r="B4656" s="2">
        <v>42087.453000000001</v>
      </c>
      <c r="C4656" s="3" t="s">
        <v>5004</v>
      </c>
      <c r="D4656" t="s">
        <v>5016</v>
      </c>
      <c r="E4656" t="s">
        <v>5018</v>
      </c>
      <c r="F4656" t="s">
        <v>5019</v>
      </c>
      <c r="G4656">
        <v>72</v>
      </c>
      <c r="H4656" s="5">
        <v>3.9277234952100259E-3</v>
      </c>
      <c r="I4656">
        <v>4</v>
      </c>
      <c r="J4656" t="b">
        <f>AND(CCData[[#This Row],[Date]]&gt;=Calculation!$E$3,CCData[[#This Row],[Date]]&lt;Calculation!$E$3+7)</f>
        <v>1</v>
      </c>
    </row>
    <row r="4657" spans="1:10">
      <c r="A4657" t="s">
        <v>4656</v>
      </c>
      <c r="B4657" s="2">
        <v>42087.453000000001</v>
      </c>
      <c r="C4657" s="3" t="s">
        <v>5008</v>
      </c>
      <c r="D4657" t="s">
        <v>5012</v>
      </c>
      <c r="E4657" t="s">
        <v>5018</v>
      </c>
      <c r="F4657" t="s">
        <v>5018</v>
      </c>
      <c r="G4657">
        <v>113</v>
      </c>
      <c r="H4657" s="5">
        <v>1.5989792520135801E-3</v>
      </c>
      <c r="I4657">
        <v>5</v>
      </c>
      <c r="J4657" t="b">
        <f>AND(CCData[[#This Row],[Date]]&gt;=Calculation!$E$3,CCData[[#This Row],[Date]]&lt;Calculation!$E$3+7)</f>
        <v>1</v>
      </c>
    </row>
    <row r="4658" spans="1:10">
      <c r="A4658" t="s">
        <v>4657</v>
      </c>
      <c r="B4658" s="2">
        <v>42087.464</v>
      </c>
      <c r="C4658" s="3" t="s">
        <v>5003</v>
      </c>
      <c r="D4658" t="s">
        <v>5013</v>
      </c>
      <c r="E4658" t="s">
        <v>5019</v>
      </c>
      <c r="F4658" t="s">
        <v>5019</v>
      </c>
      <c r="G4658" t="s">
        <v>5022</v>
      </c>
      <c r="H4658" s="5" t="s">
        <v>5022</v>
      </c>
      <c r="I4658" t="s">
        <v>5022</v>
      </c>
      <c r="J4658" t="b">
        <f>AND(CCData[[#This Row],[Date]]&gt;=Calculation!$E$3,CCData[[#This Row],[Date]]&lt;Calculation!$E$3+7)</f>
        <v>1</v>
      </c>
    </row>
    <row r="4659" spans="1:10">
      <c r="A4659" t="s">
        <v>4658</v>
      </c>
      <c r="B4659" s="2">
        <v>42087.464</v>
      </c>
      <c r="C4659" s="3" t="s">
        <v>5008</v>
      </c>
      <c r="D4659" t="s">
        <v>5015</v>
      </c>
      <c r="E4659" t="s">
        <v>5019</v>
      </c>
      <c r="F4659" t="s">
        <v>5019</v>
      </c>
      <c r="G4659" t="s">
        <v>5022</v>
      </c>
      <c r="H4659" s="5" t="s">
        <v>5022</v>
      </c>
      <c r="I4659" t="s">
        <v>5022</v>
      </c>
      <c r="J4659" t="b">
        <f>AND(CCData[[#This Row],[Date]]&gt;=Calculation!$E$3,CCData[[#This Row],[Date]]&lt;Calculation!$E$3+7)</f>
        <v>1</v>
      </c>
    </row>
    <row r="4660" spans="1:10">
      <c r="A4660" t="s">
        <v>4659</v>
      </c>
      <c r="B4660" s="2">
        <v>42087.466</v>
      </c>
      <c r="C4660" s="3" t="s">
        <v>5006</v>
      </c>
      <c r="D4660" t="s">
        <v>5013</v>
      </c>
      <c r="E4660" t="s">
        <v>5018</v>
      </c>
      <c r="F4660" t="s">
        <v>5018</v>
      </c>
      <c r="G4660">
        <v>119</v>
      </c>
      <c r="H4660" s="5">
        <v>4.0852602272266157E-4</v>
      </c>
      <c r="I4660">
        <v>2</v>
      </c>
      <c r="J4660" t="b">
        <f>AND(CCData[[#This Row],[Date]]&gt;=Calculation!$E$3,CCData[[#This Row],[Date]]&lt;Calculation!$E$3+7)</f>
        <v>1</v>
      </c>
    </row>
    <row r="4661" spans="1:10">
      <c r="A4661" t="s">
        <v>4660</v>
      </c>
      <c r="B4661" s="2">
        <v>42087.466</v>
      </c>
      <c r="C4661" s="3" t="s">
        <v>5003</v>
      </c>
      <c r="D4661" t="s">
        <v>5014</v>
      </c>
      <c r="E4661" t="s">
        <v>5018</v>
      </c>
      <c r="F4661" t="s">
        <v>5018</v>
      </c>
      <c r="G4661">
        <v>80</v>
      </c>
      <c r="H4661" s="5">
        <v>3.9133990631361784E-4</v>
      </c>
      <c r="I4661">
        <v>5</v>
      </c>
      <c r="J4661" t="b">
        <f>AND(CCData[[#This Row],[Date]]&gt;=Calculation!$E$3,CCData[[#This Row],[Date]]&lt;Calculation!$E$3+7)</f>
        <v>1</v>
      </c>
    </row>
    <row r="4662" spans="1:10">
      <c r="A4662" t="s">
        <v>4661</v>
      </c>
      <c r="B4662" s="2">
        <v>42087.482000000004</v>
      </c>
      <c r="C4662" s="3" t="s">
        <v>5010</v>
      </c>
      <c r="D4662" t="s">
        <v>5014</v>
      </c>
      <c r="E4662" t="s">
        <v>5018</v>
      </c>
      <c r="F4662" t="s">
        <v>5018</v>
      </c>
      <c r="G4662">
        <v>82</v>
      </c>
      <c r="H4662" s="5">
        <v>7.7150851199580834E-4</v>
      </c>
      <c r="I4662">
        <v>3</v>
      </c>
      <c r="J4662" t="b">
        <f>AND(CCData[[#This Row],[Date]]&gt;=Calculation!$E$3,CCData[[#This Row],[Date]]&lt;Calculation!$E$3+7)</f>
        <v>1</v>
      </c>
    </row>
    <row r="4663" spans="1:10">
      <c r="A4663" t="s">
        <v>4662</v>
      </c>
      <c r="B4663" s="2">
        <v>42087.482000000004</v>
      </c>
      <c r="C4663" s="3" t="s">
        <v>5009</v>
      </c>
      <c r="D4663" t="s">
        <v>5014</v>
      </c>
      <c r="E4663" t="s">
        <v>5018</v>
      </c>
      <c r="F4663" t="s">
        <v>5018</v>
      </c>
      <c r="G4663">
        <v>97</v>
      </c>
      <c r="H4663" s="5">
        <v>2.0422580899363764E-3</v>
      </c>
      <c r="I4663">
        <v>1</v>
      </c>
      <c r="J4663" t="b">
        <f>AND(CCData[[#This Row],[Date]]&gt;=Calculation!$E$3,CCData[[#This Row],[Date]]&lt;Calculation!$E$3+7)</f>
        <v>1</v>
      </c>
    </row>
    <row r="4664" spans="1:10">
      <c r="A4664" t="s">
        <v>4663</v>
      </c>
      <c r="B4664" s="2">
        <v>42087.512999999999</v>
      </c>
      <c r="C4664" s="3" t="s">
        <v>5008</v>
      </c>
      <c r="D4664" t="s">
        <v>5014</v>
      </c>
      <c r="E4664" t="s">
        <v>5018</v>
      </c>
      <c r="F4664" t="s">
        <v>5018</v>
      </c>
      <c r="G4664">
        <v>31</v>
      </c>
      <c r="H4664" s="5">
        <v>1.9588767615834092E-3</v>
      </c>
      <c r="I4664">
        <v>5</v>
      </c>
      <c r="J4664" t="b">
        <f>AND(CCData[[#This Row],[Date]]&gt;=Calculation!$E$3,CCData[[#This Row],[Date]]&lt;Calculation!$E$3+7)</f>
        <v>1</v>
      </c>
    </row>
    <row r="4665" spans="1:10">
      <c r="A4665" t="s">
        <v>4664</v>
      </c>
      <c r="B4665" s="2">
        <v>42087.512999999999</v>
      </c>
      <c r="C4665" s="3" t="s">
        <v>5007</v>
      </c>
      <c r="D4665" t="s">
        <v>5015</v>
      </c>
      <c r="E4665" t="s">
        <v>5019</v>
      </c>
      <c r="F4665" t="s">
        <v>5019</v>
      </c>
      <c r="G4665" t="s">
        <v>5022</v>
      </c>
      <c r="H4665" s="5" t="s">
        <v>5022</v>
      </c>
      <c r="I4665" t="s">
        <v>5022</v>
      </c>
      <c r="J4665" t="b">
        <f>AND(CCData[[#This Row],[Date]]&gt;=Calculation!$E$3,CCData[[#This Row],[Date]]&lt;Calculation!$E$3+7)</f>
        <v>1</v>
      </c>
    </row>
    <row r="4666" spans="1:10">
      <c r="A4666" t="s">
        <v>4665</v>
      </c>
      <c r="B4666" s="2">
        <v>42087.553999999996</v>
      </c>
      <c r="C4666" s="3" t="s">
        <v>5010</v>
      </c>
      <c r="D4666" t="s">
        <v>5013</v>
      </c>
      <c r="E4666" t="s">
        <v>5018</v>
      </c>
      <c r="F4666" t="s">
        <v>5018</v>
      </c>
      <c r="G4666">
        <v>11</v>
      </c>
      <c r="H4666" s="5">
        <v>4.4334331662896354E-3</v>
      </c>
      <c r="I4666">
        <v>5</v>
      </c>
      <c r="J4666" t="b">
        <f>AND(CCData[[#This Row],[Date]]&gt;=Calculation!$E$3,CCData[[#This Row],[Date]]&lt;Calculation!$E$3+7)</f>
        <v>1</v>
      </c>
    </row>
    <row r="4667" spans="1:10">
      <c r="A4667" t="s">
        <v>4666</v>
      </c>
      <c r="B4667" s="2">
        <v>42087.553999999996</v>
      </c>
      <c r="C4667" s="3" t="s">
        <v>5004</v>
      </c>
      <c r="D4667" t="s">
        <v>5016</v>
      </c>
      <c r="E4667" t="s">
        <v>5018</v>
      </c>
      <c r="F4667" t="s">
        <v>5018</v>
      </c>
      <c r="G4667">
        <v>91</v>
      </c>
      <c r="H4667" s="5">
        <v>1.3134552798985235E-3</v>
      </c>
      <c r="I4667">
        <v>3</v>
      </c>
      <c r="J4667" t="b">
        <f>AND(CCData[[#This Row],[Date]]&gt;=Calculation!$E$3,CCData[[#This Row],[Date]]&lt;Calculation!$E$3+7)</f>
        <v>1</v>
      </c>
    </row>
    <row r="4668" spans="1:10">
      <c r="A4668" t="s">
        <v>4667</v>
      </c>
      <c r="B4668" s="2">
        <v>42087.571000000004</v>
      </c>
      <c r="C4668" s="3" t="s">
        <v>5004</v>
      </c>
      <c r="D4668" t="s">
        <v>5013</v>
      </c>
      <c r="E4668" t="s">
        <v>5018</v>
      </c>
      <c r="F4668" t="s">
        <v>5018</v>
      </c>
      <c r="G4668">
        <v>15</v>
      </c>
      <c r="H4668" s="5">
        <v>1.3459755396095831E-3</v>
      </c>
      <c r="I4668">
        <v>5</v>
      </c>
      <c r="J4668" t="b">
        <f>AND(CCData[[#This Row],[Date]]&gt;=Calculation!$E$3,CCData[[#This Row],[Date]]&lt;Calculation!$E$3+7)</f>
        <v>1</v>
      </c>
    </row>
    <row r="4669" spans="1:10">
      <c r="A4669" t="s">
        <v>4668</v>
      </c>
      <c r="B4669" s="2">
        <v>42087.571000000004</v>
      </c>
      <c r="C4669" s="3" t="s">
        <v>5007</v>
      </c>
      <c r="D4669" t="s">
        <v>5012</v>
      </c>
      <c r="E4669" t="s">
        <v>5018</v>
      </c>
      <c r="F4669" t="s">
        <v>5018</v>
      </c>
      <c r="G4669">
        <v>17</v>
      </c>
      <c r="H4669" s="5">
        <v>4.2402880213761387E-3</v>
      </c>
      <c r="I4669">
        <v>3</v>
      </c>
      <c r="J4669" t="b">
        <f>AND(CCData[[#This Row],[Date]]&gt;=Calculation!$E$3,CCData[[#This Row],[Date]]&lt;Calculation!$E$3+7)</f>
        <v>1</v>
      </c>
    </row>
    <row r="4670" spans="1:10">
      <c r="A4670" t="s">
        <v>4669</v>
      </c>
      <c r="B4670" s="2">
        <v>42087.578999999998</v>
      </c>
      <c r="C4670" s="3" t="s">
        <v>5006</v>
      </c>
      <c r="D4670" t="s">
        <v>5013</v>
      </c>
      <c r="E4670" t="s">
        <v>5018</v>
      </c>
      <c r="F4670" t="s">
        <v>5018</v>
      </c>
      <c r="G4670">
        <v>38</v>
      </c>
      <c r="H4670" s="5">
        <v>3.2423642556653389E-3</v>
      </c>
      <c r="I4670">
        <v>2</v>
      </c>
      <c r="J4670" t="b">
        <f>AND(CCData[[#This Row],[Date]]&gt;=Calculation!$E$3,CCData[[#This Row],[Date]]&lt;Calculation!$E$3+7)</f>
        <v>1</v>
      </c>
    </row>
    <row r="4671" spans="1:10">
      <c r="A4671" t="s">
        <v>4670</v>
      </c>
      <c r="B4671" s="2">
        <v>42087.578999999998</v>
      </c>
      <c r="C4671" s="3" t="s">
        <v>5005</v>
      </c>
      <c r="D4671" t="s">
        <v>5013</v>
      </c>
      <c r="E4671" t="s">
        <v>5018</v>
      </c>
      <c r="F4671" t="s">
        <v>5018</v>
      </c>
      <c r="G4671">
        <v>47</v>
      </c>
      <c r="H4671" s="5">
        <v>3.1235600321220984E-3</v>
      </c>
      <c r="I4671">
        <v>4</v>
      </c>
      <c r="J4671" t="b">
        <f>AND(CCData[[#This Row],[Date]]&gt;=Calculation!$E$3,CCData[[#This Row],[Date]]&lt;Calculation!$E$3+7)</f>
        <v>1</v>
      </c>
    </row>
    <row r="4672" spans="1:10">
      <c r="A4672" t="s">
        <v>4671</v>
      </c>
      <c r="B4672" s="2">
        <v>42087.601999999999</v>
      </c>
      <c r="C4672" s="3" t="s">
        <v>5010</v>
      </c>
      <c r="D4672" t="s">
        <v>5013</v>
      </c>
      <c r="E4672" t="s">
        <v>5018</v>
      </c>
      <c r="F4672" t="s">
        <v>5018</v>
      </c>
      <c r="G4672">
        <v>52</v>
      </c>
      <c r="H4672" s="5">
        <v>7.8262169814877582E-4</v>
      </c>
      <c r="I4672">
        <v>3</v>
      </c>
      <c r="J4672" t="b">
        <f>AND(CCData[[#This Row],[Date]]&gt;=Calculation!$E$3,CCData[[#This Row],[Date]]&lt;Calculation!$E$3+7)</f>
        <v>1</v>
      </c>
    </row>
    <row r="4673" spans="1:10">
      <c r="A4673" t="s">
        <v>4672</v>
      </c>
      <c r="B4673" s="2">
        <v>42087.601999999999</v>
      </c>
      <c r="C4673" s="3" t="s">
        <v>5006</v>
      </c>
      <c r="D4673" t="s">
        <v>5012</v>
      </c>
      <c r="E4673" t="s">
        <v>5018</v>
      </c>
      <c r="F4673" t="s">
        <v>5018</v>
      </c>
      <c r="G4673">
        <v>99</v>
      </c>
      <c r="H4673" s="5">
        <v>1.0088026448907134E-3</v>
      </c>
      <c r="I4673">
        <v>3</v>
      </c>
      <c r="J4673" t="b">
        <f>AND(CCData[[#This Row],[Date]]&gt;=Calculation!$E$3,CCData[[#This Row],[Date]]&lt;Calculation!$E$3+7)</f>
        <v>1</v>
      </c>
    </row>
    <row r="4674" spans="1:10">
      <c r="A4674" t="s">
        <v>4673</v>
      </c>
      <c r="B4674" s="2">
        <v>42087.610999999997</v>
      </c>
      <c r="C4674" s="3" t="s">
        <v>5005</v>
      </c>
      <c r="D4674" t="s">
        <v>5014</v>
      </c>
      <c r="E4674" t="s">
        <v>5019</v>
      </c>
      <c r="F4674" t="s">
        <v>5019</v>
      </c>
      <c r="G4674" t="s">
        <v>5022</v>
      </c>
      <c r="H4674" s="5" t="s">
        <v>5022</v>
      </c>
      <c r="I4674" t="s">
        <v>5022</v>
      </c>
      <c r="J4674" t="b">
        <f>AND(CCData[[#This Row],[Date]]&gt;=Calculation!$E$3,CCData[[#This Row],[Date]]&lt;Calculation!$E$3+7)</f>
        <v>1</v>
      </c>
    </row>
    <row r="4675" spans="1:10">
      <c r="A4675" t="s">
        <v>4674</v>
      </c>
      <c r="B4675" s="2">
        <v>42087.610999999997</v>
      </c>
      <c r="C4675" s="3" t="s">
        <v>5009</v>
      </c>
      <c r="D4675" t="s">
        <v>5012</v>
      </c>
      <c r="E4675" t="s">
        <v>5018</v>
      </c>
      <c r="F4675" t="s">
        <v>5018</v>
      </c>
      <c r="G4675">
        <v>108</v>
      </c>
      <c r="H4675" s="5">
        <v>2.1579196943986938E-3</v>
      </c>
      <c r="I4675">
        <v>2</v>
      </c>
      <c r="J4675" t="b">
        <f>AND(CCData[[#This Row],[Date]]&gt;=Calculation!$E$3,CCData[[#This Row],[Date]]&lt;Calculation!$E$3+7)</f>
        <v>1</v>
      </c>
    </row>
    <row r="4676" spans="1:10">
      <c r="A4676" t="s">
        <v>4675</v>
      </c>
      <c r="B4676" s="2">
        <v>42087.625999999997</v>
      </c>
      <c r="C4676" s="3" t="s">
        <v>5003</v>
      </c>
      <c r="D4676" t="s">
        <v>5016</v>
      </c>
      <c r="E4676" t="s">
        <v>5018</v>
      </c>
      <c r="F4676" t="s">
        <v>5018</v>
      </c>
      <c r="G4676">
        <v>54</v>
      </c>
      <c r="H4676" s="5">
        <v>1.498294038737623E-3</v>
      </c>
      <c r="I4676">
        <v>3</v>
      </c>
      <c r="J4676" t="b">
        <f>AND(CCData[[#This Row],[Date]]&gt;=Calculation!$E$3,CCData[[#This Row],[Date]]&lt;Calculation!$E$3+7)</f>
        <v>1</v>
      </c>
    </row>
    <row r="4677" spans="1:10">
      <c r="A4677" t="s">
        <v>4676</v>
      </c>
      <c r="B4677" s="2">
        <v>42087.625999999997</v>
      </c>
      <c r="C4677" s="3" t="s">
        <v>5008</v>
      </c>
      <c r="D4677" t="s">
        <v>5012</v>
      </c>
      <c r="E4677" t="s">
        <v>5018</v>
      </c>
      <c r="F4677" t="s">
        <v>5018</v>
      </c>
      <c r="G4677">
        <v>73</v>
      </c>
      <c r="H4677" s="5">
        <v>2.8390663301437972E-3</v>
      </c>
      <c r="I4677">
        <v>3</v>
      </c>
      <c r="J4677" t="b">
        <f>AND(CCData[[#This Row],[Date]]&gt;=Calculation!$E$3,CCData[[#This Row],[Date]]&lt;Calculation!$E$3+7)</f>
        <v>1</v>
      </c>
    </row>
    <row r="4678" spans="1:10">
      <c r="A4678" t="s">
        <v>4677</v>
      </c>
      <c r="B4678" s="2">
        <v>42087.637000000002</v>
      </c>
      <c r="C4678" s="3" t="s">
        <v>5009</v>
      </c>
      <c r="D4678" t="s">
        <v>5015</v>
      </c>
      <c r="E4678" t="s">
        <v>5018</v>
      </c>
      <c r="F4678" t="s">
        <v>5018</v>
      </c>
      <c r="G4678">
        <v>123</v>
      </c>
      <c r="H4678" s="5">
        <v>5.4649921157923134E-4</v>
      </c>
      <c r="I4678">
        <v>1</v>
      </c>
      <c r="J4678" t="b">
        <f>AND(CCData[[#This Row],[Date]]&gt;=Calculation!$E$3,CCData[[#This Row],[Date]]&lt;Calculation!$E$3+7)</f>
        <v>1</v>
      </c>
    </row>
    <row r="4679" spans="1:10">
      <c r="A4679" t="s">
        <v>4678</v>
      </c>
      <c r="B4679" s="2">
        <v>42087.637000000002</v>
      </c>
      <c r="C4679" s="3" t="s">
        <v>5006</v>
      </c>
      <c r="D4679" t="s">
        <v>5014</v>
      </c>
      <c r="E4679" t="s">
        <v>5018</v>
      </c>
      <c r="F4679" t="s">
        <v>5018</v>
      </c>
      <c r="G4679">
        <v>33</v>
      </c>
      <c r="H4679" s="5">
        <v>4.2943139387334271E-3</v>
      </c>
      <c r="I4679">
        <v>5</v>
      </c>
      <c r="J4679" t="b">
        <f>AND(CCData[[#This Row],[Date]]&gt;=Calculation!$E$3,CCData[[#This Row],[Date]]&lt;Calculation!$E$3+7)</f>
        <v>1</v>
      </c>
    </row>
    <row r="4680" spans="1:10">
      <c r="A4680" t="s">
        <v>4679</v>
      </c>
      <c r="B4680" s="2">
        <v>42087.648000000001</v>
      </c>
      <c r="C4680" s="3" t="s">
        <v>5005</v>
      </c>
      <c r="D4680" t="s">
        <v>5014</v>
      </c>
      <c r="E4680" t="s">
        <v>5018</v>
      </c>
      <c r="F4680" t="s">
        <v>5018</v>
      </c>
      <c r="G4680">
        <v>53</v>
      </c>
      <c r="H4680" s="5">
        <v>9.515140715156224E-4</v>
      </c>
      <c r="I4680">
        <v>2</v>
      </c>
      <c r="J4680" t="b">
        <f>AND(CCData[[#This Row],[Date]]&gt;=Calculation!$E$3,CCData[[#This Row],[Date]]&lt;Calculation!$E$3+7)</f>
        <v>1</v>
      </c>
    </row>
    <row r="4681" spans="1:10">
      <c r="A4681" t="s">
        <v>4680</v>
      </c>
      <c r="B4681" s="2">
        <v>42087.648000000001</v>
      </c>
      <c r="C4681" s="3" t="s">
        <v>5008</v>
      </c>
      <c r="D4681" t="s">
        <v>5014</v>
      </c>
      <c r="E4681" t="s">
        <v>5018</v>
      </c>
      <c r="F4681" t="s">
        <v>5018</v>
      </c>
      <c r="G4681">
        <v>35</v>
      </c>
      <c r="H4681" s="5">
        <v>2.0417035586504737E-3</v>
      </c>
      <c r="I4681">
        <v>1</v>
      </c>
      <c r="J4681" t="b">
        <f>AND(CCData[[#This Row],[Date]]&gt;=Calculation!$E$3,CCData[[#This Row],[Date]]&lt;Calculation!$E$3+7)</f>
        <v>1</v>
      </c>
    </row>
    <row r="4682" spans="1:10">
      <c r="A4682" t="s">
        <v>4681</v>
      </c>
      <c r="B4682" s="2">
        <v>42087.656999999999</v>
      </c>
      <c r="C4682" s="3" t="s">
        <v>5003</v>
      </c>
      <c r="D4682" t="s">
        <v>5012</v>
      </c>
      <c r="E4682" t="s">
        <v>5019</v>
      </c>
      <c r="F4682" t="s">
        <v>5019</v>
      </c>
      <c r="G4682" t="s">
        <v>5022</v>
      </c>
      <c r="H4682" s="5" t="s">
        <v>5022</v>
      </c>
      <c r="I4682" t="s">
        <v>5022</v>
      </c>
      <c r="J4682" t="b">
        <f>AND(CCData[[#This Row],[Date]]&gt;=Calculation!$E$3,CCData[[#This Row],[Date]]&lt;Calculation!$E$3+7)</f>
        <v>1</v>
      </c>
    </row>
    <row r="4683" spans="1:10">
      <c r="A4683" t="s">
        <v>4682</v>
      </c>
      <c r="B4683" s="2">
        <v>42087.656999999999</v>
      </c>
      <c r="C4683" s="3" t="s">
        <v>5004</v>
      </c>
      <c r="D4683" t="s">
        <v>5013</v>
      </c>
      <c r="E4683" t="s">
        <v>5018</v>
      </c>
      <c r="F4683" t="s">
        <v>5018</v>
      </c>
      <c r="G4683">
        <v>45</v>
      </c>
      <c r="H4683" s="5">
        <v>4.0486476257714735E-3</v>
      </c>
      <c r="I4683">
        <v>3</v>
      </c>
      <c r="J4683" t="b">
        <f>AND(CCData[[#This Row],[Date]]&gt;=Calculation!$E$3,CCData[[#This Row],[Date]]&lt;Calculation!$E$3+7)</f>
        <v>1</v>
      </c>
    </row>
    <row r="4684" spans="1:10">
      <c r="A4684" t="s">
        <v>4683</v>
      </c>
      <c r="B4684" s="2">
        <v>42087.678</v>
      </c>
      <c r="C4684" s="3" t="s">
        <v>5010</v>
      </c>
      <c r="D4684" t="s">
        <v>5014</v>
      </c>
      <c r="E4684" t="s">
        <v>5018</v>
      </c>
      <c r="F4684" t="s">
        <v>5019</v>
      </c>
      <c r="G4684">
        <v>113</v>
      </c>
      <c r="H4684" s="5">
        <v>2.7104579589923637E-3</v>
      </c>
      <c r="I4684">
        <v>1</v>
      </c>
      <c r="J4684" t="b">
        <f>AND(CCData[[#This Row],[Date]]&gt;=Calculation!$E$3,CCData[[#This Row],[Date]]&lt;Calculation!$E$3+7)</f>
        <v>1</v>
      </c>
    </row>
    <row r="4685" spans="1:10">
      <c r="A4685" t="s">
        <v>4684</v>
      </c>
      <c r="B4685" s="2">
        <v>42087.678</v>
      </c>
      <c r="C4685" s="3" t="s">
        <v>5007</v>
      </c>
      <c r="D4685" t="s">
        <v>5015</v>
      </c>
      <c r="E4685" t="s">
        <v>5018</v>
      </c>
      <c r="F4685" t="s">
        <v>5018</v>
      </c>
      <c r="G4685">
        <v>115</v>
      </c>
      <c r="H4685" s="5">
        <v>3.5201514507851367E-3</v>
      </c>
      <c r="I4685">
        <v>5</v>
      </c>
      <c r="J4685" t="b">
        <f>AND(CCData[[#This Row],[Date]]&gt;=Calculation!$E$3,CCData[[#This Row],[Date]]&lt;Calculation!$E$3+7)</f>
        <v>1</v>
      </c>
    </row>
    <row r="4686" spans="1:10">
      <c r="A4686" t="s">
        <v>4685</v>
      </c>
      <c r="B4686" s="2">
        <v>42087.678999999996</v>
      </c>
      <c r="C4686" s="3" t="s">
        <v>5003</v>
      </c>
      <c r="D4686" t="s">
        <v>5012</v>
      </c>
      <c r="E4686" t="s">
        <v>5018</v>
      </c>
      <c r="F4686" t="s">
        <v>5018</v>
      </c>
      <c r="G4686">
        <v>81</v>
      </c>
      <c r="H4686" s="5">
        <v>1.3632755820169244E-3</v>
      </c>
      <c r="I4686">
        <v>5</v>
      </c>
      <c r="J4686" t="b">
        <f>AND(CCData[[#This Row],[Date]]&gt;=Calculation!$E$3,CCData[[#This Row],[Date]]&lt;Calculation!$E$3+7)</f>
        <v>1</v>
      </c>
    </row>
    <row r="4687" spans="1:10">
      <c r="A4687" t="s">
        <v>4686</v>
      </c>
      <c r="B4687" s="2">
        <v>42087.678999999996</v>
      </c>
      <c r="C4687" s="3" t="s">
        <v>5009</v>
      </c>
      <c r="D4687" t="s">
        <v>5013</v>
      </c>
      <c r="E4687" t="s">
        <v>5018</v>
      </c>
      <c r="F4687" t="s">
        <v>5018</v>
      </c>
      <c r="G4687">
        <v>21</v>
      </c>
      <c r="H4687" s="5">
        <v>3.3245193134099258E-3</v>
      </c>
      <c r="I4687">
        <v>5</v>
      </c>
      <c r="J4687" t="b">
        <f>AND(CCData[[#This Row],[Date]]&gt;=Calculation!$E$3,CCData[[#This Row],[Date]]&lt;Calculation!$E$3+7)</f>
        <v>1</v>
      </c>
    </row>
    <row r="4688" spans="1:10">
      <c r="A4688" t="s">
        <v>4687</v>
      </c>
      <c r="B4688" s="2">
        <v>42087.686000000002</v>
      </c>
      <c r="C4688" s="3" t="s">
        <v>5008</v>
      </c>
      <c r="D4688" t="s">
        <v>5015</v>
      </c>
      <c r="E4688" t="s">
        <v>5018</v>
      </c>
      <c r="F4688" t="s">
        <v>5019</v>
      </c>
      <c r="G4688">
        <v>89</v>
      </c>
      <c r="H4688" s="5">
        <v>8.0520124340040862E-4</v>
      </c>
      <c r="I4688">
        <v>5</v>
      </c>
      <c r="J4688" t="b">
        <f>AND(CCData[[#This Row],[Date]]&gt;=Calculation!$E$3,CCData[[#This Row],[Date]]&lt;Calculation!$E$3+7)</f>
        <v>1</v>
      </c>
    </row>
    <row r="4689" spans="1:10">
      <c r="A4689" t="s">
        <v>4688</v>
      </c>
      <c r="B4689" s="2">
        <v>42087.686000000002</v>
      </c>
      <c r="C4689" s="3" t="s">
        <v>5007</v>
      </c>
      <c r="D4689" t="s">
        <v>5014</v>
      </c>
      <c r="E4689" t="s">
        <v>5018</v>
      </c>
      <c r="F4689" t="s">
        <v>5018</v>
      </c>
      <c r="G4689">
        <v>54</v>
      </c>
      <c r="H4689" s="5">
        <v>3.6734378721934272E-3</v>
      </c>
      <c r="I4689">
        <v>3</v>
      </c>
      <c r="J4689" t="b">
        <f>AND(CCData[[#This Row],[Date]]&gt;=Calculation!$E$3,CCData[[#This Row],[Date]]&lt;Calculation!$E$3+7)</f>
        <v>1</v>
      </c>
    </row>
    <row r="4690" spans="1:10">
      <c r="A4690" t="s">
        <v>4689</v>
      </c>
      <c r="B4690" s="2">
        <v>42087.688000000002</v>
      </c>
      <c r="C4690" s="3" t="s">
        <v>5007</v>
      </c>
      <c r="D4690" t="s">
        <v>5013</v>
      </c>
      <c r="E4690" t="s">
        <v>5018</v>
      </c>
      <c r="F4690" t="s">
        <v>5018</v>
      </c>
      <c r="G4690">
        <v>59</v>
      </c>
      <c r="H4690" s="5">
        <v>4.2529581501391358E-3</v>
      </c>
      <c r="I4690">
        <v>1</v>
      </c>
      <c r="J4690" t="b">
        <f>AND(CCData[[#This Row],[Date]]&gt;=Calculation!$E$3,CCData[[#This Row],[Date]]&lt;Calculation!$E$3+7)</f>
        <v>1</v>
      </c>
    </row>
    <row r="4691" spans="1:10">
      <c r="A4691" t="s">
        <v>4690</v>
      </c>
      <c r="B4691" s="2">
        <v>42087.688000000002</v>
      </c>
      <c r="C4691" s="3" t="s">
        <v>5004</v>
      </c>
      <c r="D4691" t="s">
        <v>5016</v>
      </c>
      <c r="E4691" t="s">
        <v>5018</v>
      </c>
      <c r="F4691" t="s">
        <v>5018</v>
      </c>
      <c r="G4691">
        <v>61</v>
      </c>
      <c r="H4691" s="5">
        <v>2.9157825112996923E-3</v>
      </c>
      <c r="I4691">
        <v>1</v>
      </c>
      <c r="J4691" t="b">
        <f>AND(CCData[[#This Row],[Date]]&gt;=Calculation!$E$3,CCData[[#This Row],[Date]]&lt;Calculation!$E$3+7)</f>
        <v>1</v>
      </c>
    </row>
    <row r="4692" spans="1:10">
      <c r="A4692" t="s">
        <v>4691</v>
      </c>
      <c r="B4692" s="2">
        <v>42087.728000000003</v>
      </c>
      <c r="C4692" s="3" t="s">
        <v>5006</v>
      </c>
      <c r="D4692" t="s">
        <v>5016</v>
      </c>
      <c r="E4692" t="s">
        <v>5018</v>
      </c>
      <c r="F4692" t="s">
        <v>5018</v>
      </c>
      <c r="G4692">
        <v>102</v>
      </c>
      <c r="H4692" s="5">
        <v>4.644830715455032E-3</v>
      </c>
      <c r="I4692">
        <v>1</v>
      </c>
      <c r="J4692" t="b">
        <f>AND(CCData[[#This Row],[Date]]&gt;=Calculation!$E$3,CCData[[#This Row],[Date]]&lt;Calculation!$E$3+7)</f>
        <v>1</v>
      </c>
    </row>
    <row r="4693" spans="1:10">
      <c r="A4693" t="s">
        <v>4692</v>
      </c>
      <c r="B4693" s="2">
        <v>42087.728000000003</v>
      </c>
      <c r="C4693" s="3" t="s">
        <v>5009</v>
      </c>
      <c r="D4693" t="s">
        <v>5012</v>
      </c>
      <c r="E4693" t="s">
        <v>5018</v>
      </c>
      <c r="F4693" t="s">
        <v>5019</v>
      </c>
      <c r="G4693">
        <v>73</v>
      </c>
      <c r="H4693" s="5">
        <v>4.6252167325617376E-4</v>
      </c>
      <c r="I4693">
        <v>3</v>
      </c>
      <c r="J4693" t="b">
        <f>AND(CCData[[#This Row],[Date]]&gt;=Calculation!$E$3,CCData[[#This Row],[Date]]&lt;Calculation!$E$3+7)</f>
        <v>1</v>
      </c>
    </row>
    <row r="4694" spans="1:10">
      <c r="A4694" t="s">
        <v>4693</v>
      </c>
      <c r="B4694" s="2">
        <v>42088.375999999997</v>
      </c>
      <c r="C4694" s="3" t="s">
        <v>5006</v>
      </c>
      <c r="D4694" t="s">
        <v>5014</v>
      </c>
      <c r="E4694" t="s">
        <v>5019</v>
      </c>
      <c r="F4694" t="s">
        <v>5019</v>
      </c>
      <c r="G4694" t="s">
        <v>5022</v>
      </c>
      <c r="H4694" s="5" t="s">
        <v>5022</v>
      </c>
      <c r="I4694" t="s">
        <v>5022</v>
      </c>
      <c r="J4694" t="b">
        <f>AND(CCData[[#This Row],[Date]]&gt;=Calculation!$E$3,CCData[[#This Row],[Date]]&lt;Calculation!$E$3+7)</f>
        <v>1</v>
      </c>
    </row>
    <row r="4695" spans="1:10">
      <c r="A4695" t="s">
        <v>4694</v>
      </c>
      <c r="B4695" s="2">
        <v>42088.375999999997</v>
      </c>
      <c r="C4695" s="3" t="s">
        <v>5005</v>
      </c>
      <c r="D4695" t="s">
        <v>5012</v>
      </c>
      <c r="E4695" t="s">
        <v>5018</v>
      </c>
      <c r="F4695" t="s">
        <v>5018</v>
      </c>
      <c r="G4695">
        <v>75</v>
      </c>
      <c r="H4695" s="5">
        <v>2.9172674361040542E-3</v>
      </c>
      <c r="I4695">
        <v>5</v>
      </c>
      <c r="J4695" t="b">
        <f>AND(CCData[[#This Row],[Date]]&gt;=Calculation!$E$3,CCData[[#This Row],[Date]]&lt;Calculation!$E$3+7)</f>
        <v>1</v>
      </c>
    </row>
    <row r="4696" spans="1:10">
      <c r="A4696" t="s">
        <v>4695</v>
      </c>
      <c r="B4696" s="2">
        <v>42088.377999999997</v>
      </c>
      <c r="C4696" s="3" t="s">
        <v>5009</v>
      </c>
      <c r="D4696" t="s">
        <v>5016</v>
      </c>
      <c r="E4696" t="s">
        <v>5018</v>
      </c>
      <c r="F4696" t="s">
        <v>5018</v>
      </c>
      <c r="G4696">
        <v>46</v>
      </c>
      <c r="H4696" s="5">
        <v>1.1563580883358019E-3</v>
      </c>
      <c r="I4696">
        <v>3</v>
      </c>
      <c r="J4696" t="b">
        <f>AND(CCData[[#This Row],[Date]]&gt;=Calculation!$E$3,CCData[[#This Row],[Date]]&lt;Calculation!$E$3+7)</f>
        <v>1</v>
      </c>
    </row>
    <row r="4697" spans="1:10">
      <c r="A4697" t="s">
        <v>4696</v>
      </c>
      <c r="B4697" s="2">
        <v>42088.377999999997</v>
      </c>
      <c r="C4697" s="3" t="s">
        <v>5008</v>
      </c>
      <c r="D4697" t="s">
        <v>5013</v>
      </c>
      <c r="E4697" t="s">
        <v>5018</v>
      </c>
      <c r="F4697" t="s">
        <v>5018</v>
      </c>
      <c r="G4697">
        <v>96</v>
      </c>
      <c r="H4697" s="5">
        <v>3.011146486600141E-3</v>
      </c>
      <c r="I4697">
        <v>5</v>
      </c>
      <c r="J4697" t="b">
        <f>AND(CCData[[#This Row],[Date]]&gt;=Calculation!$E$3,CCData[[#This Row],[Date]]&lt;Calculation!$E$3+7)</f>
        <v>1</v>
      </c>
    </row>
    <row r="4698" spans="1:10">
      <c r="A4698" t="s">
        <v>4697</v>
      </c>
      <c r="B4698" s="2">
        <v>42088.387999999999</v>
      </c>
      <c r="C4698" s="3" t="s">
        <v>5009</v>
      </c>
      <c r="D4698" t="s">
        <v>5014</v>
      </c>
      <c r="E4698" t="s">
        <v>5018</v>
      </c>
      <c r="F4698" t="s">
        <v>5018</v>
      </c>
      <c r="G4698">
        <v>17</v>
      </c>
      <c r="H4698" s="5">
        <v>1.2290335160319245E-3</v>
      </c>
      <c r="I4698">
        <v>3</v>
      </c>
      <c r="J4698" t="b">
        <f>AND(CCData[[#This Row],[Date]]&gt;=Calculation!$E$3,CCData[[#This Row],[Date]]&lt;Calculation!$E$3+7)</f>
        <v>1</v>
      </c>
    </row>
    <row r="4699" spans="1:10">
      <c r="A4699" t="s">
        <v>4698</v>
      </c>
      <c r="B4699" s="2">
        <v>42088.387999999999</v>
      </c>
      <c r="C4699" s="3" t="s">
        <v>5009</v>
      </c>
      <c r="D4699" t="s">
        <v>5015</v>
      </c>
      <c r="E4699" t="s">
        <v>5018</v>
      </c>
      <c r="F4699" t="s">
        <v>5018</v>
      </c>
      <c r="G4699">
        <v>97</v>
      </c>
      <c r="H4699" s="5">
        <v>1.4616730615674956E-3</v>
      </c>
      <c r="I4699">
        <v>4</v>
      </c>
      <c r="J4699" t="b">
        <f>AND(CCData[[#This Row],[Date]]&gt;=Calculation!$E$3,CCData[[#This Row],[Date]]&lt;Calculation!$E$3+7)</f>
        <v>1</v>
      </c>
    </row>
    <row r="4700" spans="1:10">
      <c r="A4700" t="s">
        <v>4699</v>
      </c>
      <c r="B4700" s="2">
        <v>42088.436000000002</v>
      </c>
      <c r="C4700" s="3" t="s">
        <v>5009</v>
      </c>
      <c r="D4700" t="s">
        <v>5014</v>
      </c>
      <c r="E4700" t="s">
        <v>5018</v>
      </c>
      <c r="F4700" t="s">
        <v>5018</v>
      </c>
      <c r="G4700">
        <v>124</v>
      </c>
      <c r="H4700" s="5">
        <v>4.2966436111638575E-3</v>
      </c>
      <c r="I4700">
        <v>4</v>
      </c>
      <c r="J4700" t="b">
        <f>AND(CCData[[#This Row],[Date]]&gt;=Calculation!$E$3,CCData[[#This Row],[Date]]&lt;Calculation!$E$3+7)</f>
        <v>1</v>
      </c>
    </row>
    <row r="4701" spans="1:10">
      <c r="A4701" t="s">
        <v>4700</v>
      </c>
      <c r="B4701" s="2">
        <v>42088.436000000002</v>
      </c>
      <c r="C4701" s="3" t="s">
        <v>5008</v>
      </c>
      <c r="D4701" t="s">
        <v>5016</v>
      </c>
      <c r="E4701" t="s">
        <v>5018</v>
      </c>
      <c r="F4701" t="s">
        <v>5018</v>
      </c>
      <c r="G4701">
        <v>94</v>
      </c>
      <c r="H4701" s="5">
        <v>2.4140514662610584E-3</v>
      </c>
      <c r="I4701">
        <v>5</v>
      </c>
      <c r="J4701" t="b">
        <f>AND(CCData[[#This Row],[Date]]&gt;=Calculation!$E$3,CCData[[#This Row],[Date]]&lt;Calculation!$E$3+7)</f>
        <v>1</v>
      </c>
    </row>
    <row r="4702" spans="1:10">
      <c r="A4702" t="s">
        <v>4701</v>
      </c>
      <c r="B4702" s="2">
        <v>42088.436000000002</v>
      </c>
      <c r="C4702" s="3" t="s">
        <v>5007</v>
      </c>
      <c r="D4702" t="s">
        <v>5016</v>
      </c>
      <c r="E4702" t="s">
        <v>5019</v>
      </c>
      <c r="F4702" t="s">
        <v>5019</v>
      </c>
      <c r="G4702" t="s">
        <v>5022</v>
      </c>
      <c r="H4702" s="5" t="s">
        <v>5022</v>
      </c>
      <c r="I4702" t="s">
        <v>5022</v>
      </c>
      <c r="J4702" t="b">
        <f>AND(CCData[[#This Row],[Date]]&gt;=Calculation!$E$3,CCData[[#This Row],[Date]]&lt;Calculation!$E$3+7)</f>
        <v>1</v>
      </c>
    </row>
    <row r="4703" spans="1:10">
      <c r="A4703" t="s">
        <v>4702</v>
      </c>
      <c r="B4703" s="2">
        <v>42088.436000000002</v>
      </c>
      <c r="C4703" s="3" t="s">
        <v>5005</v>
      </c>
      <c r="D4703" t="s">
        <v>5012</v>
      </c>
      <c r="E4703" t="s">
        <v>5018</v>
      </c>
      <c r="F4703" t="s">
        <v>5018</v>
      </c>
      <c r="G4703">
        <v>91</v>
      </c>
      <c r="H4703" s="5">
        <v>4.1804389500756526E-3</v>
      </c>
      <c r="I4703">
        <v>5</v>
      </c>
      <c r="J4703" t="b">
        <f>AND(CCData[[#This Row],[Date]]&gt;=Calculation!$E$3,CCData[[#This Row],[Date]]&lt;Calculation!$E$3+7)</f>
        <v>1</v>
      </c>
    </row>
    <row r="4704" spans="1:10">
      <c r="A4704" t="s">
        <v>4703</v>
      </c>
      <c r="B4704" s="2">
        <v>42088.45</v>
      </c>
      <c r="C4704" s="3" t="s">
        <v>5005</v>
      </c>
      <c r="D4704" t="s">
        <v>5013</v>
      </c>
      <c r="E4704" t="s">
        <v>5018</v>
      </c>
      <c r="F4704" t="s">
        <v>5018</v>
      </c>
      <c r="G4704">
        <v>51</v>
      </c>
      <c r="H4704" s="5">
        <v>3.9779873579617849E-3</v>
      </c>
      <c r="I4704">
        <v>4</v>
      </c>
      <c r="J4704" t="b">
        <f>AND(CCData[[#This Row],[Date]]&gt;=Calculation!$E$3,CCData[[#This Row],[Date]]&lt;Calculation!$E$3+7)</f>
        <v>1</v>
      </c>
    </row>
    <row r="4705" spans="1:10">
      <c r="A4705" t="s">
        <v>4704</v>
      </c>
      <c r="B4705" s="2">
        <v>42088.45</v>
      </c>
      <c r="C4705" s="3" t="s">
        <v>5007</v>
      </c>
      <c r="D4705" t="s">
        <v>5012</v>
      </c>
      <c r="E4705" t="s">
        <v>5018</v>
      </c>
      <c r="F4705" t="s">
        <v>5019</v>
      </c>
      <c r="G4705">
        <v>73</v>
      </c>
      <c r="H4705" s="5">
        <v>4.7483687808516153E-3</v>
      </c>
      <c r="I4705">
        <v>4</v>
      </c>
      <c r="J4705" t="b">
        <f>AND(CCData[[#This Row],[Date]]&gt;=Calculation!$E$3,CCData[[#This Row],[Date]]&lt;Calculation!$E$3+7)</f>
        <v>1</v>
      </c>
    </row>
    <row r="4706" spans="1:10">
      <c r="A4706" t="s">
        <v>4705</v>
      </c>
      <c r="B4706" s="2">
        <v>42088.453999999998</v>
      </c>
      <c r="C4706" s="3" t="s">
        <v>5010</v>
      </c>
      <c r="D4706" t="s">
        <v>5016</v>
      </c>
      <c r="E4706" t="s">
        <v>5018</v>
      </c>
      <c r="F4706" t="s">
        <v>5018</v>
      </c>
      <c r="G4706">
        <v>67</v>
      </c>
      <c r="H4706" s="5">
        <v>4.5323320569407672E-3</v>
      </c>
      <c r="I4706">
        <v>2</v>
      </c>
      <c r="J4706" t="b">
        <f>AND(CCData[[#This Row],[Date]]&gt;=Calculation!$E$3,CCData[[#This Row],[Date]]&lt;Calculation!$E$3+7)</f>
        <v>1</v>
      </c>
    </row>
    <row r="4707" spans="1:10">
      <c r="A4707" t="s">
        <v>4706</v>
      </c>
      <c r="B4707" s="2">
        <v>42088.453999999998</v>
      </c>
      <c r="C4707" s="3" t="s">
        <v>5006</v>
      </c>
      <c r="D4707" t="s">
        <v>5014</v>
      </c>
      <c r="E4707" t="s">
        <v>5019</v>
      </c>
      <c r="F4707" t="s">
        <v>5019</v>
      </c>
      <c r="G4707" t="s">
        <v>5022</v>
      </c>
      <c r="H4707" s="5" t="s">
        <v>5022</v>
      </c>
      <c r="I4707" t="s">
        <v>5022</v>
      </c>
      <c r="J4707" t="b">
        <f>AND(CCData[[#This Row],[Date]]&gt;=Calculation!$E$3,CCData[[#This Row],[Date]]&lt;Calculation!$E$3+7)</f>
        <v>1</v>
      </c>
    </row>
    <row r="4708" spans="1:10">
      <c r="A4708" t="s">
        <v>4707</v>
      </c>
      <c r="B4708" s="2">
        <v>42088.459000000003</v>
      </c>
      <c r="C4708" s="3" t="s">
        <v>5006</v>
      </c>
      <c r="D4708" t="s">
        <v>5013</v>
      </c>
      <c r="E4708" t="s">
        <v>5019</v>
      </c>
      <c r="F4708" t="s">
        <v>5019</v>
      </c>
      <c r="G4708" t="s">
        <v>5022</v>
      </c>
      <c r="H4708" s="5" t="s">
        <v>5022</v>
      </c>
      <c r="I4708" t="s">
        <v>5022</v>
      </c>
      <c r="J4708" t="b">
        <f>AND(CCData[[#This Row],[Date]]&gt;=Calculation!$E$3,CCData[[#This Row],[Date]]&lt;Calculation!$E$3+7)</f>
        <v>1</v>
      </c>
    </row>
    <row r="4709" spans="1:10">
      <c r="A4709" t="s">
        <v>4708</v>
      </c>
      <c r="B4709" s="2">
        <v>42088.459000000003</v>
      </c>
      <c r="C4709" s="3" t="s">
        <v>5009</v>
      </c>
      <c r="D4709" t="s">
        <v>5014</v>
      </c>
      <c r="E4709" t="s">
        <v>5019</v>
      </c>
      <c r="F4709" t="s">
        <v>5019</v>
      </c>
      <c r="G4709" t="s">
        <v>5022</v>
      </c>
      <c r="H4709" s="5" t="s">
        <v>5022</v>
      </c>
      <c r="I4709" t="s">
        <v>5022</v>
      </c>
      <c r="J4709" t="b">
        <f>AND(CCData[[#This Row],[Date]]&gt;=Calculation!$E$3,CCData[[#This Row],[Date]]&lt;Calculation!$E$3+7)</f>
        <v>1</v>
      </c>
    </row>
    <row r="4710" spans="1:10">
      <c r="A4710" t="s">
        <v>4709</v>
      </c>
      <c r="B4710" s="2">
        <v>42088.489000000001</v>
      </c>
      <c r="C4710" s="3" t="s">
        <v>5006</v>
      </c>
      <c r="D4710" t="s">
        <v>5016</v>
      </c>
      <c r="E4710" t="s">
        <v>5018</v>
      </c>
      <c r="F4710" t="s">
        <v>5018</v>
      </c>
      <c r="G4710">
        <v>83</v>
      </c>
      <c r="H4710" s="5">
        <v>4.2882802625508554E-3</v>
      </c>
      <c r="I4710">
        <v>4</v>
      </c>
      <c r="J4710" t="b">
        <f>AND(CCData[[#This Row],[Date]]&gt;=Calculation!$E$3,CCData[[#This Row],[Date]]&lt;Calculation!$E$3+7)</f>
        <v>1</v>
      </c>
    </row>
    <row r="4711" spans="1:10">
      <c r="A4711" t="s">
        <v>4710</v>
      </c>
      <c r="B4711" s="2">
        <v>42088.489000000001</v>
      </c>
      <c r="C4711" s="3" t="s">
        <v>5003</v>
      </c>
      <c r="D4711" t="s">
        <v>5014</v>
      </c>
      <c r="E4711" t="s">
        <v>5018</v>
      </c>
      <c r="F4711" t="s">
        <v>5018</v>
      </c>
      <c r="G4711">
        <v>95</v>
      </c>
      <c r="H4711" s="5">
        <v>3.6181146167703388E-3</v>
      </c>
      <c r="I4711">
        <v>1</v>
      </c>
      <c r="J4711" t="b">
        <f>AND(CCData[[#This Row],[Date]]&gt;=Calculation!$E$3,CCData[[#This Row],[Date]]&lt;Calculation!$E$3+7)</f>
        <v>1</v>
      </c>
    </row>
    <row r="4712" spans="1:10">
      <c r="A4712" t="s">
        <v>4711</v>
      </c>
      <c r="B4712" s="2">
        <v>42088.502999999997</v>
      </c>
      <c r="C4712" s="3" t="s">
        <v>5007</v>
      </c>
      <c r="D4712" t="s">
        <v>5014</v>
      </c>
      <c r="E4712" t="s">
        <v>5018</v>
      </c>
      <c r="F4712" t="s">
        <v>5018</v>
      </c>
      <c r="G4712">
        <v>43</v>
      </c>
      <c r="H4712" s="5">
        <v>1.565605706650357E-3</v>
      </c>
      <c r="I4712">
        <v>1</v>
      </c>
      <c r="J4712" t="b">
        <f>AND(CCData[[#This Row],[Date]]&gt;=Calculation!$E$3,CCData[[#This Row],[Date]]&lt;Calculation!$E$3+7)</f>
        <v>1</v>
      </c>
    </row>
    <row r="4713" spans="1:10">
      <c r="A4713" t="s">
        <v>4712</v>
      </c>
      <c r="B4713" s="2">
        <v>42088.502999999997</v>
      </c>
      <c r="C4713" s="3" t="s">
        <v>5004</v>
      </c>
      <c r="D4713" t="s">
        <v>5014</v>
      </c>
      <c r="E4713" t="s">
        <v>5018</v>
      </c>
      <c r="F4713" t="s">
        <v>5018</v>
      </c>
      <c r="G4713">
        <v>95</v>
      </c>
      <c r="H4713" s="5">
        <v>1.1186084729598444E-3</v>
      </c>
      <c r="I4713">
        <v>3</v>
      </c>
      <c r="J4713" t="b">
        <f>AND(CCData[[#This Row],[Date]]&gt;=Calculation!$E$3,CCData[[#This Row],[Date]]&lt;Calculation!$E$3+7)</f>
        <v>1</v>
      </c>
    </row>
    <row r="4714" spans="1:10">
      <c r="A4714" t="s">
        <v>4713</v>
      </c>
      <c r="B4714" s="2">
        <v>42088.57</v>
      </c>
      <c r="C4714" s="3" t="s">
        <v>5008</v>
      </c>
      <c r="D4714" t="s">
        <v>5015</v>
      </c>
      <c r="E4714" t="s">
        <v>5019</v>
      </c>
      <c r="F4714" t="s">
        <v>5019</v>
      </c>
      <c r="G4714" t="s">
        <v>5022</v>
      </c>
      <c r="H4714" s="5" t="s">
        <v>5022</v>
      </c>
      <c r="I4714" t="s">
        <v>5022</v>
      </c>
      <c r="J4714" t="b">
        <f>AND(CCData[[#This Row],[Date]]&gt;=Calculation!$E$3,CCData[[#This Row],[Date]]&lt;Calculation!$E$3+7)</f>
        <v>1</v>
      </c>
    </row>
    <row r="4715" spans="1:10">
      <c r="A4715" t="s">
        <v>4714</v>
      </c>
      <c r="B4715" s="2">
        <v>42088.57</v>
      </c>
      <c r="C4715" s="3" t="s">
        <v>5005</v>
      </c>
      <c r="D4715" t="s">
        <v>5014</v>
      </c>
      <c r="E4715" t="s">
        <v>5018</v>
      </c>
      <c r="F4715" t="s">
        <v>5018</v>
      </c>
      <c r="G4715">
        <v>53</v>
      </c>
      <c r="H4715" s="5">
        <v>4.0825410771470512E-3</v>
      </c>
      <c r="I4715">
        <v>4</v>
      </c>
      <c r="J4715" t="b">
        <f>AND(CCData[[#This Row],[Date]]&gt;=Calculation!$E$3,CCData[[#This Row],[Date]]&lt;Calculation!$E$3+7)</f>
        <v>1</v>
      </c>
    </row>
    <row r="4716" spans="1:10">
      <c r="A4716" t="s">
        <v>4715</v>
      </c>
      <c r="B4716" s="2">
        <v>42088.578999999998</v>
      </c>
      <c r="C4716" s="3" t="s">
        <v>5005</v>
      </c>
      <c r="D4716" t="s">
        <v>5012</v>
      </c>
      <c r="E4716" t="s">
        <v>5018</v>
      </c>
      <c r="F4716" t="s">
        <v>5018</v>
      </c>
      <c r="G4716">
        <v>28</v>
      </c>
      <c r="H4716" s="5">
        <v>2.3003852747285895E-3</v>
      </c>
      <c r="I4716">
        <v>4</v>
      </c>
      <c r="J4716" t="b">
        <f>AND(CCData[[#This Row],[Date]]&gt;=Calculation!$E$3,CCData[[#This Row],[Date]]&lt;Calculation!$E$3+7)</f>
        <v>1</v>
      </c>
    </row>
    <row r="4717" spans="1:10">
      <c r="A4717" t="s">
        <v>4716</v>
      </c>
      <c r="B4717" s="2">
        <v>42088.578999999998</v>
      </c>
      <c r="C4717" s="3" t="s">
        <v>5009</v>
      </c>
      <c r="D4717" t="s">
        <v>5016</v>
      </c>
      <c r="E4717" t="s">
        <v>5018</v>
      </c>
      <c r="F4717" t="s">
        <v>5018</v>
      </c>
      <c r="G4717">
        <v>99</v>
      </c>
      <c r="H4717" s="5">
        <v>3.3331753178540455E-3</v>
      </c>
      <c r="I4717">
        <v>4</v>
      </c>
      <c r="J4717" t="b">
        <f>AND(CCData[[#This Row],[Date]]&gt;=Calculation!$E$3,CCData[[#This Row],[Date]]&lt;Calculation!$E$3+7)</f>
        <v>1</v>
      </c>
    </row>
    <row r="4718" spans="1:10">
      <c r="A4718" t="s">
        <v>4717</v>
      </c>
      <c r="B4718" s="2">
        <v>42088.618000000002</v>
      </c>
      <c r="C4718" s="3" t="s">
        <v>5004</v>
      </c>
      <c r="D4718" t="s">
        <v>5015</v>
      </c>
      <c r="E4718" t="s">
        <v>5018</v>
      </c>
      <c r="F4718" t="s">
        <v>5019</v>
      </c>
      <c r="G4718">
        <v>70</v>
      </c>
      <c r="H4718" s="5">
        <v>4.301898739206941E-4</v>
      </c>
      <c r="I4718">
        <v>1</v>
      </c>
      <c r="J4718" t="b">
        <f>AND(CCData[[#This Row],[Date]]&gt;=Calculation!$E$3,CCData[[#This Row],[Date]]&lt;Calculation!$E$3+7)</f>
        <v>1</v>
      </c>
    </row>
    <row r="4719" spans="1:10">
      <c r="A4719" t="s">
        <v>4718</v>
      </c>
      <c r="B4719" s="2">
        <v>42088.618000000002</v>
      </c>
      <c r="C4719" s="3" t="s">
        <v>5007</v>
      </c>
      <c r="D4719" t="s">
        <v>5015</v>
      </c>
      <c r="E4719" t="s">
        <v>5018</v>
      </c>
      <c r="F4719" t="s">
        <v>5018</v>
      </c>
      <c r="G4719">
        <v>51</v>
      </c>
      <c r="H4719" s="5">
        <v>2.9530479741472523E-3</v>
      </c>
      <c r="I4719">
        <v>3</v>
      </c>
      <c r="J4719" t="b">
        <f>AND(CCData[[#This Row],[Date]]&gt;=Calculation!$E$3,CCData[[#This Row],[Date]]&lt;Calculation!$E$3+7)</f>
        <v>1</v>
      </c>
    </row>
    <row r="4720" spans="1:10">
      <c r="A4720" t="s">
        <v>4719</v>
      </c>
      <c r="B4720" s="2">
        <v>42088.625999999997</v>
      </c>
      <c r="C4720" s="3" t="s">
        <v>5006</v>
      </c>
      <c r="D4720" t="s">
        <v>5015</v>
      </c>
      <c r="E4720" t="s">
        <v>5019</v>
      </c>
      <c r="F4720" t="s">
        <v>5019</v>
      </c>
      <c r="G4720" t="s">
        <v>5022</v>
      </c>
      <c r="H4720" s="5" t="s">
        <v>5022</v>
      </c>
      <c r="I4720" t="s">
        <v>5022</v>
      </c>
      <c r="J4720" t="b">
        <f>AND(CCData[[#This Row],[Date]]&gt;=Calculation!$E$3,CCData[[#This Row],[Date]]&lt;Calculation!$E$3+7)</f>
        <v>1</v>
      </c>
    </row>
    <row r="4721" spans="1:10">
      <c r="A4721" t="s">
        <v>4720</v>
      </c>
      <c r="B4721" s="2">
        <v>42088.625999999997</v>
      </c>
      <c r="C4721" s="3" t="s">
        <v>5006</v>
      </c>
      <c r="D4721" t="s">
        <v>5016</v>
      </c>
      <c r="E4721" t="s">
        <v>5018</v>
      </c>
      <c r="F4721" t="s">
        <v>5018</v>
      </c>
      <c r="G4721">
        <v>38</v>
      </c>
      <c r="H4721" s="5">
        <v>3.7327437195981503E-3</v>
      </c>
      <c r="I4721">
        <v>3</v>
      </c>
      <c r="J4721" t="b">
        <f>AND(CCData[[#This Row],[Date]]&gt;=Calculation!$E$3,CCData[[#This Row],[Date]]&lt;Calculation!$E$3+7)</f>
        <v>1</v>
      </c>
    </row>
    <row r="4722" spans="1:10">
      <c r="A4722" t="s">
        <v>4721</v>
      </c>
      <c r="B4722" s="2">
        <v>42088.637999999999</v>
      </c>
      <c r="C4722" s="3" t="s">
        <v>5006</v>
      </c>
      <c r="D4722" t="s">
        <v>5013</v>
      </c>
      <c r="E4722" t="s">
        <v>5018</v>
      </c>
      <c r="F4722" t="s">
        <v>5019</v>
      </c>
      <c r="G4722">
        <v>61</v>
      </c>
      <c r="H4722" s="5">
        <v>4.0911094336298064E-3</v>
      </c>
      <c r="I4722">
        <v>4</v>
      </c>
      <c r="J4722" t="b">
        <f>AND(CCData[[#This Row],[Date]]&gt;=Calculation!$E$3,CCData[[#This Row],[Date]]&lt;Calculation!$E$3+7)</f>
        <v>1</v>
      </c>
    </row>
    <row r="4723" spans="1:10">
      <c r="A4723" t="s">
        <v>4722</v>
      </c>
      <c r="B4723" s="2">
        <v>42088.637999999999</v>
      </c>
      <c r="C4723" s="3" t="s">
        <v>5009</v>
      </c>
      <c r="D4723" t="s">
        <v>5013</v>
      </c>
      <c r="E4723" t="s">
        <v>5018</v>
      </c>
      <c r="F4723" t="s">
        <v>5018</v>
      </c>
      <c r="G4723">
        <v>49</v>
      </c>
      <c r="H4723" s="5">
        <v>2.1824543000322836E-3</v>
      </c>
      <c r="I4723">
        <v>3</v>
      </c>
      <c r="J4723" t="b">
        <f>AND(CCData[[#This Row],[Date]]&gt;=Calculation!$E$3,CCData[[#This Row],[Date]]&lt;Calculation!$E$3+7)</f>
        <v>1</v>
      </c>
    </row>
    <row r="4724" spans="1:10">
      <c r="A4724" t="s">
        <v>4723</v>
      </c>
      <c r="B4724" s="2">
        <v>42088.641000000003</v>
      </c>
      <c r="C4724" s="3" t="s">
        <v>5007</v>
      </c>
      <c r="D4724" t="s">
        <v>5014</v>
      </c>
      <c r="E4724" t="s">
        <v>5018</v>
      </c>
      <c r="F4724" t="s">
        <v>5018</v>
      </c>
      <c r="G4724">
        <v>65</v>
      </c>
      <c r="H4724" s="5">
        <v>3.4470068301779796E-3</v>
      </c>
      <c r="I4724">
        <v>3</v>
      </c>
      <c r="J4724" t="b">
        <f>AND(CCData[[#This Row],[Date]]&gt;=Calculation!$E$3,CCData[[#This Row],[Date]]&lt;Calculation!$E$3+7)</f>
        <v>1</v>
      </c>
    </row>
    <row r="4725" spans="1:10">
      <c r="A4725" t="s">
        <v>4724</v>
      </c>
      <c r="B4725" s="2">
        <v>42088.641000000003</v>
      </c>
      <c r="C4725" s="3" t="s">
        <v>5004</v>
      </c>
      <c r="D4725" t="s">
        <v>5012</v>
      </c>
      <c r="E4725" t="s">
        <v>5018</v>
      </c>
      <c r="F4725" t="s">
        <v>5018</v>
      </c>
      <c r="G4725">
        <v>74</v>
      </c>
      <c r="H4725" s="5">
        <v>4.6939527857027064E-3</v>
      </c>
      <c r="I4725">
        <v>4</v>
      </c>
      <c r="J4725" t="b">
        <f>AND(CCData[[#This Row],[Date]]&gt;=Calculation!$E$3,CCData[[#This Row],[Date]]&lt;Calculation!$E$3+7)</f>
        <v>1</v>
      </c>
    </row>
    <row r="4726" spans="1:10">
      <c r="A4726" t="s">
        <v>4725</v>
      </c>
      <c r="B4726" s="2">
        <v>42088.66</v>
      </c>
      <c r="C4726" s="3" t="s">
        <v>5006</v>
      </c>
      <c r="D4726" t="s">
        <v>5015</v>
      </c>
      <c r="E4726" t="s">
        <v>5018</v>
      </c>
      <c r="F4726" t="s">
        <v>5018</v>
      </c>
      <c r="G4726">
        <v>114</v>
      </c>
      <c r="H4726" s="5">
        <v>2.0053757966439706E-3</v>
      </c>
      <c r="I4726">
        <v>4</v>
      </c>
      <c r="J4726" t="b">
        <f>AND(CCData[[#This Row],[Date]]&gt;=Calculation!$E$3,CCData[[#This Row],[Date]]&lt;Calculation!$E$3+7)</f>
        <v>1</v>
      </c>
    </row>
    <row r="4727" spans="1:10">
      <c r="A4727" t="s">
        <v>4726</v>
      </c>
      <c r="B4727" s="2">
        <v>42088.66</v>
      </c>
      <c r="C4727" s="3" t="s">
        <v>5005</v>
      </c>
      <c r="D4727" t="s">
        <v>5012</v>
      </c>
      <c r="E4727" t="s">
        <v>5019</v>
      </c>
      <c r="F4727" t="s">
        <v>5019</v>
      </c>
      <c r="G4727" t="s">
        <v>5022</v>
      </c>
      <c r="H4727" s="5" t="s">
        <v>5022</v>
      </c>
      <c r="I4727" t="s">
        <v>5022</v>
      </c>
      <c r="J4727" t="b">
        <f>AND(CCData[[#This Row],[Date]]&gt;=Calculation!$E$3,CCData[[#This Row],[Date]]&lt;Calculation!$E$3+7)</f>
        <v>1</v>
      </c>
    </row>
    <row r="4728" spans="1:10">
      <c r="A4728" t="s">
        <v>4727</v>
      </c>
      <c r="B4728" s="2">
        <v>42088.667999999998</v>
      </c>
      <c r="C4728" s="3" t="s">
        <v>5006</v>
      </c>
      <c r="D4728" t="s">
        <v>5015</v>
      </c>
      <c r="E4728" t="s">
        <v>5018</v>
      </c>
      <c r="F4728" t="s">
        <v>5019</v>
      </c>
      <c r="G4728">
        <v>118</v>
      </c>
      <c r="H4728" s="5">
        <v>1.4752074512026307E-3</v>
      </c>
      <c r="I4728">
        <v>3</v>
      </c>
      <c r="J4728" t="b">
        <f>AND(CCData[[#This Row],[Date]]&gt;=Calculation!$E$3,CCData[[#This Row],[Date]]&lt;Calculation!$E$3+7)</f>
        <v>1</v>
      </c>
    </row>
    <row r="4729" spans="1:10">
      <c r="A4729" t="s">
        <v>4728</v>
      </c>
      <c r="B4729" s="2">
        <v>42088.667999999998</v>
      </c>
      <c r="C4729" s="3" t="s">
        <v>5009</v>
      </c>
      <c r="D4729" t="s">
        <v>5014</v>
      </c>
      <c r="E4729" t="s">
        <v>5018</v>
      </c>
      <c r="F4729" t="s">
        <v>5018</v>
      </c>
      <c r="G4729">
        <v>119</v>
      </c>
      <c r="H4729" s="5">
        <v>4.0631924353661582E-3</v>
      </c>
      <c r="I4729">
        <v>4</v>
      </c>
      <c r="J4729" t="b">
        <f>AND(CCData[[#This Row],[Date]]&gt;=Calculation!$E$3,CCData[[#This Row],[Date]]&lt;Calculation!$E$3+7)</f>
        <v>1</v>
      </c>
    </row>
    <row r="4730" spans="1:10">
      <c r="A4730" t="s">
        <v>4729</v>
      </c>
      <c r="B4730" s="2">
        <v>42088.671000000002</v>
      </c>
      <c r="C4730" s="3" t="s">
        <v>5010</v>
      </c>
      <c r="D4730" t="s">
        <v>5015</v>
      </c>
      <c r="E4730" t="s">
        <v>5018</v>
      </c>
      <c r="F4730" t="s">
        <v>5018</v>
      </c>
      <c r="G4730">
        <v>25</v>
      </c>
      <c r="H4730" s="5">
        <v>2.8687041284714814E-3</v>
      </c>
      <c r="I4730">
        <v>2</v>
      </c>
      <c r="J4730" t="b">
        <f>AND(CCData[[#This Row],[Date]]&gt;=Calculation!$E$3,CCData[[#This Row],[Date]]&lt;Calculation!$E$3+7)</f>
        <v>1</v>
      </c>
    </row>
    <row r="4731" spans="1:10">
      <c r="A4731" t="s">
        <v>4730</v>
      </c>
      <c r="B4731" s="2">
        <v>42088.671000000002</v>
      </c>
      <c r="C4731" s="3" t="s">
        <v>5010</v>
      </c>
      <c r="D4731" t="s">
        <v>5012</v>
      </c>
      <c r="E4731" t="s">
        <v>5018</v>
      </c>
      <c r="F4731" t="s">
        <v>5018</v>
      </c>
      <c r="G4731">
        <v>106</v>
      </c>
      <c r="H4731" s="5">
        <v>2.5620951602492205E-3</v>
      </c>
      <c r="I4731">
        <v>4</v>
      </c>
      <c r="J4731" t="b">
        <f>AND(CCData[[#This Row],[Date]]&gt;=Calculation!$E$3,CCData[[#This Row],[Date]]&lt;Calculation!$E$3+7)</f>
        <v>1</v>
      </c>
    </row>
    <row r="4732" spans="1:10">
      <c r="A4732" t="s">
        <v>4731</v>
      </c>
      <c r="B4732" s="2">
        <v>42088.684999999998</v>
      </c>
      <c r="C4732" s="3" t="s">
        <v>5003</v>
      </c>
      <c r="D4732" t="s">
        <v>5016</v>
      </c>
      <c r="E4732" t="s">
        <v>5018</v>
      </c>
      <c r="F4732" t="s">
        <v>5018</v>
      </c>
      <c r="G4732">
        <v>29</v>
      </c>
      <c r="H4732" s="5">
        <v>4.7220793709871626E-3</v>
      </c>
      <c r="I4732">
        <v>5</v>
      </c>
      <c r="J4732" t="b">
        <f>AND(CCData[[#This Row],[Date]]&gt;=Calculation!$E$3,CCData[[#This Row],[Date]]&lt;Calculation!$E$3+7)</f>
        <v>1</v>
      </c>
    </row>
    <row r="4733" spans="1:10">
      <c r="A4733" t="s">
        <v>4732</v>
      </c>
      <c r="B4733" s="2">
        <v>42088.684999999998</v>
      </c>
      <c r="C4733" s="3" t="s">
        <v>5005</v>
      </c>
      <c r="D4733" t="s">
        <v>5015</v>
      </c>
      <c r="E4733" t="s">
        <v>5018</v>
      </c>
      <c r="F4733" t="s">
        <v>5018</v>
      </c>
      <c r="G4733">
        <v>104</v>
      </c>
      <c r="H4733" s="5">
        <v>4.3003133207052072E-3</v>
      </c>
      <c r="I4733">
        <v>5</v>
      </c>
      <c r="J4733" t="b">
        <f>AND(CCData[[#This Row],[Date]]&gt;=Calculation!$E$3,CCData[[#This Row],[Date]]&lt;Calculation!$E$3+7)</f>
        <v>1</v>
      </c>
    </row>
    <row r="4734" spans="1:10">
      <c r="A4734" t="s">
        <v>4733</v>
      </c>
      <c r="B4734" s="2">
        <v>42088.694000000003</v>
      </c>
      <c r="C4734" s="3" t="s">
        <v>5006</v>
      </c>
      <c r="D4734" t="s">
        <v>5015</v>
      </c>
      <c r="E4734" t="s">
        <v>5018</v>
      </c>
      <c r="F4734" t="s">
        <v>5018</v>
      </c>
      <c r="G4734">
        <v>70</v>
      </c>
      <c r="H4734" s="5">
        <v>4.2593094243223873E-3</v>
      </c>
      <c r="I4734">
        <v>4</v>
      </c>
      <c r="J4734" t="b">
        <f>AND(CCData[[#This Row],[Date]]&gt;=Calculation!$E$3,CCData[[#This Row],[Date]]&lt;Calculation!$E$3+7)</f>
        <v>1</v>
      </c>
    </row>
    <row r="4735" spans="1:10">
      <c r="A4735" t="s">
        <v>4734</v>
      </c>
      <c r="B4735" s="2">
        <v>42088.694000000003</v>
      </c>
      <c r="C4735" s="3" t="s">
        <v>5007</v>
      </c>
      <c r="D4735" t="s">
        <v>5014</v>
      </c>
      <c r="E4735" t="s">
        <v>5018</v>
      </c>
      <c r="F4735" t="s">
        <v>5018</v>
      </c>
      <c r="G4735">
        <v>85</v>
      </c>
      <c r="H4735" s="5">
        <v>2.3686403208404384E-3</v>
      </c>
      <c r="I4735">
        <v>4</v>
      </c>
      <c r="J4735" t="b">
        <f>AND(CCData[[#This Row],[Date]]&gt;=Calculation!$E$3,CCData[[#This Row],[Date]]&lt;Calculation!$E$3+7)</f>
        <v>1</v>
      </c>
    </row>
    <row r="4736" spans="1:10">
      <c r="A4736" t="s">
        <v>4735</v>
      </c>
      <c r="B4736" s="2">
        <v>42088.733</v>
      </c>
      <c r="C4736" s="3" t="s">
        <v>5004</v>
      </c>
      <c r="D4736" t="s">
        <v>5012</v>
      </c>
      <c r="E4736" t="s">
        <v>5019</v>
      </c>
      <c r="F4736" t="s">
        <v>5019</v>
      </c>
      <c r="G4736" t="s">
        <v>5022</v>
      </c>
      <c r="H4736" s="5" t="s">
        <v>5022</v>
      </c>
      <c r="I4736" t="s">
        <v>5022</v>
      </c>
      <c r="J4736" t="b">
        <f>AND(CCData[[#This Row],[Date]]&gt;=Calculation!$E$3,CCData[[#This Row],[Date]]&lt;Calculation!$E$3+7)</f>
        <v>1</v>
      </c>
    </row>
    <row r="4737" spans="1:10">
      <c r="A4737" t="s">
        <v>4736</v>
      </c>
      <c r="B4737" s="2">
        <v>42088.733</v>
      </c>
      <c r="C4737" s="3" t="s">
        <v>5007</v>
      </c>
      <c r="D4737" t="s">
        <v>5012</v>
      </c>
      <c r="E4737" t="s">
        <v>5018</v>
      </c>
      <c r="F4737" t="s">
        <v>5018</v>
      </c>
      <c r="G4737">
        <v>61</v>
      </c>
      <c r="H4737" s="5">
        <v>3.6962688658320232E-3</v>
      </c>
      <c r="I4737">
        <v>5</v>
      </c>
      <c r="J4737" t="b">
        <f>AND(CCData[[#This Row],[Date]]&gt;=Calculation!$E$3,CCData[[#This Row],[Date]]&lt;Calculation!$E$3+7)</f>
        <v>1</v>
      </c>
    </row>
    <row r="4738" spans="1:10">
      <c r="A4738" t="s">
        <v>4737</v>
      </c>
      <c r="B4738" s="2">
        <v>42088.739000000001</v>
      </c>
      <c r="C4738" s="3" t="s">
        <v>5007</v>
      </c>
      <c r="D4738" t="s">
        <v>5012</v>
      </c>
      <c r="E4738" t="s">
        <v>5018</v>
      </c>
      <c r="F4738" t="s">
        <v>5018</v>
      </c>
      <c r="G4738">
        <v>44</v>
      </c>
      <c r="H4738" s="5">
        <v>3.7995490755968865E-3</v>
      </c>
      <c r="I4738">
        <v>3</v>
      </c>
      <c r="J4738" t="b">
        <f>AND(CCData[[#This Row],[Date]]&gt;=Calculation!$E$3,CCData[[#This Row],[Date]]&lt;Calculation!$E$3+7)</f>
        <v>1</v>
      </c>
    </row>
    <row r="4739" spans="1:10">
      <c r="A4739" t="s">
        <v>4738</v>
      </c>
      <c r="B4739" s="2">
        <v>42088.739000000001</v>
      </c>
      <c r="C4739" s="3" t="s">
        <v>5005</v>
      </c>
      <c r="D4739" t="s">
        <v>5015</v>
      </c>
      <c r="E4739" t="s">
        <v>5018</v>
      </c>
      <c r="F4739" t="s">
        <v>5018</v>
      </c>
      <c r="G4739">
        <v>40</v>
      </c>
      <c r="H4739" s="5">
        <v>2.7173358075269151E-3</v>
      </c>
      <c r="I4739">
        <v>5</v>
      </c>
      <c r="J4739" t="b">
        <f>AND(CCData[[#This Row],[Date]]&gt;=Calculation!$E$3,CCData[[#This Row],[Date]]&lt;Calculation!$E$3+7)</f>
        <v>1</v>
      </c>
    </row>
    <row r="4740" spans="1:10">
      <c r="A4740" t="s">
        <v>4739</v>
      </c>
      <c r="B4740" s="2">
        <v>42089.391000000003</v>
      </c>
      <c r="C4740" s="3" t="s">
        <v>5009</v>
      </c>
      <c r="D4740" t="s">
        <v>5013</v>
      </c>
      <c r="E4740" t="s">
        <v>5018</v>
      </c>
      <c r="F4740" t="s">
        <v>5018</v>
      </c>
      <c r="G4740">
        <v>15</v>
      </c>
      <c r="H4740" s="5">
        <v>3.914000468110192E-3</v>
      </c>
      <c r="I4740">
        <v>4</v>
      </c>
      <c r="J4740" t="b">
        <f>AND(CCData[[#This Row],[Date]]&gt;=Calculation!$E$3,CCData[[#This Row],[Date]]&lt;Calculation!$E$3+7)</f>
        <v>1</v>
      </c>
    </row>
    <row r="4741" spans="1:10">
      <c r="A4741" t="s">
        <v>4740</v>
      </c>
      <c r="B4741" s="2">
        <v>42089.391000000003</v>
      </c>
      <c r="C4741" s="3" t="s">
        <v>5003</v>
      </c>
      <c r="D4741" t="s">
        <v>5012</v>
      </c>
      <c r="E4741" t="s">
        <v>5018</v>
      </c>
      <c r="F4741" t="s">
        <v>5018</v>
      </c>
      <c r="G4741">
        <v>41</v>
      </c>
      <c r="H4741" s="5">
        <v>1.9713016700710815E-3</v>
      </c>
      <c r="I4741">
        <v>2</v>
      </c>
      <c r="J4741" t="b">
        <f>AND(CCData[[#This Row],[Date]]&gt;=Calculation!$E$3,CCData[[#This Row],[Date]]&lt;Calculation!$E$3+7)</f>
        <v>1</v>
      </c>
    </row>
    <row r="4742" spans="1:10">
      <c r="A4742" t="s">
        <v>4741</v>
      </c>
      <c r="B4742" s="2">
        <v>42089.392</v>
      </c>
      <c r="C4742" s="3" t="s">
        <v>5010</v>
      </c>
      <c r="D4742" t="s">
        <v>5014</v>
      </c>
      <c r="E4742" t="s">
        <v>5018</v>
      </c>
      <c r="F4742" t="s">
        <v>5019</v>
      </c>
      <c r="G4742">
        <v>78</v>
      </c>
      <c r="H4742" s="5">
        <v>1.6211499839278746E-3</v>
      </c>
      <c r="I4742">
        <v>4</v>
      </c>
      <c r="J4742" t="b">
        <f>AND(CCData[[#This Row],[Date]]&gt;=Calculation!$E$3,CCData[[#This Row],[Date]]&lt;Calculation!$E$3+7)</f>
        <v>1</v>
      </c>
    </row>
    <row r="4743" spans="1:10">
      <c r="A4743" t="s">
        <v>4742</v>
      </c>
      <c r="B4743" s="2">
        <v>42089.392</v>
      </c>
      <c r="C4743" s="3" t="s">
        <v>5008</v>
      </c>
      <c r="D4743" t="s">
        <v>5016</v>
      </c>
      <c r="E4743" t="s">
        <v>5019</v>
      </c>
      <c r="F4743" t="s">
        <v>5019</v>
      </c>
      <c r="G4743" t="s">
        <v>5022</v>
      </c>
      <c r="H4743" s="5" t="s">
        <v>5022</v>
      </c>
      <c r="I4743" t="s">
        <v>5022</v>
      </c>
      <c r="J4743" t="b">
        <f>AND(CCData[[#This Row],[Date]]&gt;=Calculation!$E$3,CCData[[#This Row],[Date]]&lt;Calculation!$E$3+7)</f>
        <v>1</v>
      </c>
    </row>
    <row r="4744" spans="1:10">
      <c r="A4744" t="s">
        <v>4743</v>
      </c>
      <c r="B4744" s="2">
        <v>42089.398999999998</v>
      </c>
      <c r="C4744" s="3" t="s">
        <v>5008</v>
      </c>
      <c r="D4744" t="s">
        <v>5013</v>
      </c>
      <c r="E4744" t="s">
        <v>5018</v>
      </c>
      <c r="F4744" t="s">
        <v>5018</v>
      </c>
      <c r="G4744">
        <v>46</v>
      </c>
      <c r="H4744" s="5">
        <v>1.4074959875493421E-3</v>
      </c>
      <c r="I4744">
        <v>3</v>
      </c>
      <c r="J4744" t="b">
        <f>AND(CCData[[#This Row],[Date]]&gt;=Calculation!$E$3,CCData[[#This Row],[Date]]&lt;Calculation!$E$3+7)</f>
        <v>1</v>
      </c>
    </row>
    <row r="4745" spans="1:10">
      <c r="A4745" t="s">
        <v>4744</v>
      </c>
      <c r="B4745" s="2">
        <v>42089.398999999998</v>
      </c>
      <c r="C4745" s="3" t="s">
        <v>5009</v>
      </c>
      <c r="D4745" t="s">
        <v>5016</v>
      </c>
      <c r="E4745" t="s">
        <v>5019</v>
      </c>
      <c r="F4745" t="s">
        <v>5019</v>
      </c>
      <c r="G4745" t="s">
        <v>5022</v>
      </c>
      <c r="H4745" s="5" t="s">
        <v>5022</v>
      </c>
      <c r="I4745" t="s">
        <v>5022</v>
      </c>
      <c r="J4745" t="b">
        <f>AND(CCData[[#This Row],[Date]]&gt;=Calculation!$E$3,CCData[[#This Row],[Date]]&lt;Calculation!$E$3+7)</f>
        <v>1</v>
      </c>
    </row>
    <row r="4746" spans="1:10">
      <c r="A4746" t="s">
        <v>4745</v>
      </c>
      <c r="B4746" s="2">
        <v>42089.417000000001</v>
      </c>
      <c r="C4746" s="3" t="s">
        <v>5010</v>
      </c>
      <c r="D4746" t="s">
        <v>5014</v>
      </c>
      <c r="E4746" t="s">
        <v>5018</v>
      </c>
      <c r="F4746" t="s">
        <v>5018</v>
      </c>
      <c r="G4746">
        <v>45</v>
      </c>
      <c r="H4746" s="5">
        <v>3.933163394319426E-3</v>
      </c>
      <c r="I4746">
        <v>2</v>
      </c>
      <c r="J4746" t="b">
        <f>AND(CCData[[#This Row],[Date]]&gt;=Calculation!$E$3,CCData[[#This Row],[Date]]&lt;Calculation!$E$3+7)</f>
        <v>1</v>
      </c>
    </row>
    <row r="4747" spans="1:10">
      <c r="A4747" t="s">
        <v>4746</v>
      </c>
      <c r="B4747" s="2">
        <v>42089.417000000001</v>
      </c>
      <c r="C4747" s="3" t="s">
        <v>5005</v>
      </c>
      <c r="D4747" t="s">
        <v>5012</v>
      </c>
      <c r="E4747" t="s">
        <v>5018</v>
      </c>
      <c r="F4747" t="s">
        <v>5018</v>
      </c>
      <c r="G4747">
        <v>86</v>
      </c>
      <c r="H4747" s="5">
        <v>3.9595402195795101E-3</v>
      </c>
      <c r="I4747">
        <v>1</v>
      </c>
      <c r="J4747" t="b">
        <f>AND(CCData[[#This Row],[Date]]&gt;=Calculation!$E$3,CCData[[#This Row],[Date]]&lt;Calculation!$E$3+7)</f>
        <v>1</v>
      </c>
    </row>
    <row r="4748" spans="1:10">
      <c r="A4748" t="s">
        <v>4747</v>
      </c>
      <c r="B4748" s="2">
        <v>42089.421000000002</v>
      </c>
      <c r="C4748" s="3" t="s">
        <v>5003</v>
      </c>
      <c r="D4748" t="s">
        <v>5013</v>
      </c>
      <c r="E4748" t="s">
        <v>5019</v>
      </c>
      <c r="F4748" t="s">
        <v>5019</v>
      </c>
      <c r="G4748" t="s">
        <v>5022</v>
      </c>
      <c r="H4748" s="5" t="s">
        <v>5022</v>
      </c>
      <c r="I4748" t="s">
        <v>5022</v>
      </c>
      <c r="J4748" t="b">
        <f>AND(CCData[[#This Row],[Date]]&gt;=Calculation!$E$3,CCData[[#This Row],[Date]]&lt;Calculation!$E$3+7)</f>
        <v>1</v>
      </c>
    </row>
    <row r="4749" spans="1:10">
      <c r="A4749" t="s">
        <v>4748</v>
      </c>
      <c r="B4749" s="2">
        <v>42089.421000000002</v>
      </c>
      <c r="C4749" s="3" t="s">
        <v>5010</v>
      </c>
      <c r="D4749" t="s">
        <v>5014</v>
      </c>
      <c r="E4749" t="s">
        <v>5018</v>
      </c>
      <c r="F4749" t="s">
        <v>5019</v>
      </c>
      <c r="G4749">
        <v>59</v>
      </c>
      <c r="H4749" s="5">
        <v>1.6269652720258361E-3</v>
      </c>
      <c r="I4749">
        <v>2</v>
      </c>
      <c r="J4749" t="b">
        <f>AND(CCData[[#This Row],[Date]]&gt;=Calculation!$E$3,CCData[[#This Row],[Date]]&lt;Calculation!$E$3+7)</f>
        <v>1</v>
      </c>
    </row>
    <row r="4750" spans="1:10">
      <c r="A4750" t="s">
        <v>4749</v>
      </c>
      <c r="B4750" s="2">
        <v>42089.423999999999</v>
      </c>
      <c r="C4750" s="3" t="s">
        <v>5008</v>
      </c>
      <c r="D4750" t="s">
        <v>5015</v>
      </c>
      <c r="E4750" t="s">
        <v>5018</v>
      </c>
      <c r="F4750" t="s">
        <v>5018</v>
      </c>
      <c r="G4750">
        <v>23</v>
      </c>
      <c r="H4750" s="5">
        <v>3.4009649126584894E-3</v>
      </c>
      <c r="I4750">
        <v>3</v>
      </c>
      <c r="J4750" t="b">
        <f>AND(CCData[[#This Row],[Date]]&gt;=Calculation!$E$3,CCData[[#This Row],[Date]]&lt;Calculation!$E$3+7)</f>
        <v>1</v>
      </c>
    </row>
    <row r="4751" spans="1:10">
      <c r="A4751" t="s">
        <v>4750</v>
      </c>
      <c r="B4751" s="2">
        <v>42089.423999999999</v>
      </c>
      <c r="C4751" s="3" t="s">
        <v>5007</v>
      </c>
      <c r="D4751" t="s">
        <v>5015</v>
      </c>
      <c r="E4751" t="s">
        <v>5018</v>
      </c>
      <c r="F4751" t="s">
        <v>5018</v>
      </c>
      <c r="G4751">
        <v>79</v>
      </c>
      <c r="H4751" s="5">
        <v>2.6116646475459974E-3</v>
      </c>
      <c r="I4751">
        <v>4</v>
      </c>
      <c r="J4751" t="b">
        <f>AND(CCData[[#This Row],[Date]]&gt;=Calculation!$E$3,CCData[[#This Row],[Date]]&lt;Calculation!$E$3+7)</f>
        <v>1</v>
      </c>
    </row>
    <row r="4752" spans="1:10">
      <c r="A4752" t="s">
        <v>4751</v>
      </c>
      <c r="B4752" s="2">
        <v>42089.427000000003</v>
      </c>
      <c r="C4752" s="3" t="s">
        <v>5005</v>
      </c>
      <c r="D4752" t="s">
        <v>5012</v>
      </c>
      <c r="E4752" t="s">
        <v>5018</v>
      </c>
      <c r="F4752" t="s">
        <v>5018</v>
      </c>
      <c r="G4752">
        <v>105</v>
      </c>
      <c r="H4752" s="5">
        <v>4.4674303193264963E-3</v>
      </c>
      <c r="I4752">
        <v>4</v>
      </c>
      <c r="J4752" t="b">
        <f>AND(CCData[[#This Row],[Date]]&gt;=Calculation!$E$3,CCData[[#This Row],[Date]]&lt;Calculation!$E$3+7)</f>
        <v>1</v>
      </c>
    </row>
    <row r="4753" spans="1:10">
      <c r="A4753" t="s">
        <v>4752</v>
      </c>
      <c r="B4753" s="2">
        <v>42089.427000000003</v>
      </c>
      <c r="C4753" s="3" t="s">
        <v>5009</v>
      </c>
      <c r="D4753" t="s">
        <v>5013</v>
      </c>
      <c r="E4753" t="s">
        <v>5018</v>
      </c>
      <c r="F4753" t="s">
        <v>5018</v>
      </c>
      <c r="G4753">
        <v>42</v>
      </c>
      <c r="H4753" s="5">
        <v>6.3636164478627364E-4</v>
      </c>
      <c r="I4753">
        <v>5</v>
      </c>
      <c r="J4753" t="b">
        <f>AND(CCData[[#This Row],[Date]]&gt;=Calculation!$E$3,CCData[[#This Row],[Date]]&lt;Calculation!$E$3+7)</f>
        <v>1</v>
      </c>
    </row>
    <row r="4754" spans="1:10">
      <c r="A4754" t="s">
        <v>4753</v>
      </c>
      <c r="B4754" s="2">
        <v>42089.455999999998</v>
      </c>
      <c r="C4754" s="3" t="s">
        <v>5004</v>
      </c>
      <c r="D4754" t="s">
        <v>5016</v>
      </c>
      <c r="E4754" t="s">
        <v>5018</v>
      </c>
      <c r="F4754" t="s">
        <v>5018</v>
      </c>
      <c r="G4754">
        <v>20</v>
      </c>
      <c r="H4754" s="5">
        <v>9.821576829709001E-4</v>
      </c>
      <c r="I4754">
        <v>4</v>
      </c>
      <c r="J4754" t="b">
        <f>AND(CCData[[#This Row],[Date]]&gt;=Calculation!$E$3,CCData[[#This Row],[Date]]&lt;Calculation!$E$3+7)</f>
        <v>1</v>
      </c>
    </row>
    <row r="4755" spans="1:10">
      <c r="A4755" t="s">
        <v>4754</v>
      </c>
      <c r="B4755" s="2">
        <v>42089.455999999998</v>
      </c>
      <c r="C4755" s="3" t="s">
        <v>5006</v>
      </c>
      <c r="D4755" t="s">
        <v>5013</v>
      </c>
      <c r="E4755" t="s">
        <v>5018</v>
      </c>
      <c r="F4755" t="s">
        <v>5018</v>
      </c>
      <c r="G4755">
        <v>48</v>
      </c>
      <c r="H4755" s="5">
        <v>3.9797399174024851E-3</v>
      </c>
      <c r="I4755">
        <v>4</v>
      </c>
      <c r="J4755" t="b">
        <f>AND(CCData[[#This Row],[Date]]&gt;=Calculation!$E$3,CCData[[#This Row],[Date]]&lt;Calculation!$E$3+7)</f>
        <v>1</v>
      </c>
    </row>
    <row r="4756" spans="1:10">
      <c r="A4756" t="s">
        <v>4755</v>
      </c>
      <c r="B4756" s="2">
        <v>42089.491999999998</v>
      </c>
      <c r="C4756" s="3" t="s">
        <v>5004</v>
      </c>
      <c r="D4756" t="s">
        <v>5015</v>
      </c>
      <c r="E4756" t="s">
        <v>5018</v>
      </c>
      <c r="F4756" t="s">
        <v>5018</v>
      </c>
      <c r="G4756">
        <v>29</v>
      </c>
      <c r="H4756" s="5">
        <v>3.8414506780320287E-3</v>
      </c>
      <c r="I4756">
        <v>3</v>
      </c>
      <c r="J4756" t="b">
        <f>AND(CCData[[#This Row],[Date]]&gt;=Calculation!$E$3,CCData[[#This Row],[Date]]&lt;Calculation!$E$3+7)</f>
        <v>1</v>
      </c>
    </row>
    <row r="4757" spans="1:10">
      <c r="A4757" t="s">
        <v>4756</v>
      </c>
      <c r="B4757" s="2">
        <v>42089.491999999998</v>
      </c>
      <c r="C4757" s="3" t="s">
        <v>5010</v>
      </c>
      <c r="D4757" t="s">
        <v>5013</v>
      </c>
      <c r="E4757" t="s">
        <v>5018</v>
      </c>
      <c r="F4757" t="s">
        <v>5018</v>
      </c>
      <c r="G4757">
        <v>49</v>
      </c>
      <c r="H4757" s="5">
        <v>4.0180390945528917E-3</v>
      </c>
      <c r="I4757">
        <v>3</v>
      </c>
      <c r="J4757" t="b">
        <f>AND(CCData[[#This Row],[Date]]&gt;=Calculation!$E$3,CCData[[#This Row],[Date]]&lt;Calculation!$E$3+7)</f>
        <v>1</v>
      </c>
    </row>
    <row r="4758" spans="1:10">
      <c r="A4758" t="s">
        <v>4757</v>
      </c>
      <c r="B4758" s="2">
        <v>42089.497000000003</v>
      </c>
      <c r="C4758" s="3" t="s">
        <v>5006</v>
      </c>
      <c r="D4758" t="s">
        <v>5016</v>
      </c>
      <c r="E4758" t="s">
        <v>5018</v>
      </c>
      <c r="F4758" t="s">
        <v>5018</v>
      </c>
      <c r="G4758">
        <v>94</v>
      </c>
      <c r="H4758" s="5">
        <v>4.7770752148963052E-3</v>
      </c>
      <c r="I4758">
        <v>5</v>
      </c>
      <c r="J4758" t="b">
        <f>AND(CCData[[#This Row],[Date]]&gt;=Calculation!$E$3,CCData[[#This Row],[Date]]&lt;Calculation!$E$3+7)</f>
        <v>1</v>
      </c>
    </row>
    <row r="4759" spans="1:10">
      <c r="A4759" t="s">
        <v>4758</v>
      </c>
      <c r="B4759" s="2">
        <v>42089.497000000003</v>
      </c>
      <c r="C4759" s="3" t="s">
        <v>5005</v>
      </c>
      <c r="D4759" t="s">
        <v>5013</v>
      </c>
      <c r="E4759" t="s">
        <v>5018</v>
      </c>
      <c r="F4759" t="s">
        <v>5019</v>
      </c>
      <c r="G4759">
        <v>22</v>
      </c>
      <c r="H4759" s="5">
        <v>1.222814044047945E-3</v>
      </c>
      <c r="I4759">
        <v>4</v>
      </c>
      <c r="J4759" t="b">
        <f>AND(CCData[[#This Row],[Date]]&gt;=Calculation!$E$3,CCData[[#This Row],[Date]]&lt;Calculation!$E$3+7)</f>
        <v>1</v>
      </c>
    </row>
    <row r="4760" spans="1:10">
      <c r="A4760" t="s">
        <v>4759</v>
      </c>
      <c r="B4760" s="2">
        <v>42089.500999999997</v>
      </c>
      <c r="C4760" s="3" t="s">
        <v>5005</v>
      </c>
      <c r="D4760" t="s">
        <v>5015</v>
      </c>
      <c r="E4760" t="s">
        <v>5018</v>
      </c>
      <c r="F4760" t="s">
        <v>5018</v>
      </c>
      <c r="G4760">
        <v>93</v>
      </c>
      <c r="H4760" s="5">
        <v>2.930300758651454E-3</v>
      </c>
      <c r="I4760">
        <v>4</v>
      </c>
      <c r="J4760" t="b">
        <f>AND(CCData[[#This Row],[Date]]&gt;=Calculation!$E$3,CCData[[#This Row],[Date]]&lt;Calculation!$E$3+7)</f>
        <v>1</v>
      </c>
    </row>
    <row r="4761" spans="1:10">
      <c r="A4761" t="s">
        <v>4760</v>
      </c>
      <c r="B4761" s="2">
        <v>42089.500999999997</v>
      </c>
      <c r="C4761" s="3" t="s">
        <v>5009</v>
      </c>
      <c r="D4761" t="s">
        <v>5016</v>
      </c>
      <c r="E4761" t="s">
        <v>5018</v>
      </c>
      <c r="F4761" t="s">
        <v>5018</v>
      </c>
      <c r="G4761">
        <v>56</v>
      </c>
      <c r="H4761" s="5">
        <v>3.1564684804112346E-3</v>
      </c>
      <c r="I4761">
        <v>5</v>
      </c>
      <c r="J4761" t="b">
        <f>AND(CCData[[#This Row],[Date]]&gt;=Calculation!$E$3,CCData[[#This Row],[Date]]&lt;Calculation!$E$3+7)</f>
        <v>1</v>
      </c>
    </row>
    <row r="4762" spans="1:10">
      <c r="A4762" t="s">
        <v>4761</v>
      </c>
      <c r="B4762" s="2">
        <v>42089.517</v>
      </c>
      <c r="C4762" s="3" t="s">
        <v>5004</v>
      </c>
      <c r="D4762" t="s">
        <v>5012</v>
      </c>
      <c r="E4762" t="s">
        <v>5018</v>
      </c>
      <c r="F4762" t="s">
        <v>5018</v>
      </c>
      <c r="G4762">
        <v>16</v>
      </c>
      <c r="H4762" s="5">
        <v>4.0459656790641178E-3</v>
      </c>
      <c r="I4762">
        <v>5</v>
      </c>
      <c r="J4762" t="b">
        <f>AND(CCData[[#This Row],[Date]]&gt;=Calculation!$E$3,CCData[[#This Row],[Date]]&lt;Calculation!$E$3+7)</f>
        <v>1</v>
      </c>
    </row>
    <row r="4763" spans="1:10">
      <c r="A4763" t="s">
        <v>4762</v>
      </c>
      <c r="B4763" s="2">
        <v>42089.517</v>
      </c>
      <c r="C4763" s="3" t="s">
        <v>5003</v>
      </c>
      <c r="D4763" t="s">
        <v>5015</v>
      </c>
      <c r="E4763" t="s">
        <v>5019</v>
      </c>
      <c r="F4763" t="s">
        <v>5019</v>
      </c>
      <c r="G4763" t="s">
        <v>5022</v>
      </c>
      <c r="H4763" s="5" t="s">
        <v>5022</v>
      </c>
      <c r="I4763" t="s">
        <v>5022</v>
      </c>
      <c r="J4763" t="b">
        <f>AND(CCData[[#This Row],[Date]]&gt;=Calculation!$E$3,CCData[[#This Row],[Date]]&lt;Calculation!$E$3+7)</f>
        <v>1</v>
      </c>
    </row>
    <row r="4764" spans="1:10">
      <c r="A4764" t="s">
        <v>4763</v>
      </c>
      <c r="B4764" s="2">
        <v>42089.531999999999</v>
      </c>
      <c r="C4764" s="3" t="s">
        <v>5005</v>
      </c>
      <c r="D4764" t="s">
        <v>5012</v>
      </c>
      <c r="E4764" t="s">
        <v>5018</v>
      </c>
      <c r="F4764" t="s">
        <v>5018</v>
      </c>
      <c r="G4764">
        <v>124</v>
      </c>
      <c r="H4764" s="5">
        <v>1.4613768419404231E-3</v>
      </c>
      <c r="I4764">
        <v>2</v>
      </c>
      <c r="J4764" t="b">
        <f>AND(CCData[[#This Row],[Date]]&gt;=Calculation!$E$3,CCData[[#This Row],[Date]]&lt;Calculation!$E$3+7)</f>
        <v>1</v>
      </c>
    </row>
    <row r="4765" spans="1:10">
      <c r="A4765" t="s">
        <v>4764</v>
      </c>
      <c r="B4765" s="2">
        <v>42089.531999999999</v>
      </c>
      <c r="C4765" s="3" t="s">
        <v>5005</v>
      </c>
      <c r="D4765" t="s">
        <v>5016</v>
      </c>
      <c r="E4765" t="s">
        <v>5019</v>
      </c>
      <c r="F4765" t="s">
        <v>5019</v>
      </c>
      <c r="G4765" t="s">
        <v>5022</v>
      </c>
      <c r="H4765" s="5" t="s">
        <v>5022</v>
      </c>
      <c r="I4765" t="s">
        <v>5022</v>
      </c>
      <c r="J4765" t="b">
        <f>AND(CCData[[#This Row],[Date]]&gt;=Calculation!$E$3,CCData[[#This Row],[Date]]&lt;Calculation!$E$3+7)</f>
        <v>1</v>
      </c>
    </row>
    <row r="4766" spans="1:10">
      <c r="A4766" t="s">
        <v>4765</v>
      </c>
      <c r="B4766" s="2">
        <v>42089.535000000003</v>
      </c>
      <c r="C4766" s="3" t="s">
        <v>5006</v>
      </c>
      <c r="D4766" t="s">
        <v>5012</v>
      </c>
      <c r="E4766" t="s">
        <v>5018</v>
      </c>
      <c r="F4766" t="s">
        <v>5018</v>
      </c>
      <c r="G4766">
        <v>93</v>
      </c>
      <c r="H4766" s="5">
        <v>1.0146962672912185E-3</v>
      </c>
      <c r="I4766">
        <v>5</v>
      </c>
      <c r="J4766" t="b">
        <f>AND(CCData[[#This Row],[Date]]&gt;=Calculation!$E$3,CCData[[#This Row],[Date]]&lt;Calculation!$E$3+7)</f>
        <v>1</v>
      </c>
    </row>
    <row r="4767" spans="1:10">
      <c r="A4767" t="s">
        <v>4766</v>
      </c>
      <c r="B4767" s="2">
        <v>42089.535000000003</v>
      </c>
      <c r="C4767" s="3" t="s">
        <v>5003</v>
      </c>
      <c r="D4767" t="s">
        <v>5016</v>
      </c>
      <c r="E4767" t="s">
        <v>5018</v>
      </c>
      <c r="F4767" t="s">
        <v>5018</v>
      </c>
      <c r="G4767">
        <v>10</v>
      </c>
      <c r="H4767" s="5">
        <v>1.471028792270176E-3</v>
      </c>
      <c r="I4767">
        <v>3</v>
      </c>
      <c r="J4767" t="b">
        <f>AND(CCData[[#This Row],[Date]]&gt;=Calculation!$E$3,CCData[[#This Row],[Date]]&lt;Calculation!$E$3+7)</f>
        <v>1</v>
      </c>
    </row>
    <row r="4768" spans="1:10">
      <c r="A4768" t="s">
        <v>4767</v>
      </c>
      <c r="B4768" s="2">
        <v>42089.536</v>
      </c>
      <c r="C4768" s="3" t="s">
        <v>5004</v>
      </c>
      <c r="D4768" t="s">
        <v>5013</v>
      </c>
      <c r="E4768" t="s">
        <v>5018</v>
      </c>
      <c r="F4768" t="s">
        <v>5019</v>
      </c>
      <c r="G4768">
        <v>17</v>
      </c>
      <c r="H4768" s="5">
        <v>1.4174412508752583E-3</v>
      </c>
      <c r="I4768">
        <v>4</v>
      </c>
      <c r="J4768" t="b">
        <f>AND(CCData[[#This Row],[Date]]&gt;=Calculation!$E$3,CCData[[#This Row],[Date]]&lt;Calculation!$E$3+7)</f>
        <v>1</v>
      </c>
    </row>
    <row r="4769" spans="1:10">
      <c r="A4769" t="s">
        <v>4768</v>
      </c>
      <c r="B4769" s="2">
        <v>42089.536</v>
      </c>
      <c r="C4769" s="3" t="s">
        <v>5010</v>
      </c>
      <c r="D4769" t="s">
        <v>5013</v>
      </c>
      <c r="E4769" t="s">
        <v>5018</v>
      </c>
      <c r="F4769" t="s">
        <v>5018</v>
      </c>
      <c r="G4769">
        <v>121</v>
      </c>
      <c r="H4769" s="5">
        <v>6.9112427138477651E-4</v>
      </c>
      <c r="I4769">
        <v>3</v>
      </c>
      <c r="J4769" t="b">
        <f>AND(CCData[[#This Row],[Date]]&gt;=Calculation!$E$3,CCData[[#This Row],[Date]]&lt;Calculation!$E$3+7)</f>
        <v>1</v>
      </c>
    </row>
    <row r="4770" spans="1:10">
      <c r="A4770" t="s">
        <v>4769</v>
      </c>
      <c r="B4770" s="2">
        <v>42089.536</v>
      </c>
      <c r="C4770" s="3" t="s">
        <v>5009</v>
      </c>
      <c r="D4770" t="s">
        <v>5013</v>
      </c>
      <c r="E4770" t="s">
        <v>5018</v>
      </c>
      <c r="F4770" t="s">
        <v>5018</v>
      </c>
      <c r="G4770">
        <v>74</v>
      </c>
      <c r="H4770" s="5">
        <v>1.7660445232431027E-3</v>
      </c>
      <c r="I4770">
        <v>5</v>
      </c>
      <c r="J4770" t="b">
        <f>AND(CCData[[#This Row],[Date]]&gt;=Calculation!$E$3,CCData[[#This Row],[Date]]&lt;Calculation!$E$3+7)</f>
        <v>1</v>
      </c>
    </row>
    <row r="4771" spans="1:10">
      <c r="A4771" t="s">
        <v>4770</v>
      </c>
      <c r="B4771" s="2">
        <v>42089.536</v>
      </c>
      <c r="C4771" s="3" t="s">
        <v>5006</v>
      </c>
      <c r="D4771" t="s">
        <v>5014</v>
      </c>
      <c r="E4771" t="s">
        <v>5018</v>
      </c>
      <c r="F4771" t="s">
        <v>5018</v>
      </c>
      <c r="G4771">
        <v>22</v>
      </c>
      <c r="H4771" s="5">
        <v>4.0227971349350886E-4</v>
      </c>
      <c r="I4771">
        <v>3</v>
      </c>
      <c r="J4771" t="b">
        <f>AND(CCData[[#This Row],[Date]]&gt;=Calculation!$E$3,CCData[[#This Row],[Date]]&lt;Calculation!$E$3+7)</f>
        <v>1</v>
      </c>
    </row>
    <row r="4772" spans="1:10">
      <c r="A4772" t="s">
        <v>4771</v>
      </c>
      <c r="B4772" s="2">
        <v>42089.572999999997</v>
      </c>
      <c r="C4772" s="3" t="s">
        <v>5007</v>
      </c>
      <c r="D4772" t="s">
        <v>5015</v>
      </c>
      <c r="E4772" t="s">
        <v>5018</v>
      </c>
      <c r="F4772" t="s">
        <v>5018</v>
      </c>
      <c r="G4772">
        <v>76</v>
      </c>
      <c r="H4772" s="5">
        <v>4.201956474873903E-3</v>
      </c>
      <c r="I4772">
        <v>4</v>
      </c>
      <c r="J4772" t="b">
        <f>AND(CCData[[#This Row],[Date]]&gt;=Calculation!$E$3,CCData[[#This Row],[Date]]&lt;Calculation!$E$3+7)</f>
        <v>1</v>
      </c>
    </row>
    <row r="4773" spans="1:10">
      <c r="A4773" t="s">
        <v>4772</v>
      </c>
      <c r="B4773" s="2">
        <v>42089.572999999997</v>
      </c>
      <c r="C4773" s="3" t="s">
        <v>5007</v>
      </c>
      <c r="D4773" t="s">
        <v>5013</v>
      </c>
      <c r="E4773" t="s">
        <v>5018</v>
      </c>
      <c r="F4773" t="s">
        <v>5019</v>
      </c>
      <c r="G4773">
        <v>86</v>
      </c>
      <c r="H4773" s="5">
        <v>2.0645882383534034E-3</v>
      </c>
      <c r="I4773">
        <v>5</v>
      </c>
      <c r="J4773" t="b">
        <f>AND(CCData[[#This Row],[Date]]&gt;=Calculation!$E$3,CCData[[#This Row],[Date]]&lt;Calculation!$E$3+7)</f>
        <v>1</v>
      </c>
    </row>
    <row r="4774" spans="1:10">
      <c r="A4774" t="s">
        <v>4773</v>
      </c>
      <c r="B4774" s="2">
        <v>42089.61</v>
      </c>
      <c r="C4774" s="3" t="s">
        <v>5005</v>
      </c>
      <c r="D4774" t="s">
        <v>5013</v>
      </c>
      <c r="E4774" t="s">
        <v>5018</v>
      </c>
      <c r="F4774" t="s">
        <v>5018</v>
      </c>
      <c r="G4774">
        <v>59</v>
      </c>
      <c r="H4774" s="5">
        <v>5.2105566782221829E-4</v>
      </c>
      <c r="I4774">
        <v>3</v>
      </c>
      <c r="J4774" t="b">
        <f>AND(CCData[[#This Row],[Date]]&gt;=Calculation!$E$3,CCData[[#This Row],[Date]]&lt;Calculation!$E$3+7)</f>
        <v>1</v>
      </c>
    </row>
    <row r="4775" spans="1:10">
      <c r="A4775" t="s">
        <v>4774</v>
      </c>
      <c r="B4775" s="2">
        <v>42089.61</v>
      </c>
      <c r="C4775" s="3" t="s">
        <v>5004</v>
      </c>
      <c r="D4775" t="s">
        <v>5015</v>
      </c>
      <c r="E4775" t="s">
        <v>5019</v>
      </c>
      <c r="F4775" t="s">
        <v>5019</v>
      </c>
      <c r="G4775" t="s">
        <v>5022</v>
      </c>
      <c r="H4775" s="5" t="s">
        <v>5022</v>
      </c>
      <c r="I4775" t="s">
        <v>5022</v>
      </c>
      <c r="J4775" t="b">
        <f>AND(CCData[[#This Row],[Date]]&gt;=Calculation!$E$3,CCData[[#This Row],[Date]]&lt;Calculation!$E$3+7)</f>
        <v>1</v>
      </c>
    </row>
    <row r="4776" spans="1:10">
      <c r="A4776" t="s">
        <v>4775</v>
      </c>
      <c r="B4776" s="2">
        <v>42089.618000000002</v>
      </c>
      <c r="C4776" s="3" t="s">
        <v>5003</v>
      </c>
      <c r="D4776" t="s">
        <v>5015</v>
      </c>
      <c r="E4776" t="s">
        <v>5018</v>
      </c>
      <c r="F4776" t="s">
        <v>5018</v>
      </c>
      <c r="G4776">
        <v>57</v>
      </c>
      <c r="H4776" s="5">
        <v>4.5974222337386243E-3</v>
      </c>
      <c r="I4776">
        <v>5</v>
      </c>
      <c r="J4776" t="b">
        <f>AND(CCData[[#This Row],[Date]]&gt;=Calculation!$E$3,CCData[[#This Row],[Date]]&lt;Calculation!$E$3+7)</f>
        <v>1</v>
      </c>
    </row>
    <row r="4777" spans="1:10">
      <c r="A4777" t="s">
        <v>4776</v>
      </c>
      <c r="B4777" s="2">
        <v>42089.618000000002</v>
      </c>
      <c r="C4777" s="3" t="s">
        <v>5008</v>
      </c>
      <c r="D4777" t="s">
        <v>5015</v>
      </c>
      <c r="E4777" t="s">
        <v>5018</v>
      </c>
      <c r="F4777" t="s">
        <v>5018</v>
      </c>
      <c r="G4777">
        <v>92</v>
      </c>
      <c r="H4777" s="5">
        <v>3.2714934215969452E-3</v>
      </c>
      <c r="I4777">
        <v>3</v>
      </c>
      <c r="J4777" t="b">
        <f>AND(CCData[[#This Row],[Date]]&gt;=Calculation!$E$3,CCData[[#This Row],[Date]]&lt;Calculation!$E$3+7)</f>
        <v>1</v>
      </c>
    </row>
    <row r="4778" spans="1:10">
      <c r="A4778" t="s">
        <v>4777</v>
      </c>
      <c r="B4778" s="2">
        <v>42089.639000000003</v>
      </c>
      <c r="C4778" s="3" t="s">
        <v>5004</v>
      </c>
      <c r="D4778" t="s">
        <v>5012</v>
      </c>
      <c r="E4778" t="s">
        <v>5018</v>
      </c>
      <c r="F4778" t="s">
        <v>5018</v>
      </c>
      <c r="G4778">
        <v>35</v>
      </c>
      <c r="H4778" s="5">
        <v>2.0430763035174126E-3</v>
      </c>
      <c r="I4778">
        <v>1</v>
      </c>
      <c r="J4778" t="b">
        <f>AND(CCData[[#This Row],[Date]]&gt;=Calculation!$E$3,CCData[[#This Row],[Date]]&lt;Calculation!$E$3+7)</f>
        <v>1</v>
      </c>
    </row>
    <row r="4779" spans="1:10">
      <c r="A4779" t="s">
        <v>4778</v>
      </c>
      <c r="B4779" s="2">
        <v>42089.639000000003</v>
      </c>
      <c r="C4779" s="3" t="s">
        <v>5008</v>
      </c>
      <c r="D4779" t="s">
        <v>5013</v>
      </c>
      <c r="E4779" t="s">
        <v>5019</v>
      </c>
      <c r="F4779" t="s">
        <v>5019</v>
      </c>
      <c r="G4779" t="s">
        <v>5022</v>
      </c>
      <c r="H4779" s="5" t="s">
        <v>5022</v>
      </c>
      <c r="I4779" t="s">
        <v>5022</v>
      </c>
      <c r="J4779" t="b">
        <f>AND(CCData[[#This Row],[Date]]&gt;=Calculation!$E$3,CCData[[#This Row],[Date]]&lt;Calculation!$E$3+7)</f>
        <v>1</v>
      </c>
    </row>
    <row r="4780" spans="1:10">
      <c r="A4780" t="s">
        <v>4779</v>
      </c>
      <c r="B4780" s="2">
        <v>42089.654000000002</v>
      </c>
      <c r="C4780" s="3" t="s">
        <v>5009</v>
      </c>
      <c r="D4780" t="s">
        <v>5016</v>
      </c>
      <c r="E4780" t="s">
        <v>5018</v>
      </c>
      <c r="F4780" t="s">
        <v>5018</v>
      </c>
      <c r="G4780">
        <v>76</v>
      </c>
      <c r="H4780" s="5">
        <v>2.763079487877193E-3</v>
      </c>
      <c r="I4780">
        <v>5</v>
      </c>
      <c r="J4780" t="b">
        <f>AND(CCData[[#This Row],[Date]]&gt;=Calculation!$E$3,CCData[[#This Row],[Date]]&lt;Calculation!$E$3+7)</f>
        <v>1</v>
      </c>
    </row>
    <row r="4781" spans="1:10">
      <c r="A4781" t="s">
        <v>4780</v>
      </c>
      <c r="B4781" s="2">
        <v>42089.654000000002</v>
      </c>
      <c r="C4781" s="3" t="s">
        <v>5008</v>
      </c>
      <c r="D4781" t="s">
        <v>5012</v>
      </c>
      <c r="E4781" t="s">
        <v>5018</v>
      </c>
      <c r="F4781" t="s">
        <v>5018</v>
      </c>
      <c r="G4781">
        <v>110</v>
      </c>
      <c r="H4781" s="5">
        <v>5.3854679358921918E-4</v>
      </c>
      <c r="I4781">
        <v>5</v>
      </c>
      <c r="J4781" t="b">
        <f>AND(CCData[[#This Row],[Date]]&gt;=Calculation!$E$3,CCData[[#This Row],[Date]]&lt;Calculation!$E$3+7)</f>
        <v>1</v>
      </c>
    </row>
    <row r="4782" spans="1:10">
      <c r="A4782" t="s">
        <v>4781</v>
      </c>
      <c r="B4782" s="2">
        <v>42089.661999999997</v>
      </c>
      <c r="C4782" s="3" t="s">
        <v>5004</v>
      </c>
      <c r="D4782" t="s">
        <v>5015</v>
      </c>
      <c r="E4782" t="s">
        <v>5018</v>
      </c>
      <c r="F4782" t="s">
        <v>5018</v>
      </c>
      <c r="G4782">
        <v>125</v>
      </c>
      <c r="H4782" s="5">
        <v>1.2444916849239215E-3</v>
      </c>
      <c r="I4782">
        <v>1</v>
      </c>
      <c r="J4782" t="b">
        <f>AND(CCData[[#This Row],[Date]]&gt;=Calculation!$E$3,CCData[[#This Row],[Date]]&lt;Calculation!$E$3+7)</f>
        <v>1</v>
      </c>
    </row>
    <row r="4783" spans="1:10">
      <c r="A4783" t="s">
        <v>4782</v>
      </c>
      <c r="B4783" s="2">
        <v>42089.661999999997</v>
      </c>
      <c r="C4783" s="3" t="s">
        <v>5010</v>
      </c>
      <c r="D4783" t="s">
        <v>5013</v>
      </c>
      <c r="E4783" t="s">
        <v>5018</v>
      </c>
      <c r="F4783" t="s">
        <v>5018</v>
      </c>
      <c r="G4783">
        <v>44</v>
      </c>
      <c r="H4783" s="5">
        <v>1.8973864080882067E-3</v>
      </c>
      <c r="I4783">
        <v>1</v>
      </c>
      <c r="J4783" t="b">
        <f>AND(CCData[[#This Row],[Date]]&gt;=Calculation!$E$3,CCData[[#This Row],[Date]]&lt;Calculation!$E$3+7)</f>
        <v>1</v>
      </c>
    </row>
    <row r="4784" spans="1:10">
      <c r="A4784" t="s">
        <v>4783</v>
      </c>
      <c r="B4784" s="2">
        <v>42089.686000000002</v>
      </c>
      <c r="C4784" s="3" t="s">
        <v>5009</v>
      </c>
      <c r="D4784" t="s">
        <v>5012</v>
      </c>
      <c r="E4784" t="s">
        <v>5018</v>
      </c>
      <c r="F4784" t="s">
        <v>5018</v>
      </c>
      <c r="G4784">
        <v>113</v>
      </c>
      <c r="H4784" s="5">
        <v>2.6034781520644806E-3</v>
      </c>
      <c r="I4784">
        <v>1</v>
      </c>
      <c r="J4784" t="b">
        <f>AND(CCData[[#This Row],[Date]]&gt;=Calculation!$E$3,CCData[[#This Row],[Date]]&lt;Calculation!$E$3+7)</f>
        <v>1</v>
      </c>
    </row>
    <row r="4785" spans="1:10">
      <c r="A4785" t="s">
        <v>4784</v>
      </c>
      <c r="B4785" s="2">
        <v>42089.686000000002</v>
      </c>
      <c r="C4785" s="3" t="s">
        <v>5004</v>
      </c>
      <c r="D4785" t="s">
        <v>5014</v>
      </c>
      <c r="E4785" t="s">
        <v>5018</v>
      </c>
      <c r="F4785" t="s">
        <v>5018</v>
      </c>
      <c r="G4785">
        <v>101</v>
      </c>
      <c r="H4785" s="5">
        <v>3.4372636886345893E-3</v>
      </c>
      <c r="I4785">
        <v>3</v>
      </c>
      <c r="J4785" t="b">
        <f>AND(CCData[[#This Row],[Date]]&gt;=Calculation!$E$3,CCData[[#This Row],[Date]]&lt;Calculation!$E$3+7)</f>
        <v>1</v>
      </c>
    </row>
    <row r="4786" spans="1:10">
      <c r="A4786" t="s">
        <v>4785</v>
      </c>
      <c r="B4786" s="2">
        <v>42089.703000000001</v>
      </c>
      <c r="C4786" s="3" t="s">
        <v>5003</v>
      </c>
      <c r="D4786" t="s">
        <v>5016</v>
      </c>
      <c r="E4786" t="s">
        <v>5018</v>
      </c>
      <c r="F4786" t="s">
        <v>5018</v>
      </c>
      <c r="G4786">
        <v>27</v>
      </c>
      <c r="H4786" s="5">
        <v>2.9339241995394744E-3</v>
      </c>
      <c r="I4786">
        <v>1</v>
      </c>
      <c r="J4786" t="b">
        <f>AND(CCData[[#This Row],[Date]]&gt;=Calculation!$E$3,CCData[[#This Row],[Date]]&lt;Calculation!$E$3+7)</f>
        <v>1</v>
      </c>
    </row>
    <row r="4787" spans="1:10">
      <c r="A4787" t="s">
        <v>4786</v>
      </c>
      <c r="B4787" s="2">
        <v>42089.703000000001</v>
      </c>
      <c r="C4787" s="3" t="s">
        <v>5003</v>
      </c>
      <c r="D4787" t="s">
        <v>5012</v>
      </c>
      <c r="E4787" t="s">
        <v>5019</v>
      </c>
      <c r="F4787" t="s">
        <v>5019</v>
      </c>
      <c r="G4787" t="s">
        <v>5022</v>
      </c>
      <c r="H4787" s="5" t="s">
        <v>5022</v>
      </c>
      <c r="I4787" t="s">
        <v>5022</v>
      </c>
      <c r="J4787" t="b">
        <f>AND(CCData[[#This Row],[Date]]&gt;=Calculation!$E$3,CCData[[#This Row],[Date]]&lt;Calculation!$E$3+7)</f>
        <v>1</v>
      </c>
    </row>
    <row r="4788" spans="1:10">
      <c r="A4788" t="s">
        <v>4787</v>
      </c>
      <c r="B4788" s="2">
        <v>42089.712</v>
      </c>
      <c r="C4788" s="3" t="s">
        <v>5003</v>
      </c>
      <c r="D4788" t="s">
        <v>5014</v>
      </c>
      <c r="E4788" t="s">
        <v>5018</v>
      </c>
      <c r="F4788" t="s">
        <v>5019</v>
      </c>
      <c r="G4788">
        <v>125</v>
      </c>
      <c r="H4788" s="5">
        <v>1.9714550739632773E-3</v>
      </c>
      <c r="I4788">
        <v>4</v>
      </c>
      <c r="J4788" t="b">
        <f>AND(CCData[[#This Row],[Date]]&gt;=Calculation!$E$3,CCData[[#This Row],[Date]]&lt;Calculation!$E$3+7)</f>
        <v>1</v>
      </c>
    </row>
    <row r="4789" spans="1:10">
      <c r="A4789" t="s">
        <v>4788</v>
      </c>
      <c r="B4789" s="2">
        <v>42089.712</v>
      </c>
      <c r="C4789" s="3" t="s">
        <v>5004</v>
      </c>
      <c r="D4789" t="s">
        <v>5015</v>
      </c>
      <c r="E4789" t="s">
        <v>5018</v>
      </c>
      <c r="F4789" t="s">
        <v>5018</v>
      </c>
      <c r="G4789">
        <v>10</v>
      </c>
      <c r="H4789" s="5">
        <v>1.5699545665377056E-3</v>
      </c>
      <c r="I4789">
        <v>1</v>
      </c>
      <c r="J4789" t="b">
        <f>AND(CCData[[#This Row],[Date]]&gt;=Calculation!$E$3,CCData[[#This Row],[Date]]&lt;Calculation!$E$3+7)</f>
        <v>1</v>
      </c>
    </row>
    <row r="4790" spans="1:10">
      <c r="A4790" t="s">
        <v>4789</v>
      </c>
      <c r="B4790" s="2">
        <v>42089.718000000001</v>
      </c>
      <c r="C4790" s="3" t="s">
        <v>5010</v>
      </c>
      <c r="D4790" t="s">
        <v>5012</v>
      </c>
      <c r="E4790" t="s">
        <v>5018</v>
      </c>
      <c r="F4790" t="s">
        <v>5018</v>
      </c>
      <c r="G4790">
        <v>16</v>
      </c>
      <c r="H4790" s="5">
        <v>3.008829961354213E-3</v>
      </c>
      <c r="I4790">
        <v>4</v>
      </c>
      <c r="J4790" t="b">
        <f>AND(CCData[[#This Row],[Date]]&gt;=Calculation!$E$3,CCData[[#This Row],[Date]]&lt;Calculation!$E$3+7)</f>
        <v>1</v>
      </c>
    </row>
    <row r="4791" spans="1:10">
      <c r="A4791" t="s">
        <v>4790</v>
      </c>
      <c r="B4791" s="2">
        <v>42089.718000000001</v>
      </c>
      <c r="C4791" s="3" t="s">
        <v>5008</v>
      </c>
      <c r="D4791" t="s">
        <v>5012</v>
      </c>
      <c r="E4791" t="s">
        <v>5018</v>
      </c>
      <c r="F4791" t="s">
        <v>5018</v>
      </c>
      <c r="G4791">
        <v>85</v>
      </c>
      <c r="H4791" s="5">
        <v>4.1771394891823525E-3</v>
      </c>
      <c r="I4791">
        <v>1</v>
      </c>
      <c r="J4791" t="b">
        <f>AND(CCData[[#This Row],[Date]]&gt;=Calculation!$E$3,CCData[[#This Row],[Date]]&lt;Calculation!$E$3+7)</f>
        <v>1</v>
      </c>
    </row>
    <row r="4792" spans="1:10">
      <c r="A4792" t="s">
        <v>4791</v>
      </c>
      <c r="B4792" s="2">
        <v>42089.737999999998</v>
      </c>
      <c r="C4792" s="3" t="s">
        <v>5010</v>
      </c>
      <c r="D4792" t="s">
        <v>5016</v>
      </c>
      <c r="E4792" t="s">
        <v>5018</v>
      </c>
      <c r="F4792" t="s">
        <v>5018</v>
      </c>
      <c r="G4792">
        <v>36</v>
      </c>
      <c r="H4792" s="5">
        <v>1.235138755033872E-3</v>
      </c>
      <c r="I4792">
        <v>4</v>
      </c>
      <c r="J4792" t="b">
        <f>AND(CCData[[#This Row],[Date]]&gt;=Calculation!$E$3,CCData[[#This Row],[Date]]&lt;Calculation!$E$3+7)</f>
        <v>1</v>
      </c>
    </row>
    <row r="4793" spans="1:10">
      <c r="A4793" t="s">
        <v>4792</v>
      </c>
      <c r="B4793" s="2">
        <v>42089.737999999998</v>
      </c>
      <c r="C4793" s="3" t="s">
        <v>5006</v>
      </c>
      <c r="D4793" t="s">
        <v>5012</v>
      </c>
      <c r="E4793" t="s">
        <v>5018</v>
      </c>
      <c r="F4793" t="s">
        <v>5018</v>
      </c>
      <c r="G4793">
        <v>96</v>
      </c>
      <c r="H4793" s="5">
        <v>4.5236234846578079E-3</v>
      </c>
      <c r="I4793">
        <v>3</v>
      </c>
      <c r="J4793" t="b">
        <f>AND(CCData[[#This Row],[Date]]&gt;=Calculation!$E$3,CCData[[#This Row],[Date]]&lt;Calculation!$E$3+7)</f>
        <v>1</v>
      </c>
    </row>
    <row r="4794" spans="1:10">
      <c r="A4794" t="s">
        <v>4793</v>
      </c>
      <c r="B4794" s="2">
        <v>42090.400000000001</v>
      </c>
      <c r="C4794" s="3" t="s">
        <v>5006</v>
      </c>
      <c r="D4794" t="s">
        <v>5013</v>
      </c>
      <c r="E4794" t="s">
        <v>5018</v>
      </c>
      <c r="F4794" t="s">
        <v>5018</v>
      </c>
      <c r="G4794">
        <v>19</v>
      </c>
      <c r="H4794" s="5">
        <v>7.5273795450063778E-4</v>
      </c>
      <c r="I4794">
        <v>4</v>
      </c>
      <c r="J4794" t="b">
        <f>AND(CCData[[#This Row],[Date]]&gt;=Calculation!$E$3,CCData[[#This Row],[Date]]&lt;Calculation!$E$3+7)</f>
        <v>1</v>
      </c>
    </row>
    <row r="4795" spans="1:10">
      <c r="A4795" t="s">
        <v>4794</v>
      </c>
      <c r="B4795" s="2">
        <v>42090.400000000001</v>
      </c>
      <c r="C4795" s="3" t="s">
        <v>5004</v>
      </c>
      <c r="D4795" t="s">
        <v>5014</v>
      </c>
      <c r="E4795" t="s">
        <v>5018</v>
      </c>
      <c r="F4795" t="s">
        <v>5019</v>
      </c>
      <c r="G4795">
        <v>70</v>
      </c>
      <c r="H4795" s="5">
        <v>1.4032501442147495E-3</v>
      </c>
      <c r="I4795">
        <v>5</v>
      </c>
      <c r="J4795" t="b">
        <f>AND(CCData[[#This Row],[Date]]&gt;=Calculation!$E$3,CCData[[#This Row],[Date]]&lt;Calculation!$E$3+7)</f>
        <v>1</v>
      </c>
    </row>
    <row r="4796" spans="1:10">
      <c r="A4796" t="s">
        <v>4795</v>
      </c>
      <c r="B4796" s="2">
        <v>42090.461000000003</v>
      </c>
      <c r="C4796" s="3" t="s">
        <v>5006</v>
      </c>
      <c r="D4796" t="s">
        <v>5013</v>
      </c>
      <c r="E4796" t="s">
        <v>5019</v>
      </c>
      <c r="F4796" t="s">
        <v>5019</v>
      </c>
      <c r="G4796" t="s">
        <v>5022</v>
      </c>
      <c r="H4796" s="5" t="s">
        <v>5022</v>
      </c>
      <c r="I4796" t="s">
        <v>5022</v>
      </c>
      <c r="J4796" t="b">
        <f>AND(CCData[[#This Row],[Date]]&gt;=Calculation!$E$3,CCData[[#This Row],[Date]]&lt;Calculation!$E$3+7)</f>
        <v>1</v>
      </c>
    </row>
    <row r="4797" spans="1:10">
      <c r="A4797" t="s">
        <v>4796</v>
      </c>
      <c r="B4797" s="2">
        <v>42090.461000000003</v>
      </c>
      <c r="C4797" s="3" t="s">
        <v>5009</v>
      </c>
      <c r="D4797" t="s">
        <v>5012</v>
      </c>
      <c r="E4797" t="s">
        <v>5019</v>
      </c>
      <c r="F4797" t="s">
        <v>5019</v>
      </c>
      <c r="G4797" t="s">
        <v>5022</v>
      </c>
      <c r="H4797" s="5" t="s">
        <v>5022</v>
      </c>
      <c r="I4797" t="s">
        <v>5022</v>
      </c>
      <c r="J4797" t="b">
        <f>AND(CCData[[#This Row],[Date]]&gt;=Calculation!$E$3,CCData[[#This Row],[Date]]&lt;Calculation!$E$3+7)</f>
        <v>1</v>
      </c>
    </row>
    <row r="4798" spans="1:10">
      <c r="A4798" t="s">
        <v>4797</v>
      </c>
      <c r="B4798" s="2">
        <v>42090.464999999997</v>
      </c>
      <c r="C4798" s="3" t="s">
        <v>5007</v>
      </c>
      <c r="D4798" t="s">
        <v>5013</v>
      </c>
      <c r="E4798" t="s">
        <v>5019</v>
      </c>
      <c r="F4798" t="s">
        <v>5019</v>
      </c>
      <c r="G4798" t="s">
        <v>5022</v>
      </c>
      <c r="H4798" s="5" t="s">
        <v>5022</v>
      </c>
      <c r="I4798" t="s">
        <v>5022</v>
      </c>
      <c r="J4798" t="b">
        <f>AND(CCData[[#This Row],[Date]]&gt;=Calculation!$E$3,CCData[[#This Row],[Date]]&lt;Calculation!$E$3+7)</f>
        <v>1</v>
      </c>
    </row>
    <row r="4799" spans="1:10">
      <c r="A4799" t="s">
        <v>4798</v>
      </c>
      <c r="B4799" s="2">
        <v>42090.464999999997</v>
      </c>
      <c r="C4799" s="3" t="s">
        <v>5006</v>
      </c>
      <c r="D4799" t="s">
        <v>5012</v>
      </c>
      <c r="E4799" t="s">
        <v>5018</v>
      </c>
      <c r="F4799" t="s">
        <v>5018</v>
      </c>
      <c r="G4799">
        <v>88</v>
      </c>
      <c r="H4799" s="5">
        <v>4.7233523733068434E-4</v>
      </c>
      <c r="I4799">
        <v>5</v>
      </c>
      <c r="J4799" t="b">
        <f>AND(CCData[[#This Row],[Date]]&gt;=Calculation!$E$3,CCData[[#This Row],[Date]]&lt;Calculation!$E$3+7)</f>
        <v>1</v>
      </c>
    </row>
    <row r="4800" spans="1:10">
      <c r="A4800" t="s">
        <v>4799</v>
      </c>
      <c r="B4800" s="2">
        <v>42090.474000000002</v>
      </c>
      <c r="C4800" s="3" t="s">
        <v>5006</v>
      </c>
      <c r="D4800" t="s">
        <v>5015</v>
      </c>
      <c r="E4800" t="s">
        <v>5018</v>
      </c>
      <c r="F4800" t="s">
        <v>5018</v>
      </c>
      <c r="G4800">
        <v>23</v>
      </c>
      <c r="H4800" s="5">
        <v>1.3238103353764429E-3</v>
      </c>
      <c r="I4800">
        <v>1</v>
      </c>
      <c r="J4800" t="b">
        <f>AND(CCData[[#This Row],[Date]]&gt;=Calculation!$E$3,CCData[[#This Row],[Date]]&lt;Calculation!$E$3+7)</f>
        <v>1</v>
      </c>
    </row>
    <row r="4801" spans="1:10">
      <c r="A4801" t="s">
        <v>4800</v>
      </c>
      <c r="B4801" s="2">
        <v>42090.474000000002</v>
      </c>
      <c r="C4801" s="3" t="s">
        <v>5010</v>
      </c>
      <c r="D4801" t="s">
        <v>5012</v>
      </c>
      <c r="E4801" t="s">
        <v>5018</v>
      </c>
      <c r="F4801" t="s">
        <v>5018</v>
      </c>
      <c r="G4801">
        <v>78</v>
      </c>
      <c r="H4801" s="5">
        <v>1.7667960244250427E-3</v>
      </c>
      <c r="I4801">
        <v>2</v>
      </c>
      <c r="J4801" t="b">
        <f>AND(CCData[[#This Row],[Date]]&gt;=Calculation!$E$3,CCData[[#This Row],[Date]]&lt;Calculation!$E$3+7)</f>
        <v>1</v>
      </c>
    </row>
    <row r="4802" spans="1:10">
      <c r="A4802" t="s">
        <v>4801</v>
      </c>
      <c r="B4802" s="2">
        <v>42090.49</v>
      </c>
      <c r="C4802" s="3" t="s">
        <v>5007</v>
      </c>
      <c r="D4802" t="s">
        <v>5016</v>
      </c>
      <c r="E4802" t="s">
        <v>5018</v>
      </c>
      <c r="F4802" t="s">
        <v>5018</v>
      </c>
      <c r="G4802">
        <v>100</v>
      </c>
      <c r="H4802" s="5">
        <v>3.8268110395423744E-3</v>
      </c>
      <c r="I4802">
        <v>2</v>
      </c>
      <c r="J4802" t="b">
        <f>AND(CCData[[#This Row],[Date]]&gt;=Calculation!$E$3,CCData[[#This Row],[Date]]&lt;Calculation!$E$3+7)</f>
        <v>1</v>
      </c>
    </row>
    <row r="4803" spans="1:10">
      <c r="A4803" t="s">
        <v>4802</v>
      </c>
      <c r="B4803" s="2">
        <v>42090.49</v>
      </c>
      <c r="C4803" s="3" t="s">
        <v>5004</v>
      </c>
      <c r="D4803" t="s">
        <v>5014</v>
      </c>
      <c r="E4803" t="s">
        <v>5018</v>
      </c>
      <c r="F4803" t="s">
        <v>5018</v>
      </c>
      <c r="G4803">
        <v>124</v>
      </c>
      <c r="H4803" s="5">
        <v>2.9312907377541707E-3</v>
      </c>
      <c r="I4803">
        <v>5</v>
      </c>
      <c r="J4803" t="b">
        <f>AND(CCData[[#This Row],[Date]]&gt;=Calculation!$E$3,CCData[[#This Row],[Date]]&lt;Calculation!$E$3+7)</f>
        <v>1</v>
      </c>
    </row>
    <row r="4804" spans="1:10">
      <c r="A4804" t="s">
        <v>4803</v>
      </c>
      <c r="B4804" s="2">
        <v>42090.491999999998</v>
      </c>
      <c r="C4804" s="3" t="s">
        <v>5008</v>
      </c>
      <c r="D4804" t="s">
        <v>5013</v>
      </c>
      <c r="E4804" t="s">
        <v>5018</v>
      </c>
      <c r="F4804" t="s">
        <v>5018</v>
      </c>
      <c r="G4804">
        <v>73</v>
      </c>
      <c r="H4804" s="5">
        <v>4.6346737776774968E-3</v>
      </c>
      <c r="I4804">
        <v>3</v>
      </c>
      <c r="J4804" t="b">
        <f>AND(CCData[[#This Row],[Date]]&gt;=Calculation!$E$3,CCData[[#This Row],[Date]]&lt;Calculation!$E$3+7)</f>
        <v>1</v>
      </c>
    </row>
    <row r="4805" spans="1:10">
      <c r="A4805" t="s">
        <v>4804</v>
      </c>
      <c r="B4805" s="2">
        <v>42090.491999999998</v>
      </c>
      <c r="C4805" s="3" t="s">
        <v>5004</v>
      </c>
      <c r="D4805" t="s">
        <v>5015</v>
      </c>
      <c r="E4805" t="s">
        <v>5018</v>
      </c>
      <c r="F4805" t="s">
        <v>5018</v>
      </c>
      <c r="G4805">
        <v>94</v>
      </c>
      <c r="H4805" s="5">
        <v>9.2058425367219936E-4</v>
      </c>
      <c r="I4805">
        <v>4</v>
      </c>
      <c r="J4805" t="b">
        <f>AND(CCData[[#This Row],[Date]]&gt;=Calculation!$E$3,CCData[[#This Row],[Date]]&lt;Calculation!$E$3+7)</f>
        <v>1</v>
      </c>
    </row>
    <row r="4806" spans="1:10">
      <c r="A4806" t="s">
        <v>4805</v>
      </c>
      <c r="B4806" s="2">
        <v>42090.516000000003</v>
      </c>
      <c r="C4806" s="3" t="s">
        <v>5006</v>
      </c>
      <c r="D4806" t="s">
        <v>5016</v>
      </c>
      <c r="E4806" t="s">
        <v>5019</v>
      </c>
      <c r="F4806" t="s">
        <v>5019</v>
      </c>
      <c r="G4806" t="s">
        <v>5022</v>
      </c>
      <c r="H4806" s="5" t="s">
        <v>5022</v>
      </c>
      <c r="I4806" t="s">
        <v>5022</v>
      </c>
      <c r="J4806" t="b">
        <f>AND(CCData[[#This Row],[Date]]&gt;=Calculation!$E$3,CCData[[#This Row],[Date]]&lt;Calculation!$E$3+7)</f>
        <v>1</v>
      </c>
    </row>
    <row r="4807" spans="1:10">
      <c r="A4807" t="s">
        <v>4806</v>
      </c>
      <c r="B4807" s="2">
        <v>42090.516000000003</v>
      </c>
      <c r="C4807" s="3" t="s">
        <v>5006</v>
      </c>
      <c r="D4807" t="s">
        <v>5014</v>
      </c>
      <c r="E4807" t="s">
        <v>5018</v>
      </c>
      <c r="F4807" t="s">
        <v>5018</v>
      </c>
      <c r="G4807">
        <v>40</v>
      </c>
      <c r="H4807" s="5">
        <v>2.6626405289892846E-3</v>
      </c>
      <c r="I4807">
        <v>2</v>
      </c>
      <c r="J4807" t="b">
        <f>AND(CCData[[#This Row],[Date]]&gt;=Calculation!$E$3,CCData[[#This Row],[Date]]&lt;Calculation!$E$3+7)</f>
        <v>1</v>
      </c>
    </row>
    <row r="4808" spans="1:10">
      <c r="A4808" t="s">
        <v>4807</v>
      </c>
      <c r="B4808" s="2">
        <v>42090.517999999996</v>
      </c>
      <c r="C4808" s="3" t="s">
        <v>5009</v>
      </c>
      <c r="D4808" t="s">
        <v>5014</v>
      </c>
      <c r="E4808" t="s">
        <v>5018</v>
      </c>
      <c r="F4808" t="s">
        <v>5018</v>
      </c>
      <c r="G4808">
        <v>15</v>
      </c>
      <c r="H4808" s="5">
        <v>1.0123708029103242E-3</v>
      </c>
      <c r="I4808">
        <v>3</v>
      </c>
      <c r="J4808" t="b">
        <f>AND(CCData[[#This Row],[Date]]&gt;=Calculation!$E$3,CCData[[#This Row],[Date]]&lt;Calculation!$E$3+7)</f>
        <v>1</v>
      </c>
    </row>
    <row r="4809" spans="1:10">
      <c r="A4809" t="s">
        <v>4808</v>
      </c>
      <c r="B4809" s="2">
        <v>42090.517999999996</v>
      </c>
      <c r="C4809" s="3" t="s">
        <v>5004</v>
      </c>
      <c r="D4809" t="s">
        <v>5014</v>
      </c>
      <c r="E4809" t="s">
        <v>5019</v>
      </c>
      <c r="F4809" t="s">
        <v>5019</v>
      </c>
      <c r="G4809" t="s">
        <v>5022</v>
      </c>
      <c r="H4809" s="5" t="s">
        <v>5022</v>
      </c>
      <c r="I4809" t="s">
        <v>5022</v>
      </c>
      <c r="J4809" t="b">
        <f>AND(CCData[[#This Row],[Date]]&gt;=Calculation!$E$3,CCData[[#This Row],[Date]]&lt;Calculation!$E$3+7)</f>
        <v>1</v>
      </c>
    </row>
    <row r="4810" spans="1:10">
      <c r="A4810" t="s">
        <v>4809</v>
      </c>
      <c r="B4810" s="2">
        <v>42090.538</v>
      </c>
      <c r="C4810" s="3" t="s">
        <v>5006</v>
      </c>
      <c r="D4810" t="s">
        <v>5015</v>
      </c>
      <c r="E4810" t="s">
        <v>5018</v>
      </c>
      <c r="F4810" t="s">
        <v>5018</v>
      </c>
      <c r="G4810">
        <v>104</v>
      </c>
      <c r="H4810" s="5">
        <v>3.5941075897090425E-3</v>
      </c>
      <c r="I4810">
        <v>4</v>
      </c>
      <c r="J4810" t="b">
        <f>AND(CCData[[#This Row],[Date]]&gt;=Calculation!$E$3,CCData[[#This Row],[Date]]&lt;Calculation!$E$3+7)</f>
        <v>1</v>
      </c>
    </row>
    <row r="4811" spans="1:10">
      <c r="A4811" t="s">
        <v>4810</v>
      </c>
      <c r="B4811" s="2">
        <v>42090.538</v>
      </c>
      <c r="C4811" s="3" t="s">
        <v>5010</v>
      </c>
      <c r="D4811" t="s">
        <v>5016</v>
      </c>
      <c r="E4811" t="s">
        <v>5018</v>
      </c>
      <c r="F4811" t="s">
        <v>5018</v>
      </c>
      <c r="G4811">
        <v>92</v>
      </c>
      <c r="H4811" s="5">
        <v>2.2931853565685925E-3</v>
      </c>
      <c r="I4811">
        <v>3</v>
      </c>
      <c r="J4811" t="b">
        <f>AND(CCData[[#This Row],[Date]]&gt;=Calculation!$E$3,CCData[[#This Row],[Date]]&lt;Calculation!$E$3+7)</f>
        <v>1</v>
      </c>
    </row>
    <row r="4812" spans="1:10">
      <c r="A4812" t="s">
        <v>4811</v>
      </c>
      <c r="B4812" s="2">
        <v>42090.557999999997</v>
      </c>
      <c r="C4812" s="3" t="s">
        <v>5006</v>
      </c>
      <c r="D4812" t="s">
        <v>5014</v>
      </c>
      <c r="E4812" t="s">
        <v>5018</v>
      </c>
      <c r="F4812" t="s">
        <v>5018</v>
      </c>
      <c r="G4812">
        <v>103</v>
      </c>
      <c r="H4812" s="5">
        <v>2.6902883623057651E-3</v>
      </c>
      <c r="I4812">
        <v>5</v>
      </c>
      <c r="J4812" t="b">
        <f>AND(CCData[[#This Row],[Date]]&gt;=Calculation!$E$3,CCData[[#This Row],[Date]]&lt;Calculation!$E$3+7)</f>
        <v>1</v>
      </c>
    </row>
    <row r="4813" spans="1:10">
      <c r="A4813" t="s">
        <v>4812</v>
      </c>
      <c r="B4813" s="2">
        <v>42090.557999999997</v>
      </c>
      <c r="C4813" s="3" t="s">
        <v>5004</v>
      </c>
      <c r="D4813" t="s">
        <v>5014</v>
      </c>
      <c r="E4813" t="s">
        <v>5018</v>
      </c>
      <c r="F4813" t="s">
        <v>5018</v>
      </c>
      <c r="G4813">
        <v>43</v>
      </c>
      <c r="H4813" s="5">
        <v>1.0396695898039479E-3</v>
      </c>
      <c r="I4813">
        <v>4</v>
      </c>
      <c r="J4813" t="b">
        <f>AND(CCData[[#This Row],[Date]]&gt;=Calculation!$E$3,CCData[[#This Row],[Date]]&lt;Calculation!$E$3+7)</f>
        <v>1</v>
      </c>
    </row>
    <row r="4814" spans="1:10">
      <c r="A4814" t="s">
        <v>4813</v>
      </c>
      <c r="B4814" s="2">
        <v>42090.563000000002</v>
      </c>
      <c r="C4814" s="3" t="s">
        <v>5005</v>
      </c>
      <c r="D4814" t="s">
        <v>5013</v>
      </c>
      <c r="E4814" t="s">
        <v>5018</v>
      </c>
      <c r="F4814" t="s">
        <v>5018</v>
      </c>
      <c r="G4814">
        <v>93</v>
      </c>
      <c r="H4814" s="5">
        <v>6.6719590343344945E-4</v>
      </c>
      <c r="I4814">
        <v>4</v>
      </c>
      <c r="J4814" t="b">
        <f>AND(CCData[[#This Row],[Date]]&gt;=Calculation!$E$3,CCData[[#This Row],[Date]]&lt;Calculation!$E$3+7)</f>
        <v>1</v>
      </c>
    </row>
    <row r="4815" spans="1:10">
      <c r="A4815" t="s">
        <v>4814</v>
      </c>
      <c r="B4815" s="2">
        <v>42090.563000000002</v>
      </c>
      <c r="C4815" s="3" t="s">
        <v>5008</v>
      </c>
      <c r="D4815" t="s">
        <v>5014</v>
      </c>
      <c r="E4815" t="s">
        <v>5019</v>
      </c>
      <c r="F4815" t="s">
        <v>5019</v>
      </c>
      <c r="G4815" t="s">
        <v>5022</v>
      </c>
      <c r="H4815" s="5" t="s">
        <v>5022</v>
      </c>
      <c r="I4815" t="s">
        <v>5022</v>
      </c>
      <c r="J4815" t="b">
        <f>AND(CCData[[#This Row],[Date]]&gt;=Calculation!$E$3,CCData[[#This Row],[Date]]&lt;Calculation!$E$3+7)</f>
        <v>1</v>
      </c>
    </row>
    <row r="4816" spans="1:10">
      <c r="A4816" t="s">
        <v>4815</v>
      </c>
      <c r="B4816" s="2">
        <v>42090.59</v>
      </c>
      <c r="C4816" s="3" t="s">
        <v>5007</v>
      </c>
      <c r="D4816" t="s">
        <v>5016</v>
      </c>
      <c r="E4816" t="s">
        <v>5018</v>
      </c>
      <c r="F4816" t="s">
        <v>5018</v>
      </c>
      <c r="G4816">
        <v>107</v>
      </c>
      <c r="H4816" s="5">
        <v>2.3749430442812076E-3</v>
      </c>
      <c r="I4816">
        <v>3</v>
      </c>
      <c r="J4816" t="b">
        <f>AND(CCData[[#This Row],[Date]]&gt;=Calculation!$E$3,CCData[[#This Row],[Date]]&lt;Calculation!$E$3+7)</f>
        <v>1</v>
      </c>
    </row>
    <row r="4817" spans="1:10">
      <c r="A4817" t="s">
        <v>4816</v>
      </c>
      <c r="B4817" s="2">
        <v>42090.59</v>
      </c>
      <c r="C4817" s="3" t="s">
        <v>5004</v>
      </c>
      <c r="D4817" t="s">
        <v>5014</v>
      </c>
      <c r="E4817" t="s">
        <v>5018</v>
      </c>
      <c r="F4817" t="s">
        <v>5018</v>
      </c>
      <c r="G4817">
        <v>51</v>
      </c>
      <c r="H4817" s="5">
        <v>1.3196831195381343E-3</v>
      </c>
      <c r="I4817">
        <v>3</v>
      </c>
      <c r="J4817" t="b">
        <f>AND(CCData[[#This Row],[Date]]&gt;=Calculation!$E$3,CCData[[#This Row],[Date]]&lt;Calculation!$E$3+7)</f>
        <v>1</v>
      </c>
    </row>
    <row r="4818" spans="1:10">
      <c r="A4818" t="s">
        <v>4817</v>
      </c>
      <c r="B4818" s="2">
        <v>42090.597000000002</v>
      </c>
      <c r="C4818" s="3" t="s">
        <v>5006</v>
      </c>
      <c r="D4818" t="s">
        <v>5014</v>
      </c>
      <c r="E4818" t="s">
        <v>5019</v>
      </c>
      <c r="F4818" t="s">
        <v>5019</v>
      </c>
      <c r="G4818" t="s">
        <v>5022</v>
      </c>
      <c r="H4818" s="5" t="s">
        <v>5022</v>
      </c>
      <c r="I4818" t="s">
        <v>5022</v>
      </c>
      <c r="J4818" t="b">
        <f>AND(CCData[[#This Row],[Date]]&gt;=Calculation!$E$3,CCData[[#This Row],[Date]]&lt;Calculation!$E$3+7)</f>
        <v>1</v>
      </c>
    </row>
    <row r="4819" spans="1:10">
      <c r="A4819" t="s">
        <v>4818</v>
      </c>
      <c r="B4819" s="2">
        <v>42090.597000000002</v>
      </c>
      <c r="C4819" s="3" t="s">
        <v>5007</v>
      </c>
      <c r="D4819" t="s">
        <v>5014</v>
      </c>
      <c r="E4819" t="s">
        <v>5018</v>
      </c>
      <c r="F4819" t="s">
        <v>5018</v>
      </c>
      <c r="G4819">
        <v>50</v>
      </c>
      <c r="H4819" s="5">
        <v>3.4024665190353445E-3</v>
      </c>
      <c r="I4819">
        <v>3</v>
      </c>
      <c r="J4819" t="b">
        <f>AND(CCData[[#This Row],[Date]]&gt;=Calculation!$E$3,CCData[[#This Row],[Date]]&lt;Calculation!$E$3+7)</f>
        <v>1</v>
      </c>
    </row>
    <row r="4820" spans="1:10">
      <c r="A4820" t="s">
        <v>4819</v>
      </c>
      <c r="B4820" s="2">
        <v>42090.608999999997</v>
      </c>
      <c r="C4820" s="3" t="s">
        <v>5010</v>
      </c>
      <c r="D4820" t="s">
        <v>5016</v>
      </c>
      <c r="E4820" t="s">
        <v>5018</v>
      </c>
      <c r="F4820" t="s">
        <v>5018</v>
      </c>
      <c r="G4820">
        <v>68</v>
      </c>
      <c r="H4820" s="5">
        <v>2.7536605263176967E-3</v>
      </c>
      <c r="I4820">
        <v>5</v>
      </c>
      <c r="J4820" t="b">
        <f>AND(CCData[[#This Row],[Date]]&gt;=Calculation!$E$3,CCData[[#This Row],[Date]]&lt;Calculation!$E$3+7)</f>
        <v>1</v>
      </c>
    </row>
    <row r="4821" spans="1:10">
      <c r="A4821" t="s">
        <v>4820</v>
      </c>
      <c r="B4821" s="2">
        <v>42090.608999999997</v>
      </c>
      <c r="C4821" s="3" t="s">
        <v>5005</v>
      </c>
      <c r="D4821" t="s">
        <v>5014</v>
      </c>
      <c r="E4821" t="s">
        <v>5018</v>
      </c>
      <c r="F4821" t="s">
        <v>5018</v>
      </c>
      <c r="G4821">
        <v>35</v>
      </c>
      <c r="H4821" s="5">
        <v>2.9200898694754329E-3</v>
      </c>
      <c r="I4821">
        <v>4</v>
      </c>
      <c r="J4821" t="b">
        <f>AND(CCData[[#This Row],[Date]]&gt;=Calculation!$E$3,CCData[[#This Row],[Date]]&lt;Calculation!$E$3+7)</f>
        <v>1</v>
      </c>
    </row>
    <row r="4822" spans="1:10">
      <c r="A4822" t="s">
        <v>4821</v>
      </c>
      <c r="B4822" s="2">
        <v>42090.637000000002</v>
      </c>
      <c r="C4822" s="3" t="s">
        <v>5005</v>
      </c>
      <c r="D4822" t="s">
        <v>5012</v>
      </c>
      <c r="E4822" t="s">
        <v>5018</v>
      </c>
      <c r="F4822" t="s">
        <v>5018</v>
      </c>
      <c r="G4822">
        <v>87</v>
      </c>
      <c r="H4822" s="5">
        <v>4.6863652772397117E-3</v>
      </c>
      <c r="I4822">
        <v>1</v>
      </c>
      <c r="J4822" t="b">
        <f>AND(CCData[[#This Row],[Date]]&gt;=Calculation!$E$3,CCData[[#This Row],[Date]]&lt;Calculation!$E$3+7)</f>
        <v>1</v>
      </c>
    </row>
    <row r="4823" spans="1:10">
      <c r="A4823" t="s">
        <v>4822</v>
      </c>
      <c r="B4823" s="2">
        <v>42090.637000000002</v>
      </c>
      <c r="C4823" s="3" t="s">
        <v>5009</v>
      </c>
      <c r="D4823" t="s">
        <v>5016</v>
      </c>
      <c r="E4823" t="s">
        <v>5019</v>
      </c>
      <c r="F4823" t="s">
        <v>5019</v>
      </c>
      <c r="G4823" t="s">
        <v>5022</v>
      </c>
      <c r="H4823" s="5" t="s">
        <v>5022</v>
      </c>
      <c r="I4823" t="s">
        <v>5022</v>
      </c>
      <c r="J4823" t="b">
        <f>AND(CCData[[#This Row],[Date]]&gt;=Calculation!$E$3,CCData[[#This Row],[Date]]&lt;Calculation!$E$3+7)</f>
        <v>1</v>
      </c>
    </row>
    <row r="4824" spans="1:10">
      <c r="A4824" t="s">
        <v>4823</v>
      </c>
      <c r="B4824" s="2">
        <v>42090.64</v>
      </c>
      <c r="C4824" s="3" t="s">
        <v>5004</v>
      </c>
      <c r="D4824" t="s">
        <v>5012</v>
      </c>
      <c r="E4824" t="s">
        <v>5019</v>
      </c>
      <c r="F4824" t="s">
        <v>5019</v>
      </c>
      <c r="G4824" t="s">
        <v>5022</v>
      </c>
      <c r="H4824" s="5" t="s">
        <v>5022</v>
      </c>
      <c r="I4824" t="s">
        <v>5022</v>
      </c>
      <c r="J4824" t="b">
        <f>AND(CCData[[#This Row],[Date]]&gt;=Calculation!$E$3,CCData[[#This Row],[Date]]&lt;Calculation!$E$3+7)</f>
        <v>1</v>
      </c>
    </row>
    <row r="4825" spans="1:10">
      <c r="A4825" t="s">
        <v>4824</v>
      </c>
      <c r="B4825" s="2">
        <v>42090.64</v>
      </c>
      <c r="C4825" s="3" t="s">
        <v>5010</v>
      </c>
      <c r="D4825" t="s">
        <v>5014</v>
      </c>
      <c r="E4825" t="s">
        <v>5018</v>
      </c>
      <c r="F4825" t="s">
        <v>5018</v>
      </c>
      <c r="G4825">
        <v>79</v>
      </c>
      <c r="H4825" s="5">
        <v>4.6192250772607467E-3</v>
      </c>
      <c r="I4825">
        <v>3</v>
      </c>
      <c r="J4825" t="b">
        <f>AND(CCData[[#This Row],[Date]]&gt;=Calculation!$E$3,CCData[[#This Row],[Date]]&lt;Calculation!$E$3+7)</f>
        <v>1</v>
      </c>
    </row>
    <row r="4826" spans="1:10">
      <c r="A4826" t="s">
        <v>4825</v>
      </c>
      <c r="B4826" s="2">
        <v>42090.641000000003</v>
      </c>
      <c r="C4826" s="3" t="s">
        <v>5008</v>
      </c>
      <c r="D4826" t="s">
        <v>5015</v>
      </c>
      <c r="E4826" t="s">
        <v>5018</v>
      </c>
      <c r="F4826" t="s">
        <v>5018</v>
      </c>
      <c r="G4826">
        <v>28</v>
      </c>
      <c r="H4826" s="5">
        <v>2.0703567988841305E-3</v>
      </c>
      <c r="I4826">
        <v>1</v>
      </c>
      <c r="J4826" t="b">
        <f>AND(CCData[[#This Row],[Date]]&gt;=Calculation!$E$3,CCData[[#This Row],[Date]]&lt;Calculation!$E$3+7)</f>
        <v>1</v>
      </c>
    </row>
    <row r="4827" spans="1:10">
      <c r="A4827" t="s">
        <v>4826</v>
      </c>
      <c r="B4827" s="2">
        <v>42090.641000000003</v>
      </c>
      <c r="C4827" s="3" t="s">
        <v>5006</v>
      </c>
      <c r="D4827" t="s">
        <v>5012</v>
      </c>
      <c r="E4827" t="s">
        <v>5018</v>
      </c>
      <c r="F4827" t="s">
        <v>5018</v>
      </c>
      <c r="G4827">
        <v>82</v>
      </c>
      <c r="H4827" s="5">
        <v>2.3067524919538076E-3</v>
      </c>
      <c r="I4827">
        <v>5</v>
      </c>
      <c r="J4827" t="b">
        <f>AND(CCData[[#This Row],[Date]]&gt;=Calculation!$E$3,CCData[[#This Row],[Date]]&lt;Calculation!$E$3+7)</f>
        <v>1</v>
      </c>
    </row>
    <row r="4828" spans="1:10">
      <c r="A4828" t="s">
        <v>4827</v>
      </c>
      <c r="B4828" s="2">
        <v>42090.65</v>
      </c>
      <c r="C4828" s="3" t="s">
        <v>5010</v>
      </c>
      <c r="D4828" t="s">
        <v>5016</v>
      </c>
      <c r="E4828" t="s">
        <v>5018</v>
      </c>
      <c r="F4828" t="s">
        <v>5018</v>
      </c>
      <c r="G4828">
        <v>56</v>
      </c>
      <c r="H4828" s="5">
        <v>1.4630257228376313E-3</v>
      </c>
      <c r="I4828">
        <v>3</v>
      </c>
      <c r="J4828" t="b">
        <f>AND(CCData[[#This Row],[Date]]&gt;=Calculation!$E$3,CCData[[#This Row],[Date]]&lt;Calculation!$E$3+7)</f>
        <v>1</v>
      </c>
    </row>
    <row r="4829" spans="1:10">
      <c r="A4829" t="s">
        <v>4828</v>
      </c>
      <c r="B4829" s="2">
        <v>42090.65</v>
      </c>
      <c r="C4829" s="3" t="s">
        <v>5004</v>
      </c>
      <c r="D4829" t="s">
        <v>5014</v>
      </c>
      <c r="E4829" t="s">
        <v>5018</v>
      </c>
      <c r="F4829" t="s">
        <v>5018</v>
      </c>
      <c r="G4829">
        <v>102</v>
      </c>
      <c r="H4829" s="5">
        <v>4.3582579273589092E-3</v>
      </c>
      <c r="I4829">
        <v>4</v>
      </c>
      <c r="J4829" t="b">
        <f>AND(CCData[[#This Row],[Date]]&gt;=Calculation!$E$3,CCData[[#This Row],[Date]]&lt;Calculation!$E$3+7)</f>
        <v>1</v>
      </c>
    </row>
    <row r="4830" spans="1:10">
      <c r="A4830" t="s">
        <v>4829</v>
      </c>
      <c r="B4830" s="2">
        <v>42090.654999999999</v>
      </c>
      <c r="C4830" s="3" t="s">
        <v>5003</v>
      </c>
      <c r="D4830" t="s">
        <v>5013</v>
      </c>
      <c r="E4830" t="s">
        <v>5019</v>
      </c>
      <c r="F4830" t="s">
        <v>5019</v>
      </c>
      <c r="G4830" t="s">
        <v>5022</v>
      </c>
      <c r="H4830" s="5" t="s">
        <v>5022</v>
      </c>
      <c r="I4830" t="s">
        <v>5022</v>
      </c>
      <c r="J4830" t="b">
        <f>AND(CCData[[#This Row],[Date]]&gt;=Calculation!$E$3,CCData[[#This Row],[Date]]&lt;Calculation!$E$3+7)</f>
        <v>1</v>
      </c>
    </row>
    <row r="4831" spans="1:10">
      <c r="A4831" t="s">
        <v>4830</v>
      </c>
      <c r="B4831" s="2">
        <v>42090.654999999999</v>
      </c>
      <c r="C4831" s="3" t="s">
        <v>5008</v>
      </c>
      <c r="D4831" t="s">
        <v>5015</v>
      </c>
      <c r="E4831" t="s">
        <v>5018</v>
      </c>
      <c r="F4831" t="s">
        <v>5018</v>
      </c>
      <c r="G4831">
        <v>11</v>
      </c>
      <c r="H4831" s="5">
        <v>4.0625484538602515E-3</v>
      </c>
      <c r="I4831">
        <v>5</v>
      </c>
      <c r="J4831" t="b">
        <f>AND(CCData[[#This Row],[Date]]&gt;=Calculation!$E$3,CCData[[#This Row],[Date]]&lt;Calculation!$E$3+7)</f>
        <v>1</v>
      </c>
    </row>
    <row r="4832" spans="1:10">
      <c r="A4832" t="s">
        <v>4831</v>
      </c>
      <c r="B4832" s="2">
        <v>42090.656999999999</v>
      </c>
      <c r="C4832" s="3" t="s">
        <v>5008</v>
      </c>
      <c r="D4832" t="s">
        <v>5014</v>
      </c>
      <c r="E4832" t="s">
        <v>5018</v>
      </c>
      <c r="F4832" t="s">
        <v>5018</v>
      </c>
      <c r="G4832">
        <v>76</v>
      </c>
      <c r="H4832" s="5">
        <v>3.1427762590584092E-3</v>
      </c>
      <c r="I4832">
        <v>1</v>
      </c>
      <c r="J4832" t="b">
        <f>AND(CCData[[#This Row],[Date]]&gt;=Calculation!$E$3,CCData[[#This Row],[Date]]&lt;Calculation!$E$3+7)</f>
        <v>1</v>
      </c>
    </row>
    <row r="4833" spans="1:10">
      <c r="A4833" t="s">
        <v>4832</v>
      </c>
      <c r="B4833" s="2">
        <v>42090.656999999999</v>
      </c>
      <c r="C4833" s="3" t="s">
        <v>5010</v>
      </c>
      <c r="D4833" t="s">
        <v>5014</v>
      </c>
      <c r="E4833" t="s">
        <v>5018</v>
      </c>
      <c r="F4833" t="s">
        <v>5018</v>
      </c>
      <c r="G4833">
        <v>69</v>
      </c>
      <c r="H4833" s="5">
        <v>3.8542800333650207E-3</v>
      </c>
      <c r="I4833">
        <v>5</v>
      </c>
      <c r="J4833" t="b">
        <f>AND(CCData[[#This Row],[Date]]&gt;=Calculation!$E$3,CCData[[#This Row],[Date]]&lt;Calculation!$E$3+7)</f>
        <v>1</v>
      </c>
    </row>
    <row r="4834" spans="1:10">
      <c r="A4834" t="s">
        <v>4833</v>
      </c>
      <c r="B4834" s="2">
        <v>42090.661</v>
      </c>
      <c r="C4834" s="3" t="s">
        <v>5005</v>
      </c>
      <c r="D4834" t="s">
        <v>5015</v>
      </c>
      <c r="E4834" t="s">
        <v>5018</v>
      </c>
      <c r="F4834" t="s">
        <v>5019</v>
      </c>
      <c r="G4834">
        <v>108</v>
      </c>
      <c r="H4834" s="5">
        <v>4.7881085053799568E-3</v>
      </c>
      <c r="I4834">
        <v>3</v>
      </c>
      <c r="J4834" t="b">
        <f>AND(CCData[[#This Row],[Date]]&gt;=Calculation!$E$3,CCData[[#This Row],[Date]]&lt;Calculation!$E$3+7)</f>
        <v>1</v>
      </c>
    </row>
    <row r="4835" spans="1:10">
      <c r="A4835" t="s">
        <v>4834</v>
      </c>
      <c r="B4835" s="2">
        <v>42090.661</v>
      </c>
      <c r="C4835" s="3" t="s">
        <v>5004</v>
      </c>
      <c r="D4835" t="s">
        <v>5013</v>
      </c>
      <c r="E4835" t="s">
        <v>5018</v>
      </c>
      <c r="F4835" t="s">
        <v>5018</v>
      </c>
      <c r="G4835">
        <v>47</v>
      </c>
      <c r="H4835" s="5">
        <v>1.8457932814827788E-3</v>
      </c>
      <c r="I4835">
        <v>3</v>
      </c>
      <c r="J4835" t="b">
        <f>AND(CCData[[#This Row],[Date]]&gt;=Calculation!$E$3,CCData[[#This Row],[Date]]&lt;Calculation!$E$3+7)</f>
        <v>1</v>
      </c>
    </row>
    <row r="4836" spans="1:10">
      <c r="A4836" t="s">
        <v>4835</v>
      </c>
      <c r="B4836" s="2">
        <v>42090.661999999997</v>
      </c>
      <c r="C4836" s="3" t="s">
        <v>5008</v>
      </c>
      <c r="D4836" t="s">
        <v>5015</v>
      </c>
      <c r="E4836" t="s">
        <v>5018</v>
      </c>
      <c r="F4836" t="s">
        <v>5019</v>
      </c>
      <c r="G4836">
        <v>51</v>
      </c>
      <c r="H4836" s="5">
        <v>3.6515444409779135E-3</v>
      </c>
      <c r="I4836">
        <v>3</v>
      </c>
      <c r="J4836" t="b">
        <f>AND(CCData[[#This Row],[Date]]&gt;=Calculation!$E$3,CCData[[#This Row],[Date]]&lt;Calculation!$E$3+7)</f>
        <v>1</v>
      </c>
    </row>
    <row r="4837" spans="1:10">
      <c r="A4837" t="s">
        <v>4836</v>
      </c>
      <c r="B4837" s="2">
        <v>42090.661999999997</v>
      </c>
      <c r="C4837" s="3" t="s">
        <v>5010</v>
      </c>
      <c r="D4837" t="s">
        <v>5013</v>
      </c>
      <c r="E4837" t="s">
        <v>5018</v>
      </c>
      <c r="F4837" t="s">
        <v>5018</v>
      </c>
      <c r="G4837">
        <v>57</v>
      </c>
      <c r="H4837" s="5">
        <v>2.4146050497006418E-3</v>
      </c>
      <c r="I4837">
        <v>3</v>
      </c>
      <c r="J4837" t="b">
        <f>AND(CCData[[#This Row],[Date]]&gt;=Calculation!$E$3,CCData[[#This Row],[Date]]&lt;Calculation!$E$3+7)</f>
        <v>1</v>
      </c>
    </row>
    <row r="4838" spans="1:10">
      <c r="A4838" t="s">
        <v>4837</v>
      </c>
      <c r="B4838" s="2">
        <v>42090.678</v>
      </c>
      <c r="C4838" s="3" t="s">
        <v>5005</v>
      </c>
      <c r="D4838" t="s">
        <v>5013</v>
      </c>
      <c r="E4838" t="s">
        <v>5018</v>
      </c>
      <c r="F4838" t="s">
        <v>5019</v>
      </c>
      <c r="G4838">
        <v>67</v>
      </c>
      <c r="H4838" s="5">
        <v>4.7564227699536266E-3</v>
      </c>
      <c r="I4838">
        <v>4</v>
      </c>
      <c r="J4838" t="b">
        <f>AND(CCData[[#This Row],[Date]]&gt;=Calculation!$E$3,CCData[[#This Row],[Date]]&lt;Calculation!$E$3+7)</f>
        <v>1</v>
      </c>
    </row>
    <row r="4839" spans="1:10">
      <c r="A4839" t="s">
        <v>4838</v>
      </c>
      <c r="B4839" s="2">
        <v>42090.678</v>
      </c>
      <c r="C4839" s="3" t="s">
        <v>5003</v>
      </c>
      <c r="D4839" t="s">
        <v>5016</v>
      </c>
      <c r="E4839" t="s">
        <v>5018</v>
      </c>
      <c r="F4839" t="s">
        <v>5019</v>
      </c>
      <c r="G4839">
        <v>22</v>
      </c>
      <c r="H4839" s="5">
        <v>4.2604193795102406E-3</v>
      </c>
      <c r="I4839">
        <v>4</v>
      </c>
      <c r="J4839" t="b">
        <f>AND(CCData[[#This Row],[Date]]&gt;=Calculation!$E$3,CCData[[#This Row],[Date]]&lt;Calculation!$E$3+7)</f>
        <v>1</v>
      </c>
    </row>
    <row r="4840" spans="1:10">
      <c r="A4840" t="s">
        <v>4839</v>
      </c>
      <c r="B4840" s="2">
        <v>42090.678</v>
      </c>
      <c r="C4840" s="3" t="s">
        <v>5009</v>
      </c>
      <c r="D4840" t="s">
        <v>5014</v>
      </c>
      <c r="E4840" t="s">
        <v>5018</v>
      </c>
      <c r="F4840" t="s">
        <v>5018</v>
      </c>
      <c r="G4840">
        <v>23</v>
      </c>
      <c r="H4840" s="5">
        <v>1.1958584616248004E-3</v>
      </c>
      <c r="I4840">
        <v>2</v>
      </c>
      <c r="J4840" t="b">
        <f>AND(CCData[[#This Row],[Date]]&gt;=Calculation!$E$3,CCData[[#This Row],[Date]]&lt;Calculation!$E$3+7)</f>
        <v>1</v>
      </c>
    </row>
    <row r="4841" spans="1:10">
      <c r="A4841" t="s">
        <v>4840</v>
      </c>
      <c r="B4841" s="2">
        <v>42090.678</v>
      </c>
      <c r="C4841" s="3" t="s">
        <v>5010</v>
      </c>
      <c r="D4841" t="s">
        <v>5015</v>
      </c>
      <c r="E4841" t="s">
        <v>5018</v>
      </c>
      <c r="F4841" t="s">
        <v>5018</v>
      </c>
      <c r="G4841">
        <v>88</v>
      </c>
      <c r="H4841" s="5">
        <v>1.2876804836259301E-3</v>
      </c>
      <c r="I4841">
        <v>4</v>
      </c>
      <c r="J4841" t="b">
        <f>AND(CCData[[#This Row],[Date]]&gt;=Calculation!$E$3,CCData[[#This Row],[Date]]&lt;Calculation!$E$3+7)</f>
        <v>1</v>
      </c>
    </row>
    <row r="4842" spans="1:10">
      <c r="A4842" t="s">
        <v>4841</v>
      </c>
      <c r="B4842" s="2">
        <v>42090.684999999998</v>
      </c>
      <c r="C4842" s="3" t="s">
        <v>5009</v>
      </c>
      <c r="D4842" t="s">
        <v>5013</v>
      </c>
      <c r="E4842" t="s">
        <v>5018</v>
      </c>
      <c r="F4842" t="s">
        <v>5018</v>
      </c>
      <c r="G4842">
        <v>44</v>
      </c>
      <c r="H4842" s="5">
        <v>4.2667722821889634E-3</v>
      </c>
      <c r="I4842">
        <v>3</v>
      </c>
      <c r="J4842" t="b">
        <f>AND(CCData[[#This Row],[Date]]&gt;=Calculation!$E$3,CCData[[#This Row],[Date]]&lt;Calculation!$E$3+7)</f>
        <v>1</v>
      </c>
    </row>
    <row r="4843" spans="1:10">
      <c r="A4843" t="s">
        <v>4842</v>
      </c>
      <c r="B4843" s="2">
        <v>42090.684999999998</v>
      </c>
      <c r="C4843" s="3" t="s">
        <v>5008</v>
      </c>
      <c r="D4843" t="s">
        <v>5016</v>
      </c>
      <c r="E4843" t="s">
        <v>5018</v>
      </c>
      <c r="F4843" t="s">
        <v>5018</v>
      </c>
      <c r="G4843">
        <v>111</v>
      </c>
      <c r="H4843" s="5">
        <v>2.8902612609490266E-3</v>
      </c>
      <c r="I4843">
        <v>4</v>
      </c>
      <c r="J4843" t="b">
        <f>AND(CCData[[#This Row],[Date]]&gt;=Calculation!$E$3,CCData[[#This Row],[Date]]&lt;Calculation!$E$3+7)</f>
        <v>1</v>
      </c>
    </row>
    <row r="4844" spans="1:10">
      <c r="A4844" t="s">
        <v>4843</v>
      </c>
      <c r="B4844" s="2">
        <v>42090.701999999997</v>
      </c>
      <c r="C4844" s="3" t="s">
        <v>5007</v>
      </c>
      <c r="D4844" t="s">
        <v>5015</v>
      </c>
      <c r="E4844" t="s">
        <v>5019</v>
      </c>
      <c r="F4844" t="s">
        <v>5019</v>
      </c>
      <c r="G4844" t="s">
        <v>5022</v>
      </c>
      <c r="H4844" s="5" t="s">
        <v>5022</v>
      </c>
      <c r="I4844" t="s">
        <v>5022</v>
      </c>
      <c r="J4844" t="b">
        <f>AND(CCData[[#This Row],[Date]]&gt;=Calculation!$E$3,CCData[[#This Row],[Date]]&lt;Calculation!$E$3+7)</f>
        <v>1</v>
      </c>
    </row>
    <row r="4845" spans="1:10">
      <c r="A4845" t="s">
        <v>4844</v>
      </c>
      <c r="B4845" s="2">
        <v>42090.701999999997</v>
      </c>
      <c r="C4845" s="3" t="s">
        <v>5003</v>
      </c>
      <c r="D4845" t="s">
        <v>5015</v>
      </c>
      <c r="E4845" t="s">
        <v>5018</v>
      </c>
      <c r="F4845" t="s">
        <v>5018</v>
      </c>
      <c r="G4845">
        <v>61</v>
      </c>
      <c r="H4845" s="5">
        <v>4.3274774702713546E-3</v>
      </c>
      <c r="I4845">
        <v>4</v>
      </c>
      <c r="J4845" t="b">
        <f>AND(CCData[[#This Row],[Date]]&gt;=Calculation!$E$3,CCData[[#This Row],[Date]]&lt;Calculation!$E$3+7)</f>
        <v>1</v>
      </c>
    </row>
    <row r="4846" spans="1:10">
      <c r="A4846" t="s">
        <v>4845</v>
      </c>
      <c r="B4846" s="2">
        <v>42090.707000000002</v>
      </c>
      <c r="C4846" s="3" t="s">
        <v>5009</v>
      </c>
      <c r="D4846" t="s">
        <v>5014</v>
      </c>
      <c r="E4846" t="s">
        <v>5018</v>
      </c>
      <c r="F4846" t="s">
        <v>5018</v>
      </c>
      <c r="G4846">
        <v>108</v>
      </c>
      <c r="H4846" s="5">
        <v>2.4313150844803887E-3</v>
      </c>
      <c r="I4846">
        <v>4</v>
      </c>
      <c r="J4846" t="b">
        <f>AND(CCData[[#This Row],[Date]]&gt;=Calculation!$E$3,CCData[[#This Row],[Date]]&lt;Calculation!$E$3+7)</f>
        <v>1</v>
      </c>
    </row>
    <row r="4847" spans="1:10">
      <c r="A4847" t="s">
        <v>4846</v>
      </c>
      <c r="B4847" s="2">
        <v>42090.707000000002</v>
      </c>
      <c r="C4847" s="3" t="s">
        <v>5005</v>
      </c>
      <c r="D4847" t="s">
        <v>5012</v>
      </c>
      <c r="E4847" t="s">
        <v>5019</v>
      </c>
      <c r="F4847" t="s">
        <v>5019</v>
      </c>
      <c r="G4847" t="s">
        <v>5022</v>
      </c>
      <c r="H4847" s="5" t="s">
        <v>5022</v>
      </c>
      <c r="I4847" t="s">
        <v>5022</v>
      </c>
      <c r="J4847" t="b">
        <f>AND(CCData[[#This Row],[Date]]&gt;=Calculation!$E$3,CCData[[#This Row],[Date]]&lt;Calculation!$E$3+7)</f>
        <v>1</v>
      </c>
    </row>
    <row r="4848" spans="1:10">
      <c r="A4848" t="s">
        <v>4847</v>
      </c>
      <c r="B4848" s="2">
        <v>42090.718999999997</v>
      </c>
      <c r="C4848" s="3" t="s">
        <v>5005</v>
      </c>
      <c r="D4848" t="s">
        <v>5016</v>
      </c>
      <c r="E4848" t="s">
        <v>5018</v>
      </c>
      <c r="F4848" t="s">
        <v>5018</v>
      </c>
      <c r="G4848">
        <v>57</v>
      </c>
      <c r="H4848" s="5">
        <v>3.0094399875160173E-3</v>
      </c>
      <c r="I4848">
        <v>5</v>
      </c>
      <c r="J4848" t="b">
        <f>AND(CCData[[#This Row],[Date]]&gt;=Calculation!$E$3,CCData[[#This Row],[Date]]&lt;Calculation!$E$3+7)</f>
        <v>1</v>
      </c>
    </row>
    <row r="4849" spans="1:10">
      <c r="A4849" t="s">
        <v>4848</v>
      </c>
      <c r="B4849" s="2">
        <v>42090.718999999997</v>
      </c>
      <c r="C4849" s="3" t="s">
        <v>5004</v>
      </c>
      <c r="D4849" t="s">
        <v>5013</v>
      </c>
      <c r="E4849" t="s">
        <v>5018</v>
      </c>
      <c r="F4849" t="s">
        <v>5018</v>
      </c>
      <c r="G4849">
        <v>55</v>
      </c>
      <c r="H4849" s="5">
        <v>2.9419102395149511E-3</v>
      </c>
      <c r="I4849">
        <v>4</v>
      </c>
      <c r="J4849" t="b">
        <f>AND(CCData[[#This Row],[Date]]&gt;=Calculation!$E$3,CCData[[#This Row],[Date]]&lt;Calculation!$E$3+7)</f>
        <v>1</v>
      </c>
    </row>
    <row r="4850" spans="1:10">
      <c r="A4850" t="s">
        <v>4849</v>
      </c>
      <c r="B4850" s="2">
        <v>42090.733</v>
      </c>
      <c r="C4850" s="3" t="s">
        <v>5009</v>
      </c>
      <c r="D4850" t="s">
        <v>5013</v>
      </c>
      <c r="E4850" t="s">
        <v>5018</v>
      </c>
      <c r="F4850" t="s">
        <v>5019</v>
      </c>
      <c r="G4850">
        <v>35</v>
      </c>
      <c r="H4850" s="5">
        <v>2.4263967813261231E-3</v>
      </c>
      <c r="I4850">
        <v>4</v>
      </c>
      <c r="J4850" t="b">
        <f>AND(CCData[[#This Row],[Date]]&gt;=Calculation!$E$3,CCData[[#This Row],[Date]]&lt;Calculation!$E$3+7)</f>
        <v>1</v>
      </c>
    </row>
    <row r="4851" spans="1:10">
      <c r="A4851" t="s">
        <v>4850</v>
      </c>
      <c r="B4851" s="2">
        <v>42090.733</v>
      </c>
      <c r="C4851" s="3" t="s">
        <v>5007</v>
      </c>
      <c r="D4851" t="s">
        <v>5012</v>
      </c>
      <c r="E4851" t="s">
        <v>5018</v>
      </c>
      <c r="F4851" t="s">
        <v>5018</v>
      </c>
      <c r="G4851">
        <v>28</v>
      </c>
      <c r="H4851" s="5">
        <v>1.8313317185515514E-3</v>
      </c>
      <c r="I4851">
        <v>4</v>
      </c>
      <c r="J4851" t="b">
        <f>AND(CCData[[#This Row],[Date]]&gt;=Calculation!$E$3,CCData[[#This Row],[Date]]&lt;Calculation!$E$3+7)</f>
        <v>1</v>
      </c>
    </row>
    <row r="4852" spans="1:10">
      <c r="A4852" t="s">
        <v>4851</v>
      </c>
      <c r="B4852" s="2">
        <v>42091.383999999998</v>
      </c>
      <c r="C4852" s="3" t="s">
        <v>5010</v>
      </c>
      <c r="D4852" t="s">
        <v>5016</v>
      </c>
      <c r="E4852" t="s">
        <v>5018</v>
      </c>
      <c r="F4852" t="s">
        <v>5018</v>
      </c>
      <c r="G4852">
        <v>13</v>
      </c>
      <c r="H4852" s="5">
        <v>1.4445384459828448E-3</v>
      </c>
      <c r="I4852">
        <v>3</v>
      </c>
      <c r="J4852" t="b">
        <f>AND(CCData[[#This Row],[Date]]&gt;=Calculation!$E$3,CCData[[#This Row],[Date]]&lt;Calculation!$E$3+7)</f>
        <v>1</v>
      </c>
    </row>
    <row r="4853" spans="1:10">
      <c r="A4853" t="s">
        <v>4852</v>
      </c>
      <c r="B4853" s="2">
        <v>42091.383999999998</v>
      </c>
      <c r="C4853" s="3" t="s">
        <v>5007</v>
      </c>
      <c r="D4853" t="s">
        <v>5015</v>
      </c>
      <c r="E4853" t="s">
        <v>5018</v>
      </c>
      <c r="F4853" t="s">
        <v>5018</v>
      </c>
      <c r="G4853">
        <v>37</v>
      </c>
      <c r="H4853" s="5">
        <v>7.4626583227022428E-4</v>
      </c>
      <c r="I4853">
        <v>2</v>
      </c>
      <c r="J4853" t="b">
        <f>AND(CCData[[#This Row],[Date]]&gt;=Calculation!$E$3,CCData[[#This Row],[Date]]&lt;Calculation!$E$3+7)</f>
        <v>1</v>
      </c>
    </row>
    <row r="4854" spans="1:10">
      <c r="A4854" t="s">
        <v>4853</v>
      </c>
      <c r="B4854" s="2">
        <v>42091.402000000002</v>
      </c>
      <c r="C4854" s="3" t="s">
        <v>5010</v>
      </c>
      <c r="D4854" t="s">
        <v>5013</v>
      </c>
      <c r="E4854" t="s">
        <v>5018</v>
      </c>
      <c r="F4854" t="s">
        <v>5018</v>
      </c>
      <c r="G4854">
        <v>99</v>
      </c>
      <c r="H4854" s="5">
        <v>3.1955299605934298E-3</v>
      </c>
      <c r="I4854">
        <v>3</v>
      </c>
      <c r="J4854" t="b">
        <f>AND(CCData[[#This Row],[Date]]&gt;=Calculation!$E$3,CCData[[#This Row],[Date]]&lt;Calculation!$E$3+7)</f>
        <v>1</v>
      </c>
    </row>
    <row r="4855" spans="1:10">
      <c r="A4855" t="s">
        <v>4854</v>
      </c>
      <c r="B4855" s="2">
        <v>42091.402000000002</v>
      </c>
      <c r="C4855" s="3" t="s">
        <v>5008</v>
      </c>
      <c r="D4855" t="s">
        <v>5013</v>
      </c>
      <c r="E4855" t="s">
        <v>5018</v>
      </c>
      <c r="F4855" t="s">
        <v>5019</v>
      </c>
      <c r="G4855">
        <v>89</v>
      </c>
      <c r="H4855" s="5">
        <v>2.8162944252249438E-3</v>
      </c>
      <c r="I4855">
        <v>1</v>
      </c>
      <c r="J4855" t="b">
        <f>AND(CCData[[#This Row],[Date]]&gt;=Calculation!$E$3,CCData[[#This Row],[Date]]&lt;Calculation!$E$3+7)</f>
        <v>1</v>
      </c>
    </row>
    <row r="4856" spans="1:10">
      <c r="A4856" t="s">
        <v>4855</v>
      </c>
      <c r="B4856" s="2">
        <v>42091.434999999998</v>
      </c>
      <c r="C4856" s="3" t="s">
        <v>5010</v>
      </c>
      <c r="D4856" t="s">
        <v>5015</v>
      </c>
      <c r="E4856" t="s">
        <v>5018</v>
      </c>
      <c r="F4856" t="s">
        <v>5019</v>
      </c>
      <c r="G4856">
        <v>22</v>
      </c>
      <c r="H4856" s="5">
        <v>2.055398506958718E-3</v>
      </c>
      <c r="I4856">
        <v>5</v>
      </c>
      <c r="J4856" t="b">
        <f>AND(CCData[[#This Row],[Date]]&gt;=Calculation!$E$3,CCData[[#This Row],[Date]]&lt;Calculation!$E$3+7)</f>
        <v>1</v>
      </c>
    </row>
    <row r="4857" spans="1:10">
      <c r="A4857" t="s">
        <v>4856</v>
      </c>
      <c r="B4857" s="2">
        <v>42091.434999999998</v>
      </c>
      <c r="C4857" s="3" t="s">
        <v>5009</v>
      </c>
      <c r="D4857" t="s">
        <v>5013</v>
      </c>
      <c r="E4857" t="s">
        <v>5019</v>
      </c>
      <c r="F4857" t="s">
        <v>5019</v>
      </c>
      <c r="G4857" t="s">
        <v>5022</v>
      </c>
      <c r="H4857" s="5" t="s">
        <v>5022</v>
      </c>
      <c r="I4857" t="s">
        <v>5022</v>
      </c>
      <c r="J4857" t="b">
        <f>AND(CCData[[#This Row],[Date]]&gt;=Calculation!$E$3,CCData[[#This Row],[Date]]&lt;Calculation!$E$3+7)</f>
        <v>1</v>
      </c>
    </row>
    <row r="4858" spans="1:10">
      <c r="A4858" t="s">
        <v>4857</v>
      </c>
      <c r="B4858" s="2">
        <v>42091.461000000003</v>
      </c>
      <c r="C4858" s="3" t="s">
        <v>5003</v>
      </c>
      <c r="D4858" t="s">
        <v>5014</v>
      </c>
      <c r="E4858" t="s">
        <v>5018</v>
      </c>
      <c r="F4858" t="s">
        <v>5018</v>
      </c>
      <c r="G4858">
        <v>32</v>
      </c>
      <c r="H4858" s="5">
        <v>5.6231690195753436E-4</v>
      </c>
      <c r="I4858">
        <v>4</v>
      </c>
      <c r="J4858" t="b">
        <f>AND(CCData[[#This Row],[Date]]&gt;=Calculation!$E$3,CCData[[#This Row],[Date]]&lt;Calculation!$E$3+7)</f>
        <v>1</v>
      </c>
    </row>
    <row r="4859" spans="1:10">
      <c r="A4859" t="s">
        <v>4858</v>
      </c>
      <c r="B4859" s="2">
        <v>42091.461000000003</v>
      </c>
      <c r="C4859" s="3" t="s">
        <v>5004</v>
      </c>
      <c r="D4859" t="s">
        <v>5014</v>
      </c>
      <c r="E4859" t="s">
        <v>5019</v>
      </c>
      <c r="F4859" t="s">
        <v>5019</v>
      </c>
      <c r="G4859" t="s">
        <v>5022</v>
      </c>
      <c r="H4859" s="5" t="s">
        <v>5022</v>
      </c>
      <c r="I4859" t="s">
        <v>5022</v>
      </c>
      <c r="J4859" t="b">
        <f>AND(CCData[[#This Row],[Date]]&gt;=Calculation!$E$3,CCData[[#This Row],[Date]]&lt;Calculation!$E$3+7)</f>
        <v>1</v>
      </c>
    </row>
    <row r="4860" spans="1:10">
      <c r="A4860" t="s">
        <v>4859</v>
      </c>
      <c r="B4860" s="2">
        <v>42091.478000000003</v>
      </c>
      <c r="C4860" s="3" t="s">
        <v>5006</v>
      </c>
      <c r="D4860" t="s">
        <v>5014</v>
      </c>
      <c r="E4860" t="s">
        <v>5018</v>
      </c>
      <c r="F4860" t="s">
        <v>5018</v>
      </c>
      <c r="G4860">
        <v>88</v>
      </c>
      <c r="H4860" s="5">
        <v>1.0006458074421139E-3</v>
      </c>
      <c r="I4860">
        <v>3</v>
      </c>
      <c r="J4860" t="b">
        <f>AND(CCData[[#This Row],[Date]]&gt;=Calculation!$E$3,CCData[[#This Row],[Date]]&lt;Calculation!$E$3+7)</f>
        <v>1</v>
      </c>
    </row>
    <row r="4861" spans="1:10">
      <c r="A4861" t="s">
        <v>4860</v>
      </c>
      <c r="B4861" s="2">
        <v>42091.478000000003</v>
      </c>
      <c r="C4861" s="3" t="s">
        <v>5005</v>
      </c>
      <c r="D4861" t="s">
        <v>5013</v>
      </c>
      <c r="E4861" t="s">
        <v>5019</v>
      </c>
      <c r="F4861" t="s">
        <v>5019</v>
      </c>
      <c r="G4861" t="s">
        <v>5022</v>
      </c>
      <c r="H4861" s="5" t="s">
        <v>5022</v>
      </c>
      <c r="I4861" t="s">
        <v>5022</v>
      </c>
      <c r="J4861" t="b">
        <f>AND(CCData[[#This Row],[Date]]&gt;=Calculation!$E$3,CCData[[#This Row],[Date]]&lt;Calculation!$E$3+7)</f>
        <v>1</v>
      </c>
    </row>
    <row r="4862" spans="1:10">
      <c r="A4862" t="s">
        <v>4861</v>
      </c>
      <c r="B4862" s="2">
        <v>42091.478999999999</v>
      </c>
      <c r="C4862" s="3" t="s">
        <v>5003</v>
      </c>
      <c r="D4862" t="s">
        <v>5012</v>
      </c>
      <c r="E4862" t="s">
        <v>5018</v>
      </c>
      <c r="F4862" t="s">
        <v>5018</v>
      </c>
      <c r="G4862">
        <v>29</v>
      </c>
      <c r="H4862" s="5">
        <v>2.1150021983750746E-3</v>
      </c>
      <c r="I4862">
        <v>3</v>
      </c>
      <c r="J4862" t="b">
        <f>AND(CCData[[#This Row],[Date]]&gt;=Calculation!$E$3,CCData[[#This Row],[Date]]&lt;Calculation!$E$3+7)</f>
        <v>1</v>
      </c>
    </row>
    <row r="4863" spans="1:10">
      <c r="A4863" t="s">
        <v>4862</v>
      </c>
      <c r="B4863" s="2">
        <v>42091.478999999999</v>
      </c>
      <c r="C4863" s="3" t="s">
        <v>5008</v>
      </c>
      <c r="D4863" t="s">
        <v>5015</v>
      </c>
      <c r="E4863" t="s">
        <v>5018</v>
      </c>
      <c r="F4863" t="s">
        <v>5018</v>
      </c>
      <c r="G4863">
        <v>32</v>
      </c>
      <c r="H4863" s="5">
        <v>1.4164806397150317E-3</v>
      </c>
      <c r="I4863">
        <v>3</v>
      </c>
      <c r="J4863" t="b">
        <f>AND(CCData[[#This Row],[Date]]&gt;=Calculation!$E$3,CCData[[#This Row],[Date]]&lt;Calculation!$E$3+7)</f>
        <v>1</v>
      </c>
    </row>
    <row r="4864" spans="1:10">
      <c r="A4864" t="s">
        <v>4863</v>
      </c>
      <c r="B4864" s="2">
        <v>42091.533000000003</v>
      </c>
      <c r="C4864" s="3" t="s">
        <v>5007</v>
      </c>
      <c r="D4864" t="s">
        <v>5012</v>
      </c>
      <c r="E4864" t="s">
        <v>5018</v>
      </c>
      <c r="F4864" t="s">
        <v>5018</v>
      </c>
      <c r="G4864">
        <v>16</v>
      </c>
      <c r="H4864" s="5">
        <v>2.7380020653582277E-3</v>
      </c>
      <c r="I4864">
        <v>1</v>
      </c>
      <c r="J4864" t="b">
        <f>AND(CCData[[#This Row],[Date]]&gt;=Calculation!$E$3,CCData[[#This Row],[Date]]&lt;Calculation!$E$3+7)</f>
        <v>1</v>
      </c>
    </row>
    <row r="4865" spans="1:10">
      <c r="A4865" t="s">
        <v>4864</v>
      </c>
      <c r="B4865" s="2">
        <v>42091.533000000003</v>
      </c>
      <c r="C4865" s="3" t="s">
        <v>5004</v>
      </c>
      <c r="D4865" t="s">
        <v>5013</v>
      </c>
      <c r="E4865" t="s">
        <v>5018</v>
      </c>
      <c r="F4865" t="s">
        <v>5018</v>
      </c>
      <c r="G4865">
        <v>79</v>
      </c>
      <c r="H4865" s="5">
        <v>2.3332580539719579E-3</v>
      </c>
      <c r="I4865">
        <v>1</v>
      </c>
      <c r="J4865" t="b">
        <f>AND(CCData[[#This Row],[Date]]&gt;=Calculation!$E$3,CCData[[#This Row],[Date]]&lt;Calculation!$E$3+7)</f>
        <v>1</v>
      </c>
    </row>
    <row r="4866" spans="1:10">
      <c r="A4866" t="s">
        <v>4865</v>
      </c>
      <c r="B4866" s="2">
        <v>42091.544999999998</v>
      </c>
      <c r="C4866" s="3" t="s">
        <v>5004</v>
      </c>
      <c r="D4866" t="s">
        <v>5015</v>
      </c>
      <c r="E4866" t="s">
        <v>5018</v>
      </c>
      <c r="F4866" t="s">
        <v>5018</v>
      </c>
      <c r="G4866">
        <v>23</v>
      </c>
      <c r="H4866" s="5">
        <v>5.9617314014065404E-4</v>
      </c>
      <c r="I4866">
        <v>1</v>
      </c>
      <c r="J4866" t="b">
        <f>AND(CCData[[#This Row],[Date]]&gt;=Calculation!$E$3,CCData[[#This Row],[Date]]&lt;Calculation!$E$3+7)</f>
        <v>1</v>
      </c>
    </row>
    <row r="4867" spans="1:10">
      <c r="A4867" t="s">
        <v>4866</v>
      </c>
      <c r="B4867" s="2">
        <v>42091.544999999998</v>
      </c>
      <c r="C4867" s="3" t="s">
        <v>5007</v>
      </c>
      <c r="D4867" t="s">
        <v>5013</v>
      </c>
      <c r="E4867" t="s">
        <v>5018</v>
      </c>
      <c r="F4867" t="s">
        <v>5019</v>
      </c>
      <c r="G4867">
        <v>94</v>
      </c>
      <c r="H4867" s="5">
        <v>4.1474591785171169E-3</v>
      </c>
      <c r="I4867">
        <v>5</v>
      </c>
      <c r="J4867" t="b">
        <f>AND(CCData[[#This Row],[Date]]&gt;=Calculation!$E$3,CCData[[#This Row],[Date]]&lt;Calculation!$E$3+7)</f>
        <v>1</v>
      </c>
    </row>
    <row r="4868" spans="1:10">
      <c r="A4868" t="s">
        <v>4867</v>
      </c>
      <c r="B4868" s="2">
        <v>42091.546000000002</v>
      </c>
      <c r="C4868" s="3" t="s">
        <v>5008</v>
      </c>
      <c r="D4868" t="s">
        <v>5015</v>
      </c>
      <c r="E4868" t="s">
        <v>5018</v>
      </c>
      <c r="F4868" t="s">
        <v>5018</v>
      </c>
      <c r="G4868">
        <v>39</v>
      </c>
      <c r="H4868" s="5">
        <v>4.2697358602027686E-3</v>
      </c>
      <c r="I4868">
        <v>4</v>
      </c>
      <c r="J4868" t="b">
        <f>AND(CCData[[#This Row],[Date]]&gt;=Calculation!$E$3,CCData[[#This Row],[Date]]&lt;Calculation!$E$3+7)</f>
        <v>1</v>
      </c>
    </row>
    <row r="4869" spans="1:10">
      <c r="A4869" t="s">
        <v>4868</v>
      </c>
      <c r="B4869" s="2">
        <v>42091.546000000002</v>
      </c>
      <c r="C4869" s="3" t="s">
        <v>5006</v>
      </c>
      <c r="D4869" t="s">
        <v>5016</v>
      </c>
      <c r="E4869" t="s">
        <v>5018</v>
      </c>
      <c r="F4869" t="s">
        <v>5018</v>
      </c>
      <c r="G4869">
        <v>12</v>
      </c>
      <c r="H4869" s="5">
        <v>4.0811500330371154E-4</v>
      </c>
      <c r="I4869">
        <v>2</v>
      </c>
      <c r="J4869" t="b">
        <f>AND(CCData[[#This Row],[Date]]&gt;=Calculation!$E$3,CCData[[#This Row],[Date]]&lt;Calculation!$E$3+7)</f>
        <v>1</v>
      </c>
    </row>
    <row r="4870" spans="1:10">
      <c r="A4870" t="s">
        <v>4869</v>
      </c>
      <c r="B4870" s="2">
        <v>42091.567999999999</v>
      </c>
      <c r="C4870" s="3" t="s">
        <v>5005</v>
      </c>
      <c r="D4870" t="s">
        <v>5016</v>
      </c>
      <c r="E4870" t="s">
        <v>5018</v>
      </c>
      <c r="F4870" t="s">
        <v>5018</v>
      </c>
      <c r="G4870">
        <v>54</v>
      </c>
      <c r="H4870" s="5">
        <v>1.2762206597032098E-3</v>
      </c>
      <c r="I4870">
        <v>3</v>
      </c>
      <c r="J4870" t="b">
        <f>AND(CCData[[#This Row],[Date]]&gt;=Calculation!$E$3,CCData[[#This Row],[Date]]&lt;Calculation!$E$3+7)</f>
        <v>1</v>
      </c>
    </row>
    <row r="4871" spans="1:10">
      <c r="A4871" t="s">
        <v>4870</v>
      </c>
      <c r="B4871" s="2">
        <v>42091.567999999999</v>
      </c>
      <c r="C4871" s="3" t="s">
        <v>5008</v>
      </c>
      <c r="D4871" t="s">
        <v>5015</v>
      </c>
      <c r="E4871" t="s">
        <v>5019</v>
      </c>
      <c r="F4871" t="s">
        <v>5019</v>
      </c>
      <c r="G4871" t="s">
        <v>5022</v>
      </c>
      <c r="H4871" s="5" t="s">
        <v>5022</v>
      </c>
      <c r="I4871" t="s">
        <v>5022</v>
      </c>
      <c r="J4871" t="b">
        <f>AND(CCData[[#This Row],[Date]]&gt;=Calculation!$E$3,CCData[[#This Row],[Date]]&lt;Calculation!$E$3+7)</f>
        <v>1</v>
      </c>
    </row>
    <row r="4872" spans="1:10">
      <c r="A4872" t="s">
        <v>4871</v>
      </c>
      <c r="B4872" s="2">
        <v>42091.633999999998</v>
      </c>
      <c r="C4872" s="3" t="s">
        <v>5010</v>
      </c>
      <c r="D4872" t="s">
        <v>5013</v>
      </c>
      <c r="E4872" t="s">
        <v>5018</v>
      </c>
      <c r="F4872" t="s">
        <v>5019</v>
      </c>
      <c r="G4872">
        <v>70</v>
      </c>
      <c r="H4872" s="5">
        <v>2.7831929222974978E-3</v>
      </c>
      <c r="I4872">
        <v>5</v>
      </c>
      <c r="J4872" t="b">
        <f>AND(CCData[[#This Row],[Date]]&gt;=Calculation!$E$3,CCData[[#This Row],[Date]]&lt;Calculation!$E$3+7)</f>
        <v>1</v>
      </c>
    </row>
    <row r="4873" spans="1:10">
      <c r="A4873" t="s">
        <v>4872</v>
      </c>
      <c r="B4873" s="2">
        <v>42091.633999999998</v>
      </c>
      <c r="C4873" s="3" t="s">
        <v>5009</v>
      </c>
      <c r="D4873" t="s">
        <v>5016</v>
      </c>
      <c r="E4873" t="s">
        <v>5018</v>
      </c>
      <c r="F4873" t="s">
        <v>5018</v>
      </c>
      <c r="G4873">
        <v>123</v>
      </c>
      <c r="H4873" s="5">
        <v>1.0114653059559509E-3</v>
      </c>
      <c r="I4873">
        <v>2</v>
      </c>
      <c r="J4873" t="b">
        <f>AND(CCData[[#This Row],[Date]]&gt;=Calculation!$E$3,CCData[[#This Row],[Date]]&lt;Calculation!$E$3+7)</f>
        <v>1</v>
      </c>
    </row>
    <row r="4874" spans="1:10">
      <c r="A4874" t="s">
        <v>4873</v>
      </c>
      <c r="B4874" s="2">
        <v>42091.667999999998</v>
      </c>
      <c r="C4874" s="3" t="s">
        <v>5005</v>
      </c>
      <c r="D4874" t="s">
        <v>5013</v>
      </c>
      <c r="E4874" t="s">
        <v>5018</v>
      </c>
      <c r="F4874" t="s">
        <v>5018</v>
      </c>
      <c r="G4874">
        <v>27</v>
      </c>
      <c r="H4874" s="5">
        <v>2.0579222378385243E-3</v>
      </c>
      <c r="I4874">
        <v>1</v>
      </c>
      <c r="J4874" t="b">
        <f>AND(CCData[[#This Row],[Date]]&gt;=Calculation!$E$3,CCData[[#This Row],[Date]]&lt;Calculation!$E$3+7)</f>
        <v>1</v>
      </c>
    </row>
    <row r="4875" spans="1:10">
      <c r="A4875" t="s">
        <v>4874</v>
      </c>
      <c r="B4875" s="2">
        <v>42091.667999999998</v>
      </c>
      <c r="C4875" s="3" t="s">
        <v>5010</v>
      </c>
      <c r="D4875" t="s">
        <v>5014</v>
      </c>
      <c r="E4875" t="s">
        <v>5018</v>
      </c>
      <c r="F4875" t="s">
        <v>5018</v>
      </c>
      <c r="G4875">
        <v>112</v>
      </c>
      <c r="H4875" s="5">
        <v>2.5476783256619603E-3</v>
      </c>
      <c r="I4875">
        <v>5</v>
      </c>
      <c r="J4875" t="b">
        <f>AND(CCData[[#This Row],[Date]]&gt;=Calculation!$E$3,CCData[[#This Row],[Date]]&lt;Calculation!$E$3+7)</f>
        <v>1</v>
      </c>
    </row>
    <row r="4876" spans="1:10">
      <c r="A4876" t="s">
        <v>4875</v>
      </c>
      <c r="B4876" s="2">
        <v>42091.67</v>
      </c>
      <c r="C4876" s="3" t="s">
        <v>5003</v>
      </c>
      <c r="D4876" t="s">
        <v>5013</v>
      </c>
      <c r="E4876" t="s">
        <v>5019</v>
      </c>
      <c r="F4876" t="s">
        <v>5019</v>
      </c>
      <c r="G4876" t="s">
        <v>5022</v>
      </c>
      <c r="H4876" s="5" t="s">
        <v>5022</v>
      </c>
      <c r="I4876" t="s">
        <v>5022</v>
      </c>
      <c r="J4876" t="b">
        <f>AND(CCData[[#This Row],[Date]]&gt;=Calculation!$E$3,CCData[[#This Row],[Date]]&lt;Calculation!$E$3+7)</f>
        <v>1</v>
      </c>
    </row>
    <row r="4877" spans="1:10">
      <c r="A4877" t="s">
        <v>4876</v>
      </c>
      <c r="B4877" s="2">
        <v>42091.67</v>
      </c>
      <c r="C4877" s="3" t="s">
        <v>5010</v>
      </c>
      <c r="D4877" t="s">
        <v>5014</v>
      </c>
      <c r="E4877" t="s">
        <v>5019</v>
      </c>
      <c r="F4877" t="s">
        <v>5019</v>
      </c>
      <c r="G4877" t="s">
        <v>5022</v>
      </c>
      <c r="H4877" s="5" t="s">
        <v>5022</v>
      </c>
      <c r="I4877" t="s">
        <v>5022</v>
      </c>
      <c r="J4877" t="b">
        <f>AND(CCData[[#This Row],[Date]]&gt;=Calculation!$E$3,CCData[[#This Row],[Date]]&lt;Calculation!$E$3+7)</f>
        <v>1</v>
      </c>
    </row>
    <row r="4878" spans="1:10">
      <c r="A4878" t="s">
        <v>4877</v>
      </c>
      <c r="B4878" s="2">
        <v>42091.707000000002</v>
      </c>
      <c r="C4878" s="3" t="s">
        <v>5004</v>
      </c>
      <c r="D4878" t="s">
        <v>5014</v>
      </c>
      <c r="E4878" t="s">
        <v>5018</v>
      </c>
      <c r="F4878" t="s">
        <v>5018</v>
      </c>
      <c r="G4878">
        <v>119</v>
      </c>
      <c r="H4878" s="5">
        <v>3.5161494122363602E-3</v>
      </c>
      <c r="I4878">
        <v>1</v>
      </c>
      <c r="J4878" t="b">
        <f>AND(CCData[[#This Row],[Date]]&gt;=Calculation!$E$3,CCData[[#This Row],[Date]]&lt;Calculation!$E$3+7)</f>
        <v>1</v>
      </c>
    </row>
    <row r="4879" spans="1:10">
      <c r="A4879" t="s">
        <v>4878</v>
      </c>
      <c r="B4879" s="2">
        <v>42091.707000000002</v>
      </c>
      <c r="C4879" s="3" t="s">
        <v>5005</v>
      </c>
      <c r="D4879" t="s">
        <v>5012</v>
      </c>
      <c r="E4879" t="s">
        <v>5018</v>
      </c>
      <c r="F4879" t="s">
        <v>5018</v>
      </c>
      <c r="G4879">
        <v>18</v>
      </c>
      <c r="H4879" s="5">
        <v>3.0882499120328494E-3</v>
      </c>
      <c r="I4879">
        <v>4</v>
      </c>
      <c r="J4879" t="b">
        <f>AND(CCData[[#This Row],[Date]]&gt;=Calculation!$E$3,CCData[[#This Row],[Date]]&lt;Calculation!$E$3+7)</f>
        <v>1</v>
      </c>
    </row>
    <row r="4880" spans="1:10">
      <c r="A4880" t="s">
        <v>4879</v>
      </c>
      <c r="B4880" s="2">
        <v>42091.712</v>
      </c>
      <c r="C4880" s="3" t="s">
        <v>5003</v>
      </c>
      <c r="D4880" t="s">
        <v>5014</v>
      </c>
      <c r="E4880" t="s">
        <v>5018</v>
      </c>
      <c r="F4880" t="s">
        <v>5018</v>
      </c>
      <c r="G4880">
        <v>24</v>
      </c>
      <c r="H4880" s="5">
        <v>5.8964173740211465E-4</v>
      </c>
      <c r="I4880">
        <v>3</v>
      </c>
      <c r="J4880" t="b">
        <f>AND(CCData[[#This Row],[Date]]&gt;=Calculation!$E$3,CCData[[#This Row],[Date]]&lt;Calculation!$E$3+7)</f>
        <v>1</v>
      </c>
    </row>
    <row r="4881" spans="1:10">
      <c r="A4881" t="s">
        <v>4880</v>
      </c>
      <c r="B4881" s="2">
        <v>42091.712</v>
      </c>
      <c r="C4881" s="3" t="s">
        <v>5008</v>
      </c>
      <c r="D4881" t="s">
        <v>5012</v>
      </c>
      <c r="E4881" t="s">
        <v>5018</v>
      </c>
      <c r="F4881" t="s">
        <v>5018</v>
      </c>
      <c r="G4881">
        <v>70</v>
      </c>
      <c r="H4881" s="5">
        <v>2.2974107869771182E-3</v>
      </c>
      <c r="I4881">
        <v>3</v>
      </c>
      <c r="J4881" t="b">
        <f>AND(CCData[[#This Row],[Date]]&gt;=Calculation!$E$3,CCData[[#This Row],[Date]]&lt;Calculation!$E$3+7)</f>
        <v>1</v>
      </c>
    </row>
    <row r="4882" spans="1:10">
      <c r="A4882" t="s">
        <v>4881</v>
      </c>
      <c r="B4882" s="2">
        <v>42091.714999999997</v>
      </c>
      <c r="C4882" s="3" t="s">
        <v>5006</v>
      </c>
      <c r="D4882" t="s">
        <v>5015</v>
      </c>
      <c r="E4882" t="s">
        <v>5019</v>
      </c>
      <c r="F4882" t="s">
        <v>5019</v>
      </c>
      <c r="G4882" t="s">
        <v>5022</v>
      </c>
      <c r="H4882" s="5" t="s">
        <v>5022</v>
      </c>
      <c r="I4882" t="s">
        <v>5022</v>
      </c>
      <c r="J4882" t="b">
        <f>AND(CCData[[#This Row],[Date]]&gt;=Calculation!$E$3,CCData[[#This Row],[Date]]&lt;Calculation!$E$3+7)</f>
        <v>1</v>
      </c>
    </row>
    <row r="4883" spans="1:10">
      <c r="A4883" t="s">
        <v>4882</v>
      </c>
      <c r="B4883" s="2">
        <v>42091.714999999997</v>
      </c>
      <c r="C4883" s="3" t="s">
        <v>5006</v>
      </c>
      <c r="D4883" t="s">
        <v>5016</v>
      </c>
      <c r="E4883" t="s">
        <v>5018</v>
      </c>
      <c r="F4883" t="s">
        <v>5018</v>
      </c>
      <c r="G4883">
        <v>120</v>
      </c>
      <c r="H4883" s="5">
        <v>4.3652362846365719E-3</v>
      </c>
      <c r="I4883">
        <v>2</v>
      </c>
      <c r="J4883" t="b">
        <f>AND(CCData[[#This Row],[Date]]&gt;=Calculation!$E$3,CCData[[#This Row],[Date]]&lt;Calculation!$E$3+7)</f>
        <v>1</v>
      </c>
    </row>
    <row r="4884" spans="1:10">
      <c r="A4884" t="s">
        <v>4883</v>
      </c>
      <c r="B4884" s="2">
        <v>42091.722000000002</v>
      </c>
      <c r="C4884" s="3" t="s">
        <v>5007</v>
      </c>
      <c r="D4884" t="s">
        <v>5013</v>
      </c>
      <c r="E4884" t="s">
        <v>5018</v>
      </c>
      <c r="F4884" t="s">
        <v>5018</v>
      </c>
      <c r="G4884">
        <v>46</v>
      </c>
      <c r="H4884" s="5">
        <v>2.8777860592355733E-3</v>
      </c>
      <c r="I4884">
        <v>3</v>
      </c>
      <c r="J4884" t="b">
        <f>AND(CCData[[#This Row],[Date]]&gt;=Calculation!$E$3,CCData[[#This Row],[Date]]&lt;Calculation!$E$3+7)</f>
        <v>1</v>
      </c>
    </row>
    <row r="4885" spans="1:10">
      <c r="A4885" t="s">
        <v>4884</v>
      </c>
      <c r="B4885" s="2">
        <v>42091.722000000002</v>
      </c>
      <c r="C4885" s="3" t="s">
        <v>5006</v>
      </c>
      <c r="D4885" t="s">
        <v>5014</v>
      </c>
      <c r="E4885" t="s">
        <v>5018</v>
      </c>
      <c r="F4885" t="s">
        <v>5018</v>
      </c>
      <c r="G4885">
        <v>10</v>
      </c>
      <c r="H4885" s="5">
        <v>1.7625869583610112E-3</v>
      </c>
      <c r="I4885">
        <v>2</v>
      </c>
      <c r="J4885" t="b">
        <f>AND(CCData[[#This Row],[Date]]&gt;=Calculation!$E$3,CCData[[#This Row],[Date]]&lt;Calculation!$E$3+7)</f>
        <v>1</v>
      </c>
    </row>
    <row r="4886" spans="1:10">
      <c r="A4886" t="s">
        <v>4885</v>
      </c>
      <c r="B4886" s="2">
        <v>42091.745000000003</v>
      </c>
      <c r="C4886" s="3" t="s">
        <v>5010</v>
      </c>
      <c r="D4886" t="s">
        <v>5012</v>
      </c>
      <c r="E4886" t="s">
        <v>5018</v>
      </c>
      <c r="F4886" t="s">
        <v>5018</v>
      </c>
      <c r="G4886">
        <v>32</v>
      </c>
      <c r="H4886" s="5">
        <v>5.4745351064668427E-4</v>
      </c>
      <c r="I4886">
        <v>3</v>
      </c>
      <c r="J4886" t="b">
        <f>AND(CCData[[#This Row],[Date]]&gt;=Calculation!$E$3,CCData[[#This Row],[Date]]&lt;Calculation!$E$3+7)</f>
        <v>1</v>
      </c>
    </row>
    <row r="4887" spans="1:10">
      <c r="A4887" t="s">
        <v>4886</v>
      </c>
      <c r="B4887" s="2">
        <v>42091.745000000003</v>
      </c>
      <c r="C4887" s="3" t="s">
        <v>5005</v>
      </c>
      <c r="D4887" t="s">
        <v>5016</v>
      </c>
      <c r="E4887" t="s">
        <v>5018</v>
      </c>
      <c r="F4887" t="s">
        <v>5018</v>
      </c>
      <c r="G4887">
        <v>16</v>
      </c>
      <c r="H4887" s="5">
        <v>9.551083157580474E-4</v>
      </c>
      <c r="I4887">
        <v>4</v>
      </c>
      <c r="J4887" t="b">
        <f>AND(CCData[[#This Row],[Date]]&gt;=Calculation!$E$3,CCData[[#This Row],[Date]]&lt;Calculation!$E$3+7)</f>
        <v>1</v>
      </c>
    </row>
    <row r="4888" spans="1:10">
      <c r="A4888" t="s">
        <v>4887</v>
      </c>
      <c r="B4888" s="2">
        <v>42091.749000000003</v>
      </c>
      <c r="C4888" s="3" t="s">
        <v>5008</v>
      </c>
      <c r="D4888" t="s">
        <v>5014</v>
      </c>
      <c r="E4888" t="s">
        <v>5018</v>
      </c>
      <c r="F4888" t="s">
        <v>5018</v>
      </c>
      <c r="G4888">
        <v>64</v>
      </c>
      <c r="H4888" s="5">
        <v>2.9592078291378189E-3</v>
      </c>
      <c r="I4888">
        <v>3</v>
      </c>
      <c r="J4888" t="b">
        <f>AND(CCData[[#This Row],[Date]]&gt;=Calculation!$E$3,CCData[[#This Row],[Date]]&lt;Calculation!$E$3+7)</f>
        <v>1</v>
      </c>
    </row>
    <row r="4889" spans="1:10">
      <c r="A4889" t="s">
        <v>4888</v>
      </c>
      <c r="B4889" s="2">
        <v>42091.749000000003</v>
      </c>
      <c r="C4889" s="3" t="s">
        <v>5003</v>
      </c>
      <c r="D4889" t="s">
        <v>5012</v>
      </c>
      <c r="E4889" t="s">
        <v>5018</v>
      </c>
      <c r="F4889" t="s">
        <v>5018</v>
      </c>
      <c r="G4889">
        <v>103</v>
      </c>
      <c r="H4889" s="5">
        <v>4.5363940274698398E-3</v>
      </c>
      <c r="I4889">
        <v>5</v>
      </c>
      <c r="J4889" t="b">
        <f>AND(CCData[[#This Row],[Date]]&gt;=Calculation!$E$3,CCData[[#This Row],[Date]]&lt;Calculation!$E$3+7)</f>
        <v>1</v>
      </c>
    </row>
    <row r="4890" spans="1:10">
      <c r="A4890" t="s">
        <v>4889</v>
      </c>
      <c r="B4890" s="2">
        <v>42092.383000000002</v>
      </c>
      <c r="C4890" s="3" t="s">
        <v>5009</v>
      </c>
      <c r="D4890" t="s">
        <v>5015</v>
      </c>
      <c r="E4890" t="s">
        <v>5018</v>
      </c>
      <c r="F4890" t="s">
        <v>5018</v>
      </c>
      <c r="G4890">
        <v>109</v>
      </c>
      <c r="H4890" s="5">
        <v>4.4076023296478724E-3</v>
      </c>
      <c r="I4890">
        <v>5</v>
      </c>
      <c r="J4890" t="b">
        <f>AND(CCData[[#This Row],[Date]]&gt;=Calculation!$E$3,CCData[[#This Row],[Date]]&lt;Calculation!$E$3+7)</f>
        <v>1</v>
      </c>
    </row>
    <row r="4891" spans="1:10">
      <c r="A4891" t="s">
        <v>4890</v>
      </c>
      <c r="B4891" s="2">
        <v>42092.383000000002</v>
      </c>
      <c r="C4891" s="3" t="s">
        <v>5009</v>
      </c>
      <c r="D4891" t="s">
        <v>5013</v>
      </c>
      <c r="E4891" t="s">
        <v>5018</v>
      </c>
      <c r="F4891" t="s">
        <v>5018</v>
      </c>
      <c r="G4891">
        <v>61</v>
      </c>
      <c r="H4891" s="5">
        <v>1.8777454912059059E-3</v>
      </c>
      <c r="I4891">
        <v>5</v>
      </c>
      <c r="J4891" t="b">
        <f>AND(CCData[[#This Row],[Date]]&gt;=Calculation!$E$3,CCData[[#This Row],[Date]]&lt;Calculation!$E$3+7)</f>
        <v>1</v>
      </c>
    </row>
    <row r="4892" spans="1:10">
      <c r="A4892" t="s">
        <v>4891</v>
      </c>
      <c r="B4892" s="2">
        <v>42092.41</v>
      </c>
      <c r="C4892" s="3" t="s">
        <v>5009</v>
      </c>
      <c r="D4892" t="s">
        <v>5016</v>
      </c>
      <c r="E4892" t="s">
        <v>5019</v>
      </c>
      <c r="F4892" t="s">
        <v>5019</v>
      </c>
      <c r="G4892" t="s">
        <v>5022</v>
      </c>
      <c r="H4892" s="5" t="s">
        <v>5022</v>
      </c>
      <c r="I4892" t="s">
        <v>5022</v>
      </c>
      <c r="J4892" t="b">
        <f>AND(CCData[[#This Row],[Date]]&gt;=Calculation!$E$3,CCData[[#This Row],[Date]]&lt;Calculation!$E$3+7)</f>
        <v>1</v>
      </c>
    </row>
    <row r="4893" spans="1:10">
      <c r="A4893" t="s">
        <v>4892</v>
      </c>
      <c r="B4893" s="2">
        <v>42092.41</v>
      </c>
      <c r="C4893" s="3" t="s">
        <v>5008</v>
      </c>
      <c r="D4893" t="s">
        <v>5014</v>
      </c>
      <c r="E4893" t="s">
        <v>5018</v>
      </c>
      <c r="F4893" t="s">
        <v>5018</v>
      </c>
      <c r="G4893">
        <v>23</v>
      </c>
      <c r="H4893" s="5">
        <v>2.2269682622801201E-3</v>
      </c>
      <c r="I4893">
        <v>5</v>
      </c>
      <c r="J4893" t="b">
        <f>AND(CCData[[#This Row],[Date]]&gt;=Calculation!$E$3,CCData[[#This Row],[Date]]&lt;Calculation!$E$3+7)</f>
        <v>1</v>
      </c>
    </row>
    <row r="4894" spans="1:10">
      <c r="A4894" t="s">
        <v>4893</v>
      </c>
      <c r="B4894" s="2">
        <v>42092.42</v>
      </c>
      <c r="C4894" s="3" t="s">
        <v>5003</v>
      </c>
      <c r="D4894" t="s">
        <v>5012</v>
      </c>
      <c r="E4894" t="s">
        <v>5018</v>
      </c>
      <c r="F4894" t="s">
        <v>5018</v>
      </c>
      <c r="G4894">
        <v>63</v>
      </c>
      <c r="H4894" s="5">
        <v>2.1067795446922701E-3</v>
      </c>
      <c r="I4894">
        <v>4</v>
      </c>
      <c r="J4894" t="b">
        <f>AND(CCData[[#This Row],[Date]]&gt;=Calculation!$E$3,CCData[[#This Row],[Date]]&lt;Calculation!$E$3+7)</f>
        <v>1</v>
      </c>
    </row>
    <row r="4895" spans="1:10">
      <c r="A4895" t="s">
        <v>4894</v>
      </c>
      <c r="B4895" s="2">
        <v>42092.42</v>
      </c>
      <c r="C4895" s="3" t="s">
        <v>5003</v>
      </c>
      <c r="D4895" t="s">
        <v>5012</v>
      </c>
      <c r="E4895" t="s">
        <v>5018</v>
      </c>
      <c r="F4895" t="s">
        <v>5018</v>
      </c>
      <c r="G4895">
        <v>117</v>
      </c>
      <c r="H4895" s="5">
        <v>4.2391100930743797E-3</v>
      </c>
      <c r="I4895">
        <v>5</v>
      </c>
      <c r="J4895" t="b">
        <f>AND(CCData[[#This Row],[Date]]&gt;=Calculation!$E$3,CCData[[#This Row],[Date]]&lt;Calculation!$E$3+7)</f>
        <v>1</v>
      </c>
    </row>
    <row r="4896" spans="1:10">
      <c r="A4896" t="s">
        <v>4895</v>
      </c>
      <c r="B4896" s="2">
        <v>42092.444000000003</v>
      </c>
      <c r="C4896" s="3" t="s">
        <v>5005</v>
      </c>
      <c r="D4896" t="s">
        <v>5013</v>
      </c>
      <c r="E4896" t="s">
        <v>5018</v>
      </c>
      <c r="F4896" t="s">
        <v>5018</v>
      </c>
      <c r="G4896">
        <v>122</v>
      </c>
      <c r="H4896" s="5">
        <v>3.9418391774088419E-3</v>
      </c>
      <c r="I4896">
        <v>1</v>
      </c>
      <c r="J4896" t="b">
        <f>AND(CCData[[#This Row],[Date]]&gt;=Calculation!$E$3,CCData[[#This Row],[Date]]&lt;Calculation!$E$3+7)</f>
        <v>1</v>
      </c>
    </row>
    <row r="4897" spans="1:10">
      <c r="A4897" t="s">
        <v>4896</v>
      </c>
      <c r="B4897" s="2">
        <v>42092.444000000003</v>
      </c>
      <c r="C4897" s="3" t="s">
        <v>5009</v>
      </c>
      <c r="D4897" t="s">
        <v>5013</v>
      </c>
      <c r="E4897" t="s">
        <v>5019</v>
      </c>
      <c r="F4897" t="s">
        <v>5019</v>
      </c>
      <c r="G4897" t="s">
        <v>5022</v>
      </c>
      <c r="H4897" s="5" t="s">
        <v>5022</v>
      </c>
      <c r="I4897" t="s">
        <v>5022</v>
      </c>
      <c r="J4897" t="b">
        <f>AND(CCData[[#This Row],[Date]]&gt;=Calculation!$E$3,CCData[[#This Row],[Date]]&lt;Calculation!$E$3+7)</f>
        <v>1</v>
      </c>
    </row>
    <row r="4898" spans="1:10">
      <c r="A4898" t="s">
        <v>4897</v>
      </c>
      <c r="B4898" s="2">
        <v>42092.447999999997</v>
      </c>
      <c r="C4898" s="3" t="s">
        <v>5004</v>
      </c>
      <c r="D4898" t="s">
        <v>5015</v>
      </c>
      <c r="E4898" t="s">
        <v>5018</v>
      </c>
      <c r="F4898" t="s">
        <v>5018</v>
      </c>
      <c r="G4898">
        <v>77</v>
      </c>
      <c r="H4898" s="5">
        <v>1.0527718251932792E-3</v>
      </c>
      <c r="I4898">
        <v>4</v>
      </c>
      <c r="J4898" t="b">
        <f>AND(CCData[[#This Row],[Date]]&gt;=Calculation!$E$3,CCData[[#This Row],[Date]]&lt;Calculation!$E$3+7)</f>
        <v>1</v>
      </c>
    </row>
    <row r="4899" spans="1:10">
      <c r="A4899" t="s">
        <v>4898</v>
      </c>
      <c r="B4899" s="2">
        <v>42092.447999999997</v>
      </c>
      <c r="C4899" s="3" t="s">
        <v>5003</v>
      </c>
      <c r="D4899" t="s">
        <v>5012</v>
      </c>
      <c r="E4899" t="s">
        <v>5018</v>
      </c>
      <c r="F4899" t="s">
        <v>5018</v>
      </c>
      <c r="G4899">
        <v>93</v>
      </c>
      <c r="H4899" s="5">
        <v>3.3625273262063464E-3</v>
      </c>
      <c r="I4899">
        <v>2</v>
      </c>
      <c r="J4899" t="b">
        <f>AND(CCData[[#This Row],[Date]]&gt;=Calculation!$E$3,CCData[[#This Row],[Date]]&lt;Calculation!$E$3+7)</f>
        <v>1</v>
      </c>
    </row>
    <row r="4900" spans="1:10">
      <c r="A4900" t="s">
        <v>4899</v>
      </c>
      <c r="B4900" s="2">
        <v>42092.451000000001</v>
      </c>
      <c r="C4900" s="3" t="s">
        <v>5005</v>
      </c>
      <c r="D4900" t="s">
        <v>5013</v>
      </c>
      <c r="E4900" t="s">
        <v>5018</v>
      </c>
      <c r="F4900" t="s">
        <v>5018</v>
      </c>
      <c r="G4900">
        <v>53</v>
      </c>
      <c r="H4900" s="5">
        <v>3.8651823233307263E-3</v>
      </c>
      <c r="I4900">
        <v>2</v>
      </c>
      <c r="J4900" t="b">
        <f>AND(CCData[[#This Row],[Date]]&gt;=Calculation!$E$3,CCData[[#This Row],[Date]]&lt;Calculation!$E$3+7)</f>
        <v>1</v>
      </c>
    </row>
    <row r="4901" spans="1:10">
      <c r="A4901" t="s">
        <v>4900</v>
      </c>
      <c r="B4901" s="2">
        <v>42092.451000000001</v>
      </c>
      <c r="C4901" s="3" t="s">
        <v>5006</v>
      </c>
      <c r="D4901" t="s">
        <v>5013</v>
      </c>
      <c r="E4901" t="s">
        <v>5019</v>
      </c>
      <c r="F4901" t="s">
        <v>5019</v>
      </c>
      <c r="G4901" t="s">
        <v>5022</v>
      </c>
      <c r="H4901" s="5" t="s">
        <v>5022</v>
      </c>
      <c r="I4901" t="s">
        <v>5022</v>
      </c>
      <c r="J4901" t="b">
        <f>AND(CCData[[#This Row],[Date]]&gt;=Calculation!$E$3,CCData[[#This Row],[Date]]&lt;Calculation!$E$3+7)</f>
        <v>1</v>
      </c>
    </row>
    <row r="4902" spans="1:10">
      <c r="A4902" t="s">
        <v>4901</v>
      </c>
      <c r="B4902" s="2">
        <v>42092.462</v>
      </c>
      <c r="C4902" s="3" t="s">
        <v>5009</v>
      </c>
      <c r="D4902" t="s">
        <v>5013</v>
      </c>
      <c r="E4902" t="s">
        <v>5018</v>
      </c>
      <c r="F4902" t="s">
        <v>5018</v>
      </c>
      <c r="G4902">
        <v>27</v>
      </c>
      <c r="H4902" s="5">
        <v>4.8550625484914999E-3</v>
      </c>
      <c r="I4902">
        <v>2</v>
      </c>
      <c r="J4902" t="b">
        <f>AND(CCData[[#This Row],[Date]]&gt;=Calculation!$E$3,CCData[[#This Row],[Date]]&lt;Calculation!$E$3+7)</f>
        <v>1</v>
      </c>
    </row>
    <row r="4903" spans="1:10">
      <c r="A4903" t="s">
        <v>4902</v>
      </c>
      <c r="B4903" s="2">
        <v>42092.462</v>
      </c>
      <c r="C4903" s="3" t="s">
        <v>5009</v>
      </c>
      <c r="D4903" t="s">
        <v>5014</v>
      </c>
      <c r="E4903" t="s">
        <v>5018</v>
      </c>
      <c r="F4903" t="s">
        <v>5018</v>
      </c>
      <c r="G4903">
        <v>111</v>
      </c>
      <c r="H4903" s="5">
        <v>7.3181206601554717E-4</v>
      </c>
      <c r="I4903">
        <v>5</v>
      </c>
      <c r="J4903" t="b">
        <f>AND(CCData[[#This Row],[Date]]&gt;=Calculation!$E$3,CCData[[#This Row],[Date]]&lt;Calculation!$E$3+7)</f>
        <v>1</v>
      </c>
    </row>
    <row r="4904" spans="1:10">
      <c r="A4904" t="s">
        <v>4903</v>
      </c>
      <c r="B4904" s="2">
        <v>42092.466999999997</v>
      </c>
      <c r="C4904" s="3" t="s">
        <v>5005</v>
      </c>
      <c r="D4904" t="s">
        <v>5014</v>
      </c>
      <c r="E4904" t="s">
        <v>5018</v>
      </c>
      <c r="F4904" t="s">
        <v>5018</v>
      </c>
      <c r="G4904">
        <v>87</v>
      </c>
      <c r="H4904" s="5">
        <v>2.6722147060685999E-3</v>
      </c>
      <c r="I4904">
        <v>3</v>
      </c>
      <c r="J4904" t="b">
        <f>AND(CCData[[#This Row],[Date]]&gt;=Calculation!$E$3,CCData[[#This Row],[Date]]&lt;Calculation!$E$3+7)</f>
        <v>1</v>
      </c>
    </row>
    <row r="4905" spans="1:10">
      <c r="A4905" t="s">
        <v>4904</v>
      </c>
      <c r="B4905" s="2">
        <v>42092.466999999997</v>
      </c>
      <c r="C4905" s="3" t="s">
        <v>5009</v>
      </c>
      <c r="D4905" t="s">
        <v>5012</v>
      </c>
      <c r="E4905" t="s">
        <v>5018</v>
      </c>
      <c r="F4905" t="s">
        <v>5018</v>
      </c>
      <c r="G4905">
        <v>78</v>
      </c>
      <c r="H4905" s="5">
        <v>3.6192280662396389E-4</v>
      </c>
      <c r="I4905">
        <v>4</v>
      </c>
      <c r="J4905" t="b">
        <f>AND(CCData[[#This Row],[Date]]&gt;=Calculation!$E$3,CCData[[#This Row],[Date]]&lt;Calculation!$E$3+7)</f>
        <v>1</v>
      </c>
    </row>
    <row r="4906" spans="1:10">
      <c r="A4906" t="s">
        <v>4905</v>
      </c>
      <c r="B4906" s="2">
        <v>42092.482000000004</v>
      </c>
      <c r="C4906" s="3" t="s">
        <v>5006</v>
      </c>
      <c r="D4906" t="s">
        <v>5012</v>
      </c>
      <c r="E4906" t="s">
        <v>5018</v>
      </c>
      <c r="F4906" t="s">
        <v>5018</v>
      </c>
      <c r="G4906">
        <v>78</v>
      </c>
      <c r="H4906" s="5">
        <v>2.1423507554879928E-3</v>
      </c>
      <c r="I4906">
        <v>1</v>
      </c>
      <c r="J4906" t="b">
        <f>AND(CCData[[#This Row],[Date]]&gt;=Calculation!$E$3,CCData[[#This Row],[Date]]&lt;Calculation!$E$3+7)</f>
        <v>1</v>
      </c>
    </row>
    <row r="4907" spans="1:10">
      <c r="A4907" t="s">
        <v>4906</v>
      </c>
      <c r="B4907" s="2">
        <v>42092.482000000004</v>
      </c>
      <c r="C4907" s="3" t="s">
        <v>5009</v>
      </c>
      <c r="D4907" t="s">
        <v>5012</v>
      </c>
      <c r="E4907" t="s">
        <v>5018</v>
      </c>
      <c r="F4907" t="s">
        <v>5018</v>
      </c>
      <c r="G4907">
        <v>116</v>
      </c>
      <c r="H4907" s="5">
        <v>3.4164814692946724E-3</v>
      </c>
      <c r="I4907">
        <v>3</v>
      </c>
      <c r="J4907" t="b">
        <f>AND(CCData[[#This Row],[Date]]&gt;=Calculation!$E$3,CCData[[#This Row],[Date]]&lt;Calculation!$E$3+7)</f>
        <v>1</v>
      </c>
    </row>
    <row r="4908" spans="1:10">
      <c r="A4908" t="s">
        <v>4907</v>
      </c>
      <c r="B4908" s="2">
        <v>42092.495000000003</v>
      </c>
      <c r="C4908" s="3" t="s">
        <v>5005</v>
      </c>
      <c r="D4908" t="s">
        <v>5013</v>
      </c>
      <c r="E4908" t="s">
        <v>5018</v>
      </c>
      <c r="F4908" t="s">
        <v>5018</v>
      </c>
      <c r="G4908">
        <v>84</v>
      </c>
      <c r="H4908" s="5">
        <v>1.3045384553491233E-3</v>
      </c>
      <c r="I4908">
        <v>3</v>
      </c>
      <c r="J4908" t="b">
        <f>AND(CCData[[#This Row],[Date]]&gt;=Calculation!$E$3,CCData[[#This Row],[Date]]&lt;Calculation!$E$3+7)</f>
        <v>1</v>
      </c>
    </row>
    <row r="4909" spans="1:10">
      <c r="A4909" t="s">
        <v>4908</v>
      </c>
      <c r="B4909" s="2">
        <v>42092.495000000003</v>
      </c>
      <c r="C4909" s="3" t="s">
        <v>5004</v>
      </c>
      <c r="D4909" t="s">
        <v>5015</v>
      </c>
      <c r="E4909" t="s">
        <v>5018</v>
      </c>
      <c r="F4909" t="s">
        <v>5018</v>
      </c>
      <c r="G4909">
        <v>44</v>
      </c>
      <c r="H4909" s="5">
        <v>1.7749879464342346E-3</v>
      </c>
      <c r="I4909">
        <v>2</v>
      </c>
      <c r="J4909" t="b">
        <f>AND(CCData[[#This Row],[Date]]&gt;=Calculation!$E$3,CCData[[#This Row],[Date]]&lt;Calculation!$E$3+7)</f>
        <v>1</v>
      </c>
    </row>
    <row r="4910" spans="1:10">
      <c r="A4910" t="s">
        <v>4909</v>
      </c>
      <c r="B4910" s="2">
        <v>42092.5</v>
      </c>
      <c r="C4910" s="3" t="s">
        <v>5007</v>
      </c>
      <c r="D4910" t="s">
        <v>5012</v>
      </c>
      <c r="E4910" t="s">
        <v>5018</v>
      </c>
      <c r="F4910" t="s">
        <v>5019</v>
      </c>
      <c r="G4910">
        <v>121</v>
      </c>
      <c r="H4910" s="5">
        <v>3.8675445535636941E-3</v>
      </c>
      <c r="I4910">
        <v>3</v>
      </c>
      <c r="J4910" t="b">
        <f>AND(CCData[[#This Row],[Date]]&gt;=Calculation!$E$3,CCData[[#This Row],[Date]]&lt;Calculation!$E$3+7)</f>
        <v>1</v>
      </c>
    </row>
    <row r="4911" spans="1:10">
      <c r="A4911" t="s">
        <v>4910</v>
      </c>
      <c r="B4911" s="2">
        <v>42092.5</v>
      </c>
      <c r="C4911" s="3" t="s">
        <v>5007</v>
      </c>
      <c r="D4911" t="s">
        <v>5014</v>
      </c>
      <c r="E4911" t="s">
        <v>5018</v>
      </c>
      <c r="F4911" t="s">
        <v>5018</v>
      </c>
      <c r="G4911">
        <v>92</v>
      </c>
      <c r="H4911" s="5">
        <v>7.1398565939173738E-4</v>
      </c>
      <c r="I4911">
        <v>3</v>
      </c>
      <c r="J4911" t="b">
        <f>AND(CCData[[#This Row],[Date]]&gt;=Calculation!$E$3,CCData[[#This Row],[Date]]&lt;Calculation!$E$3+7)</f>
        <v>1</v>
      </c>
    </row>
    <row r="4912" spans="1:10">
      <c r="A4912" t="s">
        <v>4911</v>
      </c>
      <c r="B4912" s="2">
        <v>42092.540999999997</v>
      </c>
      <c r="C4912" s="3" t="s">
        <v>5005</v>
      </c>
      <c r="D4912" t="s">
        <v>5012</v>
      </c>
      <c r="E4912" t="s">
        <v>5018</v>
      </c>
      <c r="F4912" t="s">
        <v>5018</v>
      </c>
      <c r="G4912">
        <v>83</v>
      </c>
      <c r="H4912" s="5">
        <v>1.7966382887097741E-3</v>
      </c>
      <c r="I4912">
        <v>3</v>
      </c>
      <c r="J4912" t="b">
        <f>AND(CCData[[#This Row],[Date]]&gt;=Calculation!$E$3,CCData[[#This Row],[Date]]&lt;Calculation!$E$3+7)</f>
        <v>1</v>
      </c>
    </row>
    <row r="4913" spans="1:10">
      <c r="A4913" t="s">
        <v>4912</v>
      </c>
      <c r="B4913" s="2">
        <v>42092.540999999997</v>
      </c>
      <c r="C4913" s="3" t="s">
        <v>5005</v>
      </c>
      <c r="D4913" t="s">
        <v>5012</v>
      </c>
      <c r="E4913" t="s">
        <v>5018</v>
      </c>
      <c r="F4913" t="s">
        <v>5018</v>
      </c>
      <c r="G4913">
        <v>12</v>
      </c>
      <c r="H4913" s="5">
        <v>9.4918054186878291E-4</v>
      </c>
      <c r="I4913">
        <v>4</v>
      </c>
      <c r="J4913" t="b">
        <f>AND(CCData[[#This Row],[Date]]&gt;=Calculation!$E$3,CCData[[#This Row],[Date]]&lt;Calculation!$E$3+7)</f>
        <v>1</v>
      </c>
    </row>
    <row r="4914" spans="1:10">
      <c r="A4914" t="s">
        <v>4913</v>
      </c>
      <c r="B4914" s="2">
        <v>42092.542999999998</v>
      </c>
      <c r="C4914" s="3" t="s">
        <v>5010</v>
      </c>
      <c r="D4914" t="s">
        <v>5015</v>
      </c>
      <c r="E4914" t="s">
        <v>5018</v>
      </c>
      <c r="F4914" t="s">
        <v>5019</v>
      </c>
      <c r="G4914">
        <v>27</v>
      </c>
      <c r="H4914" s="5">
        <v>1.459610529835616E-3</v>
      </c>
      <c r="I4914">
        <v>3</v>
      </c>
      <c r="J4914" t="b">
        <f>AND(CCData[[#This Row],[Date]]&gt;=Calculation!$E$3,CCData[[#This Row],[Date]]&lt;Calculation!$E$3+7)</f>
        <v>1</v>
      </c>
    </row>
    <row r="4915" spans="1:10">
      <c r="A4915" t="s">
        <v>4914</v>
      </c>
      <c r="B4915" s="2">
        <v>42092.542999999998</v>
      </c>
      <c r="C4915" s="3" t="s">
        <v>5007</v>
      </c>
      <c r="D4915" t="s">
        <v>5016</v>
      </c>
      <c r="E4915" t="s">
        <v>5018</v>
      </c>
      <c r="F4915" t="s">
        <v>5018</v>
      </c>
      <c r="G4915">
        <v>56</v>
      </c>
      <c r="H4915" s="5">
        <v>1.3621412949864364E-3</v>
      </c>
      <c r="I4915">
        <v>3</v>
      </c>
      <c r="J4915" t="b">
        <f>AND(CCData[[#This Row],[Date]]&gt;=Calculation!$E$3,CCData[[#This Row],[Date]]&lt;Calculation!$E$3+7)</f>
        <v>1</v>
      </c>
    </row>
    <row r="4916" spans="1:10">
      <c r="A4916" t="s">
        <v>4915</v>
      </c>
      <c r="B4916" s="2">
        <v>42092.563000000002</v>
      </c>
      <c r="C4916" s="3" t="s">
        <v>5005</v>
      </c>
      <c r="D4916" t="s">
        <v>5016</v>
      </c>
      <c r="E4916" t="s">
        <v>5018</v>
      </c>
      <c r="F4916" t="s">
        <v>5018</v>
      </c>
      <c r="G4916">
        <v>45</v>
      </c>
      <c r="H4916" s="5">
        <v>4.6645535399895428E-3</v>
      </c>
      <c r="I4916">
        <v>4</v>
      </c>
      <c r="J4916" t="b">
        <f>AND(CCData[[#This Row],[Date]]&gt;=Calculation!$E$3,CCData[[#This Row],[Date]]&lt;Calculation!$E$3+7)</f>
        <v>1</v>
      </c>
    </row>
    <row r="4917" spans="1:10">
      <c r="A4917" t="s">
        <v>4916</v>
      </c>
      <c r="B4917" s="2">
        <v>42092.563000000002</v>
      </c>
      <c r="C4917" s="3" t="s">
        <v>5004</v>
      </c>
      <c r="D4917" t="s">
        <v>5016</v>
      </c>
      <c r="E4917" t="s">
        <v>5019</v>
      </c>
      <c r="F4917" t="s">
        <v>5019</v>
      </c>
      <c r="G4917" t="s">
        <v>5022</v>
      </c>
      <c r="H4917" s="5" t="s">
        <v>5022</v>
      </c>
      <c r="I4917" t="s">
        <v>5022</v>
      </c>
      <c r="J4917" t="b">
        <f>AND(CCData[[#This Row],[Date]]&gt;=Calculation!$E$3,CCData[[#This Row],[Date]]&lt;Calculation!$E$3+7)</f>
        <v>1</v>
      </c>
    </row>
    <row r="4918" spans="1:10">
      <c r="A4918" t="s">
        <v>4917</v>
      </c>
      <c r="B4918" s="2">
        <v>42092.572999999997</v>
      </c>
      <c r="C4918" s="3" t="s">
        <v>5004</v>
      </c>
      <c r="D4918" t="s">
        <v>5013</v>
      </c>
      <c r="E4918" t="s">
        <v>5019</v>
      </c>
      <c r="F4918" t="s">
        <v>5019</v>
      </c>
      <c r="G4918" t="s">
        <v>5022</v>
      </c>
      <c r="H4918" s="5" t="s">
        <v>5022</v>
      </c>
      <c r="I4918" t="s">
        <v>5022</v>
      </c>
      <c r="J4918" t="b">
        <f>AND(CCData[[#This Row],[Date]]&gt;=Calculation!$E$3,CCData[[#This Row],[Date]]&lt;Calculation!$E$3+7)</f>
        <v>1</v>
      </c>
    </row>
    <row r="4919" spans="1:10">
      <c r="A4919" t="s">
        <v>4918</v>
      </c>
      <c r="B4919" s="2">
        <v>42092.572999999997</v>
      </c>
      <c r="C4919" s="3" t="s">
        <v>5004</v>
      </c>
      <c r="D4919" t="s">
        <v>5015</v>
      </c>
      <c r="E4919" t="s">
        <v>5018</v>
      </c>
      <c r="F4919" t="s">
        <v>5018</v>
      </c>
      <c r="G4919">
        <v>91</v>
      </c>
      <c r="H4919" s="5">
        <v>3.5247222843397827E-4</v>
      </c>
      <c r="I4919">
        <v>4</v>
      </c>
      <c r="J4919" t="b">
        <f>AND(CCData[[#This Row],[Date]]&gt;=Calculation!$E$3,CCData[[#This Row],[Date]]&lt;Calculation!$E$3+7)</f>
        <v>1</v>
      </c>
    </row>
    <row r="4920" spans="1:10">
      <c r="A4920" t="s">
        <v>4919</v>
      </c>
      <c r="B4920" s="2">
        <v>42092.582999999999</v>
      </c>
      <c r="C4920" s="3" t="s">
        <v>5008</v>
      </c>
      <c r="D4920" t="s">
        <v>5013</v>
      </c>
      <c r="E4920" t="s">
        <v>5018</v>
      </c>
      <c r="F4920" t="s">
        <v>5018</v>
      </c>
      <c r="G4920">
        <v>84</v>
      </c>
      <c r="H4920" s="5">
        <v>1.8262449190265062E-3</v>
      </c>
      <c r="I4920">
        <v>1</v>
      </c>
      <c r="J4920" t="b">
        <f>AND(CCData[[#This Row],[Date]]&gt;=Calculation!$E$3,CCData[[#This Row],[Date]]&lt;Calculation!$E$3+7)</f>
        <v>1</v>
      </c>
    </row>
    <row r="4921" spans="1:10">
      <c r="A4921" t="s">
        <v>4920</v>
      </c>
      <c r="B4921" s="2">
        <v>42092.582999999999</v>
      </c>
      <c r="C4921" s="3" t="s">
        <v>5008</v>
      </c>
      <c r="D4921" t="s">
        <v>5014</v>
      </c>
      <c r="E4921" t="s">
        <v>5018</v>
      </c>
      <c r="F4921" t="s">
        <v>5018</v>
      </c>
      <c r="G4921">
        <v>15</v>
      </c>
      <c r="H4921" s="5">
        <v>1.9285097960239079E-3</v>
      </c>
      <c r="I4921">
        <v>1</v>
      </c>
      <c r="J4921" t="b">
        <f>AND(CCData[[#This Row],[Date]]&gt;=Calculation!$E$3,CCData[[#This Row],[Date]]&lt;Calculation!$E$3+7)</f>
        <v>1</v>
      </c>
    </row>
    <row r="4922" spans="1:10">
      <c r="A4922" t="s">
        <v>4921</v>
      </c>
      <c r="B4922" s="2">
        <v>42092.612999999998</v>
      </c>
      <c r="C4922" s="3" t="s">
        <v>5008</v>
      </c>
      <c r="D4922" t="s">
        <v>5013</v>
      </c>
      <c r="E4922" t="s">
        <v>5018</v>
      </c>
      <c r="F4922" t="s">
        <v>5018</v>
      </c>
      <c r="G4922">
        <v>31</v>
      </c>
      <c r="H4922" s="5">
        <v>4.010542968805304E-3</v>
      </c>
      <c r="I4922">
        <v>5</v>
      </c>
      <c r="J4922" t="b">
        <f>AND(CCData[[#This Row],[Date]]&gt;=Calculation!$E$3,CCData[[#This Row],[Date]]&lt;Calculation!$E$3+7)</f>
        <v>1</v>
      </c>
    </row>
    <row r="4923" spans="1:10">
      <c r="A4923" t="s">
        <v>4922</v>
      </c>
      <c r="B4923" s="2">
        <v>42092.612999999998</v>
      </c>
      <c r="C4923" s="3" t="s">
        <v>5007</v>
      </c>
      <c r="D4923" t="s">
        <v>5013</v>
      </c>
      <c r="E4923" t="s">
        <v>5018</v>
      </c>
      <c r="F4923" t="s">
        <v>5018</v>
      </c>
      <c r="G4923">
        <v>100</v>
      </c>
      <c r="H4923" s="5">
        <v>3.790638082481923E-3</v>
      </c>
      <c r="I4923">
        <v>4</v>
      </c>
      <c r="J4923" t="b">
        <f>AND(CCData[[#This Row],[Date]]&gt;=Calculation!$E$3,CCData[[#This Row],[Date]]&lt;Calculation!$E$3+7)</f>
        <v>1</v>
      </c>
    </row>
    <row r="4924" spans="1:10">
      <c r="A4924" t="s">
        <v>4923</v>
      </c>
      <c r="B4924" s="2">
        <v>42092.62</v>
      </c>
      <c r="C4924" s="3" t="s">
        <v>5007</v>
      </c>
      <c r="D4924" t="s">
        <v>5015</v>
      </c>
      <c r="E4924" t="s">
        <v>5018</v>
      </c>
      <c r="F4924" t="s">
        <v>5018</v>
      </c>
      <c r="G4924">
        <v>75</v>
      </c>
      <c r="H4924" s="5">
        <v>2.4802154290738936E-3</v>
      </c>
      <c r="I4924">
        <v>3</v>
      </c>
      <c r="J4924" t="b">
        <f>AND(CCData[[#This Row],[Date]]&gt;=Calculation!$E$3,CCData[[#This Row],[Date]]&lt;Calculation!$E$3+7)</f>
        <v>1</v>
      </c>
    </row>
    <row r="4925" spans="1:10">
      <c r="A4925" t="s">
        <v>4924</v>
      </c>
      <c r="B4925" s="2">
        <v>42092.62</v>
      </c>
      <c r="C4925" s="3" t="s">
        <v>5004</v>
      </c>
      <c r="D4925" t="s">
        <v>5012</v>
      </c>
      <c r="E4925" t="s">
        <v>5019</v>
      </c>
      <c r="F4925" t="s">
        <v>5019</v>
      </c>
      <c r="G4925" t="s">
        <v>5022</v>
      </c>
      <c r="H4925" s="5" t="s">
        <v>5022</v>
      </c>
      <c r="I4925" t="s">
        <v>5022</v>
      </c>
      <c r="J4925" t="b">
        <f>AND(CCData[[#This Row],[Date]]&gt;=Calculation!$E$3,CCData[[#This Row],[Date]]&lt;Calculation!$E$3+7)</f>
        <v>1</v>
      </c>
    </row>
    <row r="4926" spans="1:10">
      <c r="A4926" t="s">
        <v>4925</v>
      </c>
      <c r="B4926" s="2">
        <v>42092.624000000003</v>
      </c>
      <c r="C4926" s="3" t="s">
        <v>5004</v>
      </c>
      <c r="D4926" t="s">
        <v>5015</v>
      </c>
      <c r="E4926" t="s">
        <v>5018</v>
      </c>
      <c r="F4926" t="s">
        <v>5018</v>
      </c>
      <c r="G4926">
        <v>47</v>
      </c>
      <c r="H4926" s="5">
        <v>2.8954559397152244E-3</v>
      </c>
      <c r="I4926">
        <v>5</v>
      </c>
      <c r="J4926" t="b">
        <f>AND(CCData[[#This Row],[Date]]&gt;=Calculation!$E$3,CCData[[#This Row],[Date]]&lt;Calculation!$E$3+7)</f>
        <v>1</v>
      </c>
    </row>
    <row r="4927" spans="1:10">
      <c r="A4927" t="s">
        <v>4926</v>
      </c>
      <c r="B4927" s="2">
        <v>42092.624000000003</v>
      </c>
      <c r="C4927" s="3" t="s">
        <v>5010</v>
      </c>
      <c r="D4927" t="s">
        <v>5016</v>
      </c>
      <c r="E4927" t="s">
        <v>5019</v>
      </c>
      <c r="F4927" t="s">
        <v>5019</v>
      </c>
      <c r="G4927" t="s">
        <v>5022</v>
      </c>
      <c r="H4927" s="5" t="s">
        <v>5022</v>
      </c>
      <c r="I4927" t="s">
        <v>5022</v>
      </c>
      <c r="J4927" t="b">
        <f>AND(CCData[[#This Row],[Date]]&gt;=Calculation!$E$3,CCData[[#This Row],[Date]]&lt;Calculation!$E$3+7)</f>
        <v>1</v>
      </c>
    </row>
    <row r="4928" spans="1:10">
      <c r="A4928" t="s">
        <v>4927</v>
      </c>
      <c r="B4928" s="2">
        <v>42092.627999999997</v>
      </c>
      <c r="C4928" s="3" t="s">
        <v>5010</v>
      </c>
      <c r="D4928" t="s">
        <v>5013</v>
      </c>
      <c r="E4928" t="s">
        <v>5018</v>
      </c>
      <c r="F4928" t="s">
        <v>5018</v>
      </c>
      <c r="G4928">
        <v>73</v>
      </c>
      <c r="H4928" s="5">
        <v>2.2552212247902792E-3</v>
      </c>
      <c r="I4928">
        <v>3</v>
      </c>
      <c r="J4928" t="b">
        <f>AND(CCData[[#This Row],[Date]]&gt;=Calculation!$E$3,CCData[[#This Row],[Date]]&lt;Calculation!$E$3+7)</f>
        <v>1</v>
      </c>
    </row>
    <row r="4929" spans="1:10">
      <c r="A4929" t="s">
        <v>4928</v>
      </c>
      <c r="B4929" s="2">
        <v>42092.627999999997</v>
      </c>
      <c r="C4929" s="3" t="s">
        <v>5007</v>
      </c>
      <c r="D4929" t="s">
        <v>5016</v>
      </c>
      <c r="E4929" t="s">
        <v>5018</v>
      </c>
      <c r="F4929" t="s">
        <v>5018</v>
      </c>
      <c r="G4929">
        <v>33</v>
      </c>
      <c r="H4929" s="5">
        <v>2.5596716803565544E-3</v>
      </c>
      <c r="I4929">
        <v>3</v>
      </c>
      <c r="J4929" t="b">
        <f>AND(CCData[[#This Row],[Date]]&gt;=Calculation!$E$3,CCData[[#This Row],[Date]]&lt;Calculation!$E$3+7)</f>
        <v>1</v>
      </c>
    </row>
    <row r="4930" spans="1:10">
      <c r="A4930" t="s">
        <v>4929</v>
      </c>
      <c r="B4930" s="2">
        <v>42092.629000000001</v>
      </c>
      <c r="C4930" s="3" t="s">
        <v>5008</v>
      </c>
      <c r="D4930" t="s">
        <v>5015</v>
      </c>
      <c r="E4930" t="s">
        <v>5019</v>
      </c>
      <c r="F4930" t="s">
        <v>5019</v>
      </c>
      <c r="G4930" t="s">
        <v>5022</v>
      </c>
      <c r="H4930" s="5" t="s">
        <v>5022</v>
      </c>
      <c r="I4930" t="s">
        <v>5022</v>
      </c>
      <c r="J4930" t="b">
        <f>AND(CCData[[#This Row],[Date]]&gt;=Calculation!$E$3,CCData[[#This Row],[Date]]&lt;Calculation!$E$3+7)</f>
        <v>1</v>
      </c>
    </row>
    <row r="4931" spans="1:10">
      <c r="A4931" t="s">
        <v>4930</v>
      </c>
      <c r="B4931" s="2">
        <v>42092.629000000001</v>
      </c>
      <c r="C4931" s="3" t="s">
        <v>5005</v>
      </c>
      <c r="D4931" t="s">
        <v>5012</v>
      </c>
      <c r="E4931" t="s">
        <v>5018</v>
      </c>
      <c r="F4931" t="s">
        <v>5018</v>
      </c>
      <c r="G4931">
        <v>103</v>
      </c>
      <c r="H4931" s="5">
        <v>3.4116977699512429E-3</v>
      </c>
      <c r="I4931">
        <v>1</v>
      </c>
      <c r="J4931" t="b">
        <f>AND(CCData[[#This Row],[Date]]&gt;=Calculation!$E$3,CCData[[#This Row],[Date]]&lt;Calculation!$E$3+7)</f>
        <v>1</v>
      </c>
    </row>
    <row r="4932" spans="1:10">
      <c r="A4932" t="s">
        <v>4931</v>
      </c>
      <c r="B4932" s="2">
        <v>42092.633000000002</v>
      </c>
      <c r="C4932" s="3" t="s">
        <v>5004</v>
      </c>
      <c r="D4932" t="s">
        <v>5012</v>
      </c>
      <c r="E4932" t="s">
        <v>5018</v>
      </c>
      <c r="F4932" t="s">
        <v>5018</v>
      </c>
      <c r="G4932">
        <v>75</v>
      </c>
      <c r="H4932" s="5">
        <v>2.1829274008054655E-3</v>
      </c>
      <c r="I4932">
        <v>4</v>
      </c>
      <c r="J4932" t="b">
        <f>AND(CCData[[#This Row],[Date]]&gt;=Calculation!$E$3,CCData[[#This Row],[Date]]&lt;Calculation!$E$3+7)</f>
        <v>1</v>
      </c>
    </row>
    <row r="4933" spans="1:10">
      <c r="A4933" t="s">
        <v>4932</v>
      </c>
      <c r="B4933" s="2">
        <v>42092.633000000002</v>
      </c>
      <c r="C4933" s="3" t="s">
        <v>5003</v>
      </c>
      <c r="D4933" t="s">
        <v>5014</v>
      </c>
      <c r="E4933" t="s">
        <v>5018</v>
      </c>
      <c r="F4933" t="s">
        <v>5018</v>
      </c>
      <c r="G4933">
        <v>65</v>
      </c>
      <c r="H4933" s="5">
        <v>2.1486295411622001E-3</v>
      </c>
      <c r="I4933">
        <v>4</v>
      </c>
      <c r="J4933" t="b">
        <f>AND(CCData[[#This Row],[Date]]&gt;=Calculation!$E$3,CCData[[#This Row],[Date]]&lt;Calculation!$E$3+7)</f>
        <v>1</v>
      </c>
    </row>
    <row r="4934" spans="1:10">
      <c r="A4934" t="s">
        <v>4933</v>
      </c>
      <c r="B4934" s="2">
        <v>42092.633000000002</v>
      </c>
      <c r="C4934" s="3" t="s">
        <v>5008</v>
      </c>
      <c r="D4934" t="s">
        <v>5016</v>
      </c>
      <c r="E4934" t="s">
        <v>5018</v>
      </c>
      <c r="F4934" t="s">
        <v>5018</v>
      </c>
      <c r="G4934">
        <v>110</v>
      </c>
      <c r="H4934" s="5">
        <v>4.3119780768136936E-3</v>
      </c>
      <c r="I4934">
        <v>3</v>
      </c>
      <c r="J4934" t="b">
        <f>AND(CCData[[#This Row],[Date]]&gt;=Calculation!$E$3,CCData[[#This Row],[Date]]&lt;Calculation!$E$3+7)</f>
        <v>1</v>
      </c>
    </row>
    <row r="4935" spans="1:10">
      <c r="A4935" t="s">
        <v>4934</v>
      </c>
      <c r="B4935" s="2">
        <v>42092.633000000002</v>
      </c>
      <c r="C4935" s="3" t="s">
        <v>5003</v>
      </c>
      <c r="D4935" t="s">
        <v>5014</v>
      </c>
      <c r="E4935" t="s">
        <v>5018</v>
      </c>
      <c r="F4935" t="s">
        <v>5018</v>
      </c>
      <c r="G4935">
        <v>109</v>
      </c>
      <c r="H4935" s="5">
        <v>2.939700323653917E-3</v>
      </c>
      <c r="I4935">
        <v>5</v>
      </c>
      <c r="J4935" t="b">
        <f>AND(CCData[[#This Row],[Date]]&gt;=Calculation!$E$3,CCData[[#This Row],[Date]]&lt;Calculation!$E$3+7)</f>
        <v>1</v>
      </c>
    </row>
    <row r="4936" spans="1:10">
      <c r="A4936" t="s">
        <v>4935</v>
      </c>
      <c r="B4936" s="2">
        <v>42092.65</v>
      </c>
      <c r="C4936" s="3" t="s">
        <v>5004</v>
      </c>
      <c r="D4936" t="s">
        <v>5013</v>
      </c>
      <c r="E4936" t="s">
        <v>5018</v>
      </c>
      <c r="F4936" t="s">
        <v>5018</v>
      </c>
      <c r="G4936">
        <v>96</v>
      </c>
      <c r="H4936" s="5">
        <v>3.6857365839347597E-3</v>
      </c>
      <c r="I4936">
        <v>5</v>
      </c>
      <c r="J4936" t="b">
        <f>AND(CCData[[#This Row],[Date]]&gt;=Calculation!$E$3,CCData[[#This Row],[Date]]&lt;Calculation!$E$3+7)</f>
        <v>1</v>
      </c>
    </row>
    <row r="4937" spans="1:10">
      <c r="A4937" t="s">
        <v>4936</v>
      </c>
      <c r="B4937" s="2">
        <v>42092.65</v>
      </c>
      <c r="C4937" s="3" t="s">
        <v>5007</v>
      </c>
      <c r="D4937" t="s">
        <v>5012</v>
      </c>
      <c r="E4937" t="s">
        <v>5018</v>
      </c>
      <c r="F4937" t="s">
        <v>5018</v>
      </c>
      <c r="G4937">
        <v>80</v>
      </c>
      <c r="H4937" s="5">
        <v>4.3679701113981195E-4</v>
      </c>
      <c r="I4937">
        <v>4</v>
      </c>
      <c r="J4937" t="b">
        <f>AND(CCData[[#This Row],[Date]]&gt;=Calculation!$E$3,CCData[[#This Row],[Date]]&lt;Calculation!$E$3+7)</f>
        <v>1</v>
      </c>
    </row>
    <row r="4938" spans="1:10">
      <c r="A4938" t="s">
        <v>4937</v>
      </c>
      <c r="B4938" s="2">
        <v>42092.652999999998</v>
      </c>
      <c r="C4938" s="3" t="s">
        <v>5007</v>
      </c>
      <c r="D4938" t="s">
        <v>5016</v>
      </c>
      <c r="E4938" t="s">
        <v>5018</v>
      </c>
      <c r="F4938" t="s">
        <v>5018</v>
      </c>
      <c r="G4938">
        <v>82</v>
      </c>
      <c r="H4938" s="5">
        <v>1.47897798150908E-3</v>
      </c>
      <c r="I4938">
        <v>4</v>
      </c>
      <c r="J4938" t="b">
        <f>AND(CCData[[#This Row],[Date]]&gt;=Calculation!$E$3,CCData[[#This Row],[Date]]&lt;Calculation!$E$3+7)</f>
        <v>1</v>
      </c>
    </row>
    <row r="4939" spans="1:10">
      <c r="A4939" t="s">
        <v>4938</v>
      </c>
      <c r="B4939" s="2">
        <v>42092.652999999998</v>
      </c>
      <c r="C4939" s="3" t="s">
        <v>5005</v>
      </c>
      <c r="D4939" t="s">
        <v>5015</v>
      </c>
      <c r="E4939" t="s">
        <v>5018</v>
      </c>
      <c r="F4939" t="s">
        <v>5019</v>
      </c>
      <c r="G4939">
        <v>26</v>
      </c>
      <c r="H4939" s="5">
        <v>6.5834537710101509E-4</v>
      </c>
      <c r="I4939">
        <v>2</v>
      </c>
      <c r="J4939" t="b">
        <f>AND(CCData[[#This Row],[Date]]&gt;=Calculation!$E$3,CCData[[#This Row],[Date]]&lt;Calculation!$E$3+7)</f>
        <v>1</v>
      </c>
    </row>
    <row r="4940" spans="1:10">
      <c r="A4940" t="s">
        <v>4939</v>
      </c>
      <c r="B4940" s="2">
        <v>42092.654999999999</v>
      </c>
      <c r="C4940" s="3" t="s">
        <v>5010</v>
      </c>
      <c r="D4940" t="s">
        <v>5012</v>
      </c>
      <c r="E4940" t="s">
        <v>5018</v>
      </c>
      <c r="F4940" t="s">
        <v>5018</v>
      </c>
      <c r="G4940">
        <v>109</v>
      </c>
      <c r="H4940" s="5">
        <v>2.395158348904971E-3</v>
      </c>
      <c r="I4940">
        <v>2</v>
      </c>
      <c r="J4940" t="b">
        <f>AND(CCData[[#This Row],[Date]]&gt;=Calculation!$E$3,CCData[[#This Row],[Date]]&lt;Calculation!$E$3+7)</f>
        <v>1</v>
      </c>
    </row>
    <row r="4941" spans="1:10">
      <c r="A4941" t="s">
        <v>4940</v>
      </c>
      <c r="B4941" s="2">
        <v>42092.654999999999</v>
      </c>
      <c r="C4941" s="3" t="s">
        <v>5008</v>
      </c>
      <c r="D4941" t="s">
        <v>5013</v>
      </c>
      <c r="E4941" t="s">
        <v>5018</v>
      </c>
      <c r="F4941" t="s">
        <v>5019</v>
      </c>
      <c r="G4941">
        <v>27</v>
      </c>
      <c r="H4941" s="5">
        <v>4.7197477982299134E-3</v>
      </c>
      <c r="I4941">
        <v>1</v>
      </c>
      <c r="J4941" t="b">
        <f>AND(CCData[[#This Row],[Date]]&gt;=Calculation!$E$3,CCData[[#This Row],[Date]]&lt;Calculation!$E$3+7)</f>
        <v>1</v>
      </c>
    </row>
    <row r="4942" spans="1:10">
      <c r="A4942" t="s">
        <v>4941</v>
      </c>
      <c r="B4942" s="2">
        <v>42092.656000000003</v>
      </c>
      <c r="C4942" s="3" t="s">
        <v>5010</v>
      </c>
      <c r="D4942" t="s">
        <v>5013</v>
      </c>
      <c r="E4942" t="s">
        <v>5018</v>
      </c>
      <c r="F4942" t="s">
        <v>5018</v>
      </c>
      <c r="G4942">
        <v>63</v>
      </c>
      <c r="H4942" s="5">
        <v>2.2648188778564659E-3</v>
      </c>
      <c r="I4942">
        <v>5</v>
      </c>
      <c r="J4942" t="b">
        <f>AND(CCData[[#This Row],[Date]]&gt;=Calculation!$E$3,CCData[[#This Row],[Date]]&lt;Calculation!$E$3+7)</f>
        <v>1</v>
      </c>
    </row>
    <row r="4943" spans="1:10">
      <c r="A4943" t="s">
        <v>4942</v>
      </c>
      <c r="B4943" s="2">
        <v>42092.656000000003</v>
      </c>
      <c r="C4943" s="3" t="s">
        <v>5009</v>
      </c>
      <c r="D4943" t="s">
        <v>5015</v>
      </c>
      <c r="E4943" t="s">
        <v>5019</v>
      </c>
      <c r="F4943" t="s">
        <v>5019</v>
      </c>
      <c r="G4943" t="s">
        <v>5022</v>
      </c>
      <c r="H4943" s="5" t="s">
        <v>5022</v>
      </c>
      <c r="I4943" t="s">
        <v>5022</v>
      </c>
      <c r="J4943" t="b">
        <f>AND(CCData[[#This Row],[Date]]&gt;=Calculation!$E$3,CCData[[#This Row],[Date]]&lt;Calculation!$E$3+7)</f>
        <v>1</v>
      </c>
    </row>
    <row r="4944" spans="1:10">
      <c r="A4944" t="s">
        <v>4943</v>
      </c>
      <c r="B4944" s="2">
        <v>42092.673999999999</v>
      </c>
      <c r="C4944" s="3" t="s">
        <v>5007</v>
      </c>
      <c r="D4944" t="s">
        <v>5012</v>
      </c>
      <c r="E4944" t="s">
        <v>5018</v>
      </c>
      <c r="F4944" t="s">
        <v>5018</v>
      </c>
      <c r="G4944">
        <v>76</v>
      </c>
      <c r="H4944" s="5">
        <v>2.8673735209533125E-3</v>
      </c>
      <c r="I4944">
        <v>4</v>
      </c>
      <c r="J4944" t="b">
        <f>AND(CCData[[#This Row],[Date]]&gt;=Calculation!$E$3,CCData[[#This Row],[Date]]&lt;Calculation!$E$3+7)</f>
        <v>1</v>
      </c>
    </row>
    <row r="4945" spans="1:10">
      <c r="A4945" t="s">
        <v>4944</v>
      </c>
      <c r="B4945" s="2">
        <v>42092.673999999999</v>
      </c>
      <c r="C4945" s="3" t="s">
        <v>5010</v>
      </c>
      <c r="D4945" t="s">
        <v>5015</v>
      </c>
      <c r="E4945" t="s">
        <v>5018</v>
      </c>
      <c r="F4945" t="s">
        <v>5018</v>
      </c>
      <c r="G4945">
        <v>91</v>
      </c>
      <c r="H4945" s="5">
        <v>4.8529950569077412E-3</v>
      </c>
      <c r="I4945">
        <v>3</v>
      </c>
      <c r="J4945" t="b">
        <f>AND(CCData[[#This Row],[Date]]&gt;=Calculation!$E$3,CCData[[#This Row],[Date]]&lt;Calculation!$E$3+7)</f>
        <v>1</v>
      </c>
    </row>
    <row r="4946" spans="1:10">
      <c r="A4946" t="s">
        <v>4945</v>
      </c>
      <c r="B4946" s="2">
        <v>42092.7</v>
      </c>
      <c r="C4946" s="3" t="s">
        <v>5003</v>
      </c>
      <c r="D4946" t="s">
        <v>5012</v>
      </c>
      <c r="E4946" t="s">
        <v>5018</v>
      </c>
      <c r="F4946" t="s">
        <v>5018</v>
      </c>
      <c r="G4946">
        <v>68</v>
      </c>
      <c r="H4946" s="5">
        <v>2.7478462605578331E-3</v>
      </c>
      <c r="I4946">
        <v>4</v>
      </c>
      <c r="J4946" t="b">
        <f>AND(CCData[[#This Row],[Date]]&gt;=Calculation!$E$3,CCData[[#This Row],[Date]]&lt;Calculation!$E$3+7)</f>
        <v>1</v>
      </c>
    </row>
    <row r="4947" spans="1:10">
      <c r="A4947" t="s">
        <v>4946</v>
      </c>
      <c r="B4947" s="2">
        <v>42092.7</v>
      </c>
      <c r="C4947" s="3" t="s">
        <v>5008</v>
      </c>
      <c r="D4947" t="s">
        <v>5016</v>
      </c>
      <c r="E4947" t="s">
        <v>5018</v>
      </c>
      <c r="F4947" t="s">
        <v>5018</v>
      </c>
      <c r="G4947">
        <v>123</v>
      </c>
      <c r="H4947" s="5">
        <v>2.1094514684483483E-3</v>
      </c>
      <c r="I4947">
        <v>4</v>
      </c>
      <c r="J4947" t="b">
        <f>AND(CCData[[#This Row],[Date]]&gt;=Calculation!$E$3,CCData[[#This Row],[Date]]&lt;Calculation!$E$3+7)</f>
        <v>1</v>
      </c>
    </row>
    <row r="4948" spans="1:10">
      <c r="A4948" t="s">
        <v>4947</v>
      </c>
      <c r="B4948" s="2">
        <v>42092.748</v>
      </c>
      <c r="C4948" s="3" t="s">
        <v>5006</v>
      </c>
      <c r="D4948" t="s">
        <v>5015</v>
      </c>
      <c r="E4948" t="s">
        <v>5018</v>
      </c>
      <c r="F4948" t="s">
        <v>5018</v>
      </c>
      <c r="G4948">
        <v>74</v>
      </c>
      <c r="H4948" s="5">
        <v>4.2566690374608992E-3</v>
      </c>
      <c r="I4948">
        <v>3</v>
      </c>
      <c r="J4948" t="b">
        <f>AND(CCData[[#This Row],[Date]]&gt;=Calculation!$E$3,CCData[[#This Row],[Date]]&lt;Calculation!$E$3+7)</f>
        <v>1</v>
      </c>
    </row>
    <row r="4949" spans="1:10">
      <c r="A4949" t="s">
        <v>4948</v>
      </c>
      <c r="B4949" s="2">
        <v>42092.748</v>
      </c>
      <c r="C4949" s="3" t="s">
        <v>5008</v>
      </c>
      <c r="D4949" t="s">
        <v>5012</v>
      </c>
      <c r="E4949" t="s">
        <v>5019</v>
      </c>
      <c r="F4949" t="s">
        <v>5019</v>
      </c>
      <c r="G4949" t="s">
        <v>5022</v>
      </c>
      <c r="H4949" s="5" t="s">
        <v>5022</v>
      </c>
      <c r="I4949" t="s">
        <v>5022</v>
      </c>
      <c r="J4949" t="b">
        <f>AND(CCData[[#This Row],[Date]]&gt;=Calculation!$E$3,CCData[[#This Row],[Date]]&lt;Calculation!$E$3+7)</f>
        <v>1</v>
      </c>
    </row>
    <row r="4950" spans="1:10">
      <c r="A4950" t="s">
        <v>4949</v>
      </c>
      <c r="B4950" s="2">
        <v>42093.379000000001</v>
      </c>
      <c r="C4950" s="3" t="s">
        <v>5007</v>
      </c>
      <c r="D4950" t="s">
        <v>5014</v>
      </c>
      <c r="E4950" t="s">
        <v>5018</v>
      </c>
      <c r="F4950" t="s">
        <v>5018</v>
      </c>
      <c r="G4950">
        <v>92</v>
      </c>
      <c r="H4950" s="5">
        <v>8.4303895555962226E-4</v>
      </c>
      <c r="I4950">
        <v>2</v>
      </c>
      <c r="J4950" t="b">
        <f>AND(CCData[[#This Row],[Date]]&gt;=Calculation!$E$3,CCData[[#This Row],[Date]]&lt;Calculation!$E$3+7)</f>
        <v>0</v>
      </c>
    </row>
    <row r="4951" spans="1:10">
      <c r="A4951" t="s">
        <v>4950</v>
      </c>
      <c r="B4951" s="2">
        <v>42093.39</v>
      </c>
      <c r="C4951" s="3" t="s">
        <v>5003</v>
      </c>
      <c r="D4951" t="s">
        <v>5014</v>
      </c>
      <c r="E4951" t="s">
        <v>5018</v>
      </c>
      <c r="F4951" t="s">
        <v>5018</v>
      </c>
      <c r="G4951">
        <v>108</v>
      </c>
      <c r="H4951" s="5">
        <v>8.4918268732658429E-4</v>
      </c>
      <c r="I4951">
        <v>3</v>
      </c>
      <c r="J4951" t="b">
        <f>AND(CCData[[#This Row],[Date]]&gt;=Calculation!$E$3,CCData[[#This Row],[Date]]&lt;Calculation!$E$3+7)</f>
        <v>0</v>
      </c>
    </row>
    <row r="4952" spans="1:10">
      <c r="A4952" t="s">
        <v>4951</v>
      </c>
      <c r="B4952" s="2">
        <v>42093.392999999996</v>
      </c>
      <c r="C4952" s="3" t="s">
        <v>5004</v>
      </c>
      <c r="D4952" t="s">
        <v>5012</v>
      </c>
      <c r="E4952" t="s">
        <v>5018</v>
      </c>
      <c r="F4952" t="s">
        <v>5018</v>
      </c>
      <c r="G4952">
        <v>63</v>
      </c>
      <c r="H4952" s="5">
        <v>2.0997928400795169E-3</v>
      </c>
      <c r="I4952">
        <v>5</v>
      </c>
      <c r="J4952" t="b">
        <f>AND(CCData[[#This Row],[Date]]&gt;=Calculation!$E$3,CCData[[#This Row],[Date]]&lt;Calculation!$E$3+7)</f>
        <v>0</v>
      </c>
    </row>
    <row r="4953" spans="1:10">
      <c r="A4953" t="s">
        <v>4952</v>
      </c>
      <c r="B4953" s="2">
        <v>42093.474999999999</v>
      </c>
      <c r="C4953" s="3" t="s">
        <v>5003</v>
      </c>
      <c r="D4953" t="s">
        <v>5015</v>
      </c>
      <c r="E4953" t="s">
        <v>5018</v>
      </c>
      <c r="F4953" t="s">
        <v>5018</v>
      </c>
      <c r="G4953">
        <v>120</v>
      </c>
      <c r="H4953" s="5">
        <v>2.4518526928713649E-3</v>
      </c>
      <c r="I4953">
        <v>3</v>
      </c>
      <c r="J4953" t="b">
        <f>AND(CCData[[#This Row],[Date]]&gt;=Calculation!$E$3,CCData[[#This Row],[Date]]&lt;Calculation!$E$3+7)</f>
        <v>0</v>
      </c>
    </row>
    <row r="4954" spans="1:10">
      <c r="A4954" t="s">
        <v>4953</v>
      </c>
      <c r="B4954" s="2">
        <v>42093.474999999999</v>
      </c>
      <c r="C4954" s="3" t="s">
        <v>5007</v>
      </c>
      <c r="D4954" t="s">
        <v>5016</v>
      </c>
      <c r="E4954" t="s">
        <v>5018</v>
      </c>
      <c r="F4954" t="s">
        <v>5018</v>
      </c>
      <c r="G4954">
        <v>50</v>
      </c>
      <c r="H4954" s="5">
        <v>3.7129543739516059E-3</v>
      </c>
      <c r="I4954">
        <v>3</v>
      </c>
      <c r="J4954" t="b">
        <f>AND(CCData[[#This Row],[Date]]&gt;=Calculation!$E$3,CCData[[#This Row],[Date]]&lt;Calculation!$E$3+7)</f>
        <v>0</v>
      </c>
    </row>
    <row r="4955" spans="1:10">
      <c r="A4955" t="s">
        <v>4954</v>
      </c>
      <c r="B4955" s="2">
        <v>42093.500999999997</v>
      </c>
      <c r="C4955" s="3" t="s">
        <v>5010</v>
      </c>
      <c r="D4955" t="s">
        <v>5016</v>
      </c>
      <c r="E4955" t="s">
        <v>5019</v>
      </c>
      <c r="F4955" t="s">
        <v>5019</v>
      </c>
      <c r="G4955" t="s">
        <v>5022</v>
      </c>
      <c r="H4955" s="5" t="s">
        <v>5022</v>
      </c>
      <c r="I4955" t="s">
        <v>5022</v>
      </c>
      <c r="J4955" t="b">
        <f>AND(CCData[[#This Row],[Date]]&gt;=Calculation!$E$3,CCData[[#This Row],[Date]]&lt;Calculation!$E$3+7)</f>
        <v>0</v>
      </c>
    </row>
    <row r="4956" spans="1:10">
      <c r="A4956" t="s">
        <v>4955</v>
      </c>
      <c r="B4956" s="2">
        <v>42093.502999999997</v>
      </c>
      <c r="C4956" s="3" t="s">
        <v>5008</v>
      </c>
      <c r="D4956" t="s">
        <v>5015</v>
      </c>
      <c r="E4956" t="s">
        <v>5018</v>
      </c>
      <c r="F4956" t="s">
        <v>5018</v>
      </c>
      <c r="G4956">
        <v>18</v>
      </c>
      <c r="H4956" s="5">
        <v>2.9941330025715735E-3</v>
      </c>
      <c r="I4956">
        <v>3</v>
      </c>
      <c r="J4956" t="b">
        <f>AND(CCData[[#This Row],[Date]]&gt;=Calculation!$E$3,CCData[[#This Row],[Date]]&lt;Calculation!$E$3+7)</f>
        <v>0</v>
      </c>
    </row>
    <row r="4957" spans="1:10">
      <c r="A4957" t="s">
        <v>4956</v>
      </c>
      <c r="B4957" s="2">
        <v>42093.521000000001</v>
      </c>
      <c r="C4957" s="3" t="s">
        <v>5005</v>
      </c>
      <c r="D4957" t="s">
        <v>5015</v>
      </c>
      <c r="E4957" t="s">
        <v>5019</v>
      </c>
      <c r="F4957" t="s">
        <v>5019</v>
      </c>
      <c r="G4957" t="s">
        <v>5022</v>
      </c>
      <c r="H4957" s="5" t="s">
        <v>5022</v>
      </c>
      <c r="I4957" t="s">
        <v>5022</v>
      </c>
      <c r="J4957" t="b">
        <f>AND(CCData[[#This Row],[Date]]&gt;=Calculation!$E$3,CCData[[#This Row],[Date]]&lt;Calculation!$E$3+7)</f>
        <v>0</v>
      </c>
    </row>
    <row r="4958" spans="1:10">
      <c r="A4958" t="s">
        <v>4957</v>
      </c>
      <c r="B4958" s="2">
        <v>42093.525000000001</v>
      </c>
      <c r="C4958" s="3" t="s">
        <v>5010</v>
      </c>
      <c r="D4958" t="s">
        <v>5015</v>
      </c>
      <c r="E4958" t="s">
        <v>5018</v>
      </c>
      <c r="F4958" t="s">
        <v>5018</v>
      </c>
      <c r="G4958">
        <v>114</v>
      </c>
      <c r="H4958" s="5">
        <v>4.7866561558907745E-3</v>
      </c>
      <c r="I4958">
        <v>4</v>
      </c>
      <c r="J4958" t="b">
        <f>AND(CCData[[#This Row],[Date]]&gt;=Calculation!$E$3,CCData[[#This Row],[Date]]&lt;Calculation!$E$3+7)</f>
        <v>0</v>
      </c>
    </row>
    <row r="4959" spans="1:10">
      <c r="A4959" t="s">
        <v>4958</v>
      </c>
      <c r="B4959" s="2">
        <v>42093.531999999999</v>
      </c>
      <c r="C4959" s="3" t="s">
        <v>5004</v>
      </c>
      <c r="D4959" t="s">
        <v>5014</v>
      </c>
      <c r="E4959" t="s">
        <v>5018</v>
      </c>
      <c r="F4959" t="s">
        <v>5019</v>
      </c>
      <c r="G4959">
        <v>116</v>
      </c>
      <c r="H4959" s="5">
        <v>2.1380594182832885E-3</v>
      </c>
      <c r="I4959">
        <v>4</v>
      </c>
      <c r="J4959" t="b">
        <f>AND(CCData[[#This Row],[Date]]&gt;=Calculation!$E$3,CCData[[#This Row],[Date]]&lt;Calculation!$E$3+7)</f>
        <v>0</v>
      </c>
    </row>
    <row r="4960" spans="1:10">
      <c r="A4960" t="s">
        <v>4959</v>
      </c>
      <c r="B4960" s="2">
        <v>42093.561000000002</v>
      </c>
      <c r="C4960" s="3" t="s">
        <v>5003</v>
      </c>
      <c r="D4960" t="s">
        <v>5014</v>
      </c>
      <c r="E4960" t="s">
        <v>5018</v>
      </c>
      <c r="F4960" t="s">
        <v>5018</v>
      </c>
      <c r="G4960">
        <v>124</v>
      </c>
      <c r="H4960" s="5">
        <v>3.0124955628157979E-3</v>
      </c>
      <c r="I4960">
        <v>4</v>
      </c>
      <c r="J4960" t="b">
        <f>AND(CCData[[#This Row],[Date]]&gt;=Calculation!$E$3,CCData[[#This Row],[Date]]&lt;Calculation!$E$3+7)</f>
        <v>0</v>
      </c>
    </row>
    <row r="4961" spans="1:10">
      <c r="A4961" t="s">
        <v>4960</v>
      </c>
      <c r="B4961" s="2">
        <v>42093.565000000002</v>
      </c>
      <c r="C4961" s="3" t="s">
        <v>5009</v>
      </c>
      <c r="D4961" t="s">
        <v>5012</v>
      </c>
      <c r="E4961" t="s">
        <v>5018</v>
      </c>
      <c r="F4961" t="s">
        <v>5018</v>
      </c>
      <c r="G4961">
        <v>27</v>
      </c>
      <c r="H4961" s="5">
        <v>3.1414575637504576E-3</v>
      </c>
      <c r="I4961">
        <v>5</v>
      </c>
      <c r="J4961" t="b">
        <f>AND(CCData[[#This Row],[Date]]&gt;=Calculation!$E$3,CCData[[#This Row],[Date]]&lt;Calculation!$E$3+7)</f>
        <v>0</v>
      </c>
    </row>
    <row r="4962" spans="1:10">
      <c r="A4962" t="s">
        <v>4961</v>
      </c>
      <c r="B4962" s="2">
        <v>42093.576999999997</v>
      </c>
      <c r="C4962" s="3" t="s">
        <v>5010</v>
      </c>
      <c r="D4962" t="s">
        <v>5012</v>
      </c>
      <c r="E4962" t="s">
        <v>5019</v>
      </c>
      <c r="F4962" t="s">
        <v>5019</v>
      </c>
      <c r="G4962" t="s">
        <v>5022</v>
      </c>
      <c r="H4962" s="5" t="s">
        <v>5022</v>
      </c>
      <c r="I4962" t="s">
        <v>5022</v>
      </c>
      <c r="J4962" t="b">
        <f>AND(CCData[[#This Row],[Date]]&gt;=Calculation!$E$3,CCData[[#This Row],[Date]]&lt;Calculation!$E$3+7)</f>
        <v>0</v>
      </c>
    </row>
    <row r="4963" spans="1:10">
      <c r="A4963" t="s">
        <v>4962</v>
      </c>
      <c r="B4963" s="2">
        <v>42093.631000000001</v>
      </c>
      <c r="C4963" s="3" t="s">
        <v>5007</v>
      </c>
      <c r="D4963" t="s">
        <v>5016</v>
      </c>
      <c r="E4963" t="s">
        <v>5019</v>
      </c>
      <c r="F4963" t="s">
        <v>5019</v>
      </c>
      <c r="G4963" t="s">
        <v>5022</v>
      </c>
      <c r="H4963" s="5" t="s">
        <v>5022</v>
      </c>
      <c r="I4963" t="s">
        <v>5022</v>
      </c>
      <c r="J4963" t="b">
        <f>AND(CCData[[#This Row],[Date]]&gt;=Calculation!$E$3,CCData[[#This Row],[Date]]&lt;Calculation!$E$3+7)</f>
        <v>0</v>
      </c>
    </row>
    <row r="4964" spans="1:10">
      <c r="A4964" t="s">
        <v>4963</v>
      </c>
      <c r="B4964" s="2">
        <v>42093.65</v>
      </c>
      <c r="C4964" s="3" t="s">
        <v>5006</v>
      </c>
      <c r="D4964" t="s">
        <v>5015</v>
      </c>
      <c r="E4964" t="s">
        <v>5018</v>
      </c>
      <c r="F4964" t="s">
        <v>5019</v>
      </c>
      <c r="G4964">
        <v>22</v>
      </c>
      <c r="H4964" s="5">
        <v>3.2997818604214133E-3</v>
      </c>
      <c r="I4964">
        <v>4</v>
      </c>
      <c r="J4964" t="b">
        <f>AND(CCData[[#This Row],[Date]]&gt;=Calculation!$E$3,CCData[[#This Row],[Date]]&lt;Calculation!$E$3+7)</f>
        <v>0</v>
      </c>
    </row>
    <row r="4965" spans="1:10">
      <c r="A4965" t="s">
        <v>4964</v>
      </c>
      <c r="B4965" s="2">
        <v>42093.656999999999</v>
      </c>
      <c r="C4965" s="3" t="s">
        <v>5003</v>
      </c>
      <c r="D4965" t="s">
        <v>5013</v>
      </c>
      <c r="E4965" t="s">
        <v>5018</v>
      </c>
      <c r="F4965" t="s">
        <v>5018</v>
      </c>
      <c r="G4965">
        <v>55</v>
      </c>
      <c r="H4965" s="5">
        <v>3.7453779767561172E-3</v>
      </c>
      <c r="I4965">
        <v>2</v>
      </c>
      <c r="J4965" t="b">
        <f>AND(CCData[[#This Row],[Date]]&gt;=Calculation!$E$3,CCData[[#This Row],[Date]]&lt;Calculation!$E$3+7)</f>
        <v>0</v>
      </c>
    </row>
    <row r="4966" spans="1:10">
      <c r="A4966" t="s">
        <v>4965</v>
      </c>
      <c r="B4966" s="2">
        <v>42093.66</v>
      </c>
      <c r="C4966" s="3" t="s">
        <v>5004</v>
      </c>
      <c r="D4966" t="s">
        <v>5015</v>
      </c>
      <c r="E4966" t="s">
        <v>5019</v>
      </c>
      <c r="F4966" t="s">
        <v>5019</v>
      </c>
      <c r="G4966" t="s">
        <v>5022</v>
      </c>
      <c r="H4966" s="5" t="s">
        <v>5022</v>
      </c>
      <c r="I4966" t="s">
        <v>5022</v>
      </c>
      <c r="J4966" t="b">
        <f>AND(CCData[[#This Row],[Date]]&gt;=Calculation!$E$3,CCData[[#This Row],[Date]]&lt;Calculation!$E$3+7)</f>
        <v>0</v>
      </c>
    </row>
    <row r="4967" spans="1:10">
      <c r="A4967" t="s">
        <v>4966</v>
      </c>
      <c r="B4967" s="2">
        <v>42093.67</v>
      </c>
      <c r="C4967" s="3" t="s">
        <v>5007</v>
      </c>
      <c r="D4967" t="s">
        <v>5016</v>
      </c>
      <c r="E4967" t="s">
        <v>5019</v>
      </c>
      <c r="F4967" t="s">
        <v>5019</v>
      </c>
      <c r="G4967" t="s">
        <v>5022</v>
      </c>
      <c r="H4967" s="5" t="s">
        <v>5022</v>
      </c>
      <c r="I4967" t="s">
        <v>5022</v>
      </c>
      <c r="J4967" t="b">
        <f>AND(CCData[[#This Row],[Date]]&gt;=Calculation!$E$3,CCData[[#This Row],[Date]]&lt;Calculation!$E$3+7)</f>
        <v>0</v>
      </c>
    </row>
    <row r="4968" spans="1:10">
      <c r="A4968" t="s">
        <v>4967</v>
      </c>
      <c r="B4968" s="2">
        <v>42093.675999999999</v>
      </c>
      <c r="C4968" s="3" t="s">
        <v>5008</v>
      </c>
      <c r="D4968" t="s">
        <v>5012</v>
      </c>
      <c r="E4968" t="s">
        <v>5019</v>
      </c>
      <c r="F4968" t="s">
        <v>5019</v>
      </c>
      <c r="G4968" t="s">
        <v>5022</v>
      </c>
      <c r="H4968" s="5" t="s">
        <v>5022</v>
      </c>
      <c r="I4968" t="s">
        <v>5022</v>
      </c>
      <c r="J4968" t="b">
        <f>AND(CCData[[#This Row],[Date]]&gt;=Calculation!$E$3,CCData[[#This Row],[Date]]&lt;Calculation!$E$3+7)</f>
        <v>0</v>
      </c>
    </row>
    <row r="4969" spans="1:10">
      <c r="A4969" t="s">
        <v>4968</v>
      </c>
      <c r="B4969" s="2">
        <v>42093.686999999998</v>
      </c>
      <c r="C4969" s="3" t="s">
        <v>5007</v>
      </c>
      <c r="D4969" t="s">
        <v>5013</v>
      </c>
      <c r="E4969" t="s">
        <v>5019</v>
      </c>
      <c r="F4969" t="s">
        <v>5019</v>
      </c>
      <c r="G4969" t="s">
        <v>5022</v>
      </c>
      <c r="H4969" s="5" t="s">
        <v>5022</v>
      </c>
      <c r="I4969" t="s">
        <v>5022</v>
      </c>
      <c r="J4969" t="b">
        <f>AND(CCData[[#This Row],[Date]]&gt;=Calculation!$E$3,CCData[[#This Row],[Date]]&lt;Calculation!$E$3+7)</f>
        <v>0</v>
      </c>
    </row>
    <row r="4970" spans="1:10">
      <c r="A4970" t="s">
        <v>4969</v>
      </c>
      <c r="B4970" s="2">
        <v>42093.688999999998</v>
      </c>
      <c r="C4970" s="3" t="s">
        <v>5006</v>
      </c>
      <c r="D4970" t="s">
        <v>5013</v>
      </c>
      <c r="E4970" t="s">
        <v>5018</v>
      </c>
      <c r="F4970" t="s">
        <v>5018</v>
      </c>
      <c r="G4970">
        <v>105</v>
      </c>
      <c r="H4970" s="5">
        <v>3.3963314938730443E-3</v>
      </c>
      <c r="I4970">
        <v>4</v>
      </c>
      <c r="J4970" t="b">
        <f>AND(CCData[[#This Row],[Date]]&gt;=Calculation!$E$3,CCData[[#This Row],[Date]]&lt;Calculation!$E$3+7)</f>
        <v>0</v>
      </c>
    </row>
    <row r="4971" spans="1:10">
      <c r="A4971" t="s">
        <v>4970</v>
      </c>
      <c r="B4971" s="2">
        <v>42093.699000000001</v>
      </c>
      <c r="C4971" s="3" t="s">
        <v>5010</v>
      </c>
      <c r="D4971" t="s">
        <v>5013</v>
      </c>
      <c r="E4971" t="s">
        <v>5018</v>
      </c>
      <c r="F4971" t="s">
        <v>5018</v>
      </c>
      <c r="G4971">
        <v>41</v>
      </c>
      <c r="H4971" s="5">
        <v>1.4533124957067853E-3</v>
      </c>
      <c r="I4971">
        <v>5</v>
      </c>
      <c r="J4971" t="b">
        <f>AND(CCData[[#This Row],[Date]]&gt;=Calculation!$E$3,CCData[[#This Row],[Date]]&lt;Calculation!$E$3+7)</f>
        <v>0</v>
      </c>
    </row>
    <row r="4972" spans="1:10">
      <c r="A4972" t="s">
        <v>4971</v>
      </c>
      <c r="B4972" s="2">
        <v>42093.718000000001</v>
      </c>
      <c r="C4972" s="3" t="s">
        <v>5006</v>
      </c>
      <c r="D4972" t="s">
        <v>5016</v>
      </c>
      <c r="E4972" t="s">
        <v>5019</v>
      </c>
      <c r="F4972" t="s">
        <v>5019</v>
      </c>
      <c r="G4972" t="s">
        <v>5022</v>
      </c>
      <c r="H4972" s="5" t="s">
        <v>5022</v>
      </c>
      <c r="I4972" t="s">
        <v>5022</v>
      </c>
      <c r="J4972" t="b">
        <f>AND(CCData[[#This Row],[Date]]&gt;=Calculation!$E$3,CCData[[#This Row],[Date]]&lt;Calculation!$E$3+7)</f>
        <v>0</v>
      </c>
    </row>
    <row r="4973" spans="1:10">
      <c r="A4973" t="s">
        <v>4972</v>
      </c>
      <c r="B4973" s="2">
        <v>42093.726000000002</v>
      </c>
      <c r="C4973" s="3" t="s">
        <v>5008</v>
      </c>
      <c r="D4973" t="s">
        <v>5012</v>
      </c>
      <c r="E4973" t="s">
        <v>5018</v>
      </c>
      <c r="F4973" t="s">
        <v>5018</v>
      </c>
      <c r="G4973">
        <v>42</v>
      </c>
      <c r="H4973" s="5">
        <v>3.9971541591227367E-4</v>
      </c>
      <c r="I4973">
        <v>5</v>
      </c>
      <c r="J4973" t="b">
        <f>AND(CCData[[#This Row],[Date]]&gt;=Calculation!$E$3,CCData[[#This Row],[Date]]&lt;Calculation!$E$3+7)</f>
        <v>0</v>
      </c>
    </row>
    <row r="4974" spans="1:10">
      <c r="A4974" t="s">
        <v>4973</v>
      </c>
      <c r="B4974" s="2">
        <v>42093.733999999997</v>
      </c>
      <c r="C4974" s="3" t="s">
        <v>5008</v>
      </c>
      <c r="D4974" t="s">
        <v>5015</v>
      </c>
      <c r="E4974" t="s">
        <v>5018</v>
      </c>
      <c r="F4974" t="s">
        <v>5018</v>
      </c>
      <c r="G4974">
        <v>103</v>
      </c>
      <c r="H4974" s="5">
        <v>1.6590318312732575E-3</v>
      </c>
      <c r="I4974">
        <v>3</v>
      </c>
      <c r="J4974" t="b">
        <f>AND(CCData[[#This Row],[Date]]&gt;=Calculation!$E$3,CCData[[#This Row],[Date]]&lt;Calculation!$E$3+7)</f>
        <v>0</v>
      </c>
    </row>
    <row r="4975" spans="1:10">
      <c r="A4975" t="s">
        <v>4974</v>
      </c>
      <c r="B4975" s="2">
        <v>42094.375999999997</v>
      </c>
      <c r="C4975" s="3" t="s">
        <v>5009</v>
      </c>
      <c r="D4975" t="s">
        <v>5014</v>
      </c>
      <c r="E4975" t="s">
        <v>5018</v>
      </c>
      <c r="F4975" t="s">
        <v>5018</v>
      </c>
      <c r="G4975">
        <v>124</v>
      </c>
      <c r="H4975" s="5">
        <v>4.4461630152719542E-3</v>
      </c>
      <c r="I4975">
        <v>3</v>
      </c>
      <c r="J4975" t="b">
        <f>AND(CCData[[#This Row],[Date]]&gt;=Calculation!$E$3,CCData[[#This Row],[Date]]&lt;Calculation!$E$3+7)</f>
        <v>0</v>
      </c>
    </row>
    <row r="4976" spans="1:10">
      <c r="A4976" t="s">
        <v>4975</v>
      </c>
      <c r="B4976" s="2">
        <v>42094.381999999998</v>
      </c>
      <c r="C4976" s="3" t="s">
        <v>5010</v>
      </c>
      <c r="D4976" t="s">
        <v>5013</v>
      </c>
      <c r="E4976" t="s">
        <v>5018</v>
      </c>
      <c r="F4976" t="s">
        <v>5018</v>
      </c>
      <c r="G4976">
        <v>102</v>
      </c>
      <c r="H4976" s="5">
        <v>1.6918167539507827E-3</v>
      </c>
      <c r="I4976">
        <v>5</v>
      </c>
      <c r="J4976" t="b">
        <f>AND(CCData[[#This Row],[Date]]&gt;=Calculation!$E$3,CCData[[#This Row],[Date]]&lt;Calculation!$E$3+7)</f>
        <v>0</v>
      </c>
    </row>
    <row r="4977" spans="1:10">
      <c r="A4977" t="s">
        <v>4976</v>
      </c>
      <c r="B4977" s="2">
        <v>42094.389000000003</v>
      </c>
      <c r="C4977" s="3" t="s">
        <v>5009</v>
      </c>
      <c r="D4977" t="s">
        <v>5013</v>
      </c>
      <c r="E4977" t="s">
        <v>5018</v>
      </c>
      <c r="F4977" t="s">
        <v>5018</v>
      </c>
      <c r="G4977">
        <v>87</v>
      </c>
      <c r="H4977" s="5">
        <v>4.8310997922144201E-3</v>
      </c>
      <c r="I4977">
        <v>4</v>
      </c>
      <c r="J4977" t="b">
        <f>AND(CCData[[#This Row],[Date]]&gt;=Calculation!$E$3,CCData[[#This Row],[Date]]&lt;Calculation!$E$3+7)</f>
        <v>0</v>
      </c>
    </row>
    <row r="4978" spans="1:10">
      <c r="A4978" t="s">
        <v>4977</v>
      </c>
      <c r="B4978" s="2">
        <v>42094.392</v>
      </c>
      <c r="C4978" s="3" t="s">
        <v>5006</v>
      </c>
      <c r="D4978" t="s">
        <v>5016</v>
      </c>
      <c r="E4978" t="s">
        <v>5018</v>
      </c>
      <c r="F4978" t="s">
        <v>5018</v>
      </c>
      <c r="G4978">
        <v>40</v>
      </c>
      <c r="H4978" s="5">
        <v>2.0291254373261173E-3</v>
      </c>
      <c r="I4978">
        <v>4</v>
      </c>
      <c r="J4978" t="b">
        <f>AND(CCData[[#This Row],[Date]]&gt;=Calculation!$E$3,CCData[[#This Row],[Date]]&lt;Calculation!$E$3+7)</f>
        <v>0</v>
      </c>
    </row>
    <row r="4979" spans="1:10">
      <c r="A4979" t="s">
        <v>4978</v>
      </c>
      <c r="B4979" s="2">
        <v>42094.425999999999</v>
      </c>
      <c r="C4979" s="3" t="s">
        <v>5006</v>
      </c>
      <c r="D4979" t="s">
        <v>5012</v>
      </c>
      <c r="E4979" t="s">
        <v>5018</v>
      </c>
      <c r="F4979" t="s">
        <v>5018</v>
      </c>
      <c r="G4979">
        <v>94</v>
      </c>
      <c r="H4979" s="5">
        <v>4.6038727806448559E-4</v>
      </c>
      <c r="I4979">
        <v>4</v>
      </c>
      <c r="J4979" t="b">
        <f>AND(CCData[[#This Row],[Date]]&gt;=Calculation!$E$3,CCData[[#This Row],[Date]]&lt;Calculation!$E$3+7)</f>
        <v>0</v>
      </c>
    </row>
    <row r="4980" spans="1:10">
      <c r="A4980" t="s">
        <v>4979</v>
      </c>
      <c r="B4980" s="2">
        <v>42094.444000000003</v>
      </c>
      <c r="C4980" s="3" t="s">
        <v>5006</v>
      </c>
      <c r="D4980" t="s">
        <v>5013</v>
      </c>
      <c r="E4980" t="s">
        <v>5019</v>
      </c>
      <c r="F4980" t="s">
        <v>5019</v>
      </c>
      <c r="G4980" t="s">
        <v>5022</v>
      </c>
      <c r="H4980" s="5" t="s">
        <v>5022</v>
      </c>
      <c r="I4980" t="s">
        <v>5022</v>
      </c>
      <c r="J4980" t="b">
        <f>AND(CCData[[#This Row],[Date]]&gt;=Calculation!$E$3,CCData[[#This Row],[Date]]&lt;Calculation!$E$3+7)</f>
        <v>0</v>
      </c>
    </row>
    <row r="4981" spans="1:10">
      <c r="A4981" t="s">
        <v>4980</v>
      </c>
      <c r="B4981" s="2">
        <v>42094.451000000001</v>
      </c>
      <c r="C4981" s="3" t="s">
        <v>5004</v>
      </c>
      <c r="D4981" t="s">
        <v>5015</v>
      </c>
      <c r="E4981" t="s">
        <v>5018</v>
      </c>
      <c r="F4981" t="s">
        <v>5018</v>
      </c>
      <c r="G4981">
        <v>37</v>
      </c>
      <c r="H4981" s="5">
        <v>2.9927156621774994E-3</v>
      </c>
      <c r="I4981">
        <v>5</v>
      </c>
      <c r="J4981" t="b">
        <f>AND(CCData[[#This Row],[Date]]&gt;=Calculation!$E$3,CCData[[#This Row],[Date]]&lt;Calculation!$E$3+7)</f>
        <v>0</v>
      </c>
    </row>
    <row r="4982" spans="1:10">
      <c r="A4982" t="s">
        <v>4981</v>
      </c>
      <c r="B4982" s="2">
        <v>42094.464</v>
      </c>
      <c r="C4982" s="3" t="s">
        <v>5004</v>
      </c>
      <c r="D4982" t="s">
        <v>5015</v>
      </c>
      <c r="E4982" t="s">
        <v>5018</v>
      </c>
      <c r="F4982" t="s">
        <v>5018</v>
      </c>
      <c r="G4982">
        <v>23</v>
      </c>
      <c r="H4982" s="5">
        <v>3.3247850132677838E-3</v>
      </c>
      <c r="I4982">
        <v>4</v>
      </c>
      <c r="J4982" t="b">
        <f>AND(CCData[[#This Row],[Date]]&gt;=Calculation!$E$3,CCData[[#This Row],[Date]]&lt;Calculation!$E$3+7)</f>
        <v>0</v>
      </c>
    </row>
    <row r="4983" spans="1:10">
      <c r="A4983" t="s">
        <v>4982</v>
      </c>
      <c r="B4983" s="2">
        <v>42094.472999999998</v>
      </c>
      <c r="C4983" s="3" t="s">
        <v>5007</v>
      </c>
      <c r="D4983" t="s">
        <v>5012</v>
      </c>
      <c r="E4983" t="s">
        <v>5018</v>
      </c>
      <c r="F4983" t="s">
        <v>5018</v>
      </c>
      <c r="G4983">
        <v>80</v>
      </c>
      <c r="H4983" s="5">
        <v>1.7909398757009701E-3</v>
      </c>
      <c r="I4983">
        <v>3</v>
      </c>
      <c r="J4983" t="b">
        <f>AND(CCData[[#This Row],[Date]]&gt;=Calculation!$E$3,CCData[[#This Row],[Date]]&lt;Calculation!$E$3+7)</f>
        <v>0</v>
      </c>
    </row>
    <row r="4984" spans="1:10">
      <c r="A4984" t="s">
        <v>4983</v>
      </c>
      <c r="B4984" s="2">
        <v>42094.481</v>
      </c>
      <c r="C4984" s="3" t="s">
        <v>5005</v>
      </c>
      <c r="D4984" t="s">
        <v>5014</v>
      </c>
      <c r="E4984" t="s">
        <v>5018</v>
      </c>
      <c r="F4984" t="s">
        <v>5018</v>
      </c>
      <c r="G4984">
        <v>81</v>
      </c>
      <c r="H4984" s="5">
        <v>3.3406167955831447E-3</v>
      </c>
      <c r="I4984">
        <v>1</v>
      </c>
      <c r="J4984" t="b">
        <f>AND(CCData[[#This Row],[Date]]&gt;=Calculation!$E$3,CCData[[#This Row],[Date]]&lt;Calculation!$E$3+7)</f>
        <v>0</v>
      </c>
    </row>
    <row r="4985" spans="1:10">
      <c r="A4985" t="s">
        <v>4984</v>
      </c>
      <c r="B4985" s="2">
        <v>42094.483999999997</v>
      </c>
      <c r="C4985" s="3" t="s">
        <v>5008</v>
      </c>
      <c r="D4985" t="s">
        <v>5012</v>
      </c>
      <c r="E4985" t="s">
        <v>5018</v>
      </c>
      <c r="F4985" t="s">
        <v>5018</v>
      </c>
      <c r="G4985">
        <v>53</v>
      </c>
      <c r="H4985" s="5">
        <v>2.1598297200863966E-3</v>
      </c>
      <c r="I4985">
        <v>4</v>
      </c>
      <c r="J4985" t="b">
        <f>AND(CCData[[#This Row],[Date]]&gt;=Calculation!$E$3,CCData[[#This Row],[Date]]&lt;Calculation!$E$3+7)</f>
        <v>0</v>
      </c>
    </row>
    <row r="4986" spans="1:10">
      <c r="A4986" t="s">
        <v>4985</v>
      </c>
      <c r="B4986" s="2">
        <v>42094.535000000003</v>
      </c>
      <c r="C4986" s="3" t="s">
        <v>5007</v>
      </c>
      <c r="D4986" t="s">
        <v>5014</v>
      </c>
      <c r="E4986" t="s">
        <v>5019</v>
      </c>
      <c r="F4986" t="s">
        <v>5019</v>
      </c>
      <c r="G4986" t="s">
        <v>5022</v>
      </c>
      <c r="H4986" s="5" t="s">
        <v>5022</v>
      </c>
      <c r="I4986" t="s">
        <v>5022</v>
      </c>
      <c r="J4986" t="b">
        <f>AND(CCData[[#This Row],[Date]]&gt;=Calculation!$E$3,CCData[[#This Row],[Date]]&lt;Calculation!$E$3+7)</f>
        <v>0</v>
      </c>
    </row>
    <row r="4987" spans="1:10">
      <c r="A4987" t="s">
        <v>4986</v>
      </c>
      <c r="B4987" s="2">
        <v>42094.535000000003</v>
      </c>
      <c r="C4987" s="3" t="s">
        <v>5003</v>
      </c>
      <c r="D4987" t="s">
        <v>5016</v>
      </c>
      <c r="E4987" t="s">
        <v>5018</v>
      </c>
      <c r="F4987" t="s">
        <v>5019</v>
      </c>
      <c r="G4987">
        <v>55</v>
      </c>
      <c r="H4987" s="5">
        <v>1.3954917784644971E-3</v>
      </c>
      <c r="I4987">
        <v>1</v>
      </c>
      <c r="J4987" t="b">
        <f>AND(CCData[[#This Row],[Date]]&gt;=Calculation!$E$3,CCData[[#This Row],[Date]]&lt;Calculation!$E$3+7)</f>
        <v>0</v>
      </c>
    </row>
    <row r="4988" spans="1:10">
      <c r="A4988" t="s">
        <v>4987</v>
      </c>
      <c r="B4988" s="2">
        <v>42094.542999999998</v>
      </c>
      <c r="C4988" s="3" t="s">
        <v>5005</v>
      </c>
      <c r="D4988" t="s">
        <v>5014</v>
      </c>
      <c r="E4988" t="s">
        <v>5018</v>
      </c>
      <c r="F4988" t="s">
        <v>5019</v>
      </c>
      <c r="G4988">
        <v>10</v>
      </c>
      <c r="H4988" s="5">
        <v>1.6872552459537191E-3</v>
      </c>
      <c r="I4988">
        <v>4</v>
      </c>
      <c r="J4988" t="b">
        <f>AND(CCData[[#This Row],[Date]]&gt;=Calculation!$E$3,CCData[[#This Row],[Date]]&lt;Calculation!$E$3+7)</f>
        <v>0</v>
      </c>
    </row>
    <row r="4989" spans="1:10">
      <c r="A4989" t="s">
        <v>4988</v>
      </c>
      <c r="B4989" s="2">
        <v>42094.555</v>
      </c>
      <c r="C4989" s="3" t="s">
        <v>5005</v>
      </c>
      <c r="D4989" t="s">
        <v>5012</v>
      </c>
      <c r="E4989" t="s">
        <v>5018</v>
      </c>
      <c r="F4989" t="s">
        <v>5018</v>
      </c>
      <c r="G4989">
        <v>14</v>
      </c>
      <c r="H4989" s="5">
        <v>3.8437669217468353E-3</v>
      </c>
      <c r="I4989">
        <v>4</v>
      </c>
      <c r="J4989" t="b">
        <f>AND(CCData[[#This Row],[Date]]&gt;=Calculation!$E$3,CCData[[#This Row],[Date]]&lt;Calculation!$E$3+7)</f>
        <v>0</v>
      </c>
    </row>
    <row r="4990" spans="1:10">
      <c r="A4990" t="s">
        <v>4989</v>
      </c>
      <c r="B4990" s="2">
        <v>42094.557000000001</v>
      </c>
      <c r="C4990" s="3" t="s">
        <v>5009</v>
      </c>
      <c r="D4990" t="s">
        <v>5012</v>
      </c>
      <c r="E4990" t="s">
        <v>5018</v>
      </c>
      <c r="F4990" t="s">
        <v>5018</v>
      </c>
      <c r="G4990">
        <v>62</v>
      </c>
      <c r="H4990" s="5">
        <v>4.0344211722630145E-3</v>
      </c>
      <c r="I4990">
        <v>5</v>
      </c>
      <c r="J4990" t="b">
        <f>AND(CCData[[#This Row],[Date]]&gt;=Calculation!$E$3,CCData[[#This Row],[Date]]&lt;Calculation!$E$3+7)</f>
        <v>0</v>
      </c>
    </row>
    <row r="4991" spans="1:10">
      <c r="A4991" t="s">
        <v>4990</v>
      </c>
      <c r="B4991" s="2">
        <v>42094.571000000004</v>
      </c>
      <c r="C4991" s="3" t="s">
        <v>5004</v>
      </c>
      <c r="D4991" t="s">
        <v>5014</v>
      </c>
      <c r="E4991" t="s">
        <v>5018</v>
      </c>
      <c r="F4991" t="s">
        <v>5018</v>
      </c>
      <c r="G4991">
        <v>122</v>
      </c>
      <c r="H4991" s="5">
        <v>3.4595424179654009E-3</v>
      </c>
      <c r="I4991">
        <v>4</v>
      </c>
      <c r="J4991" t="b">
        <f>AND(CCData[[#This Row],[Date]]&gt;=Calculation!$E$3,CCData[[#This Row],[Date]]&lt;Calculation!$E$3+7)</f>
        <v>0</v>
      </c>
    </row>
    <row r="4992" spans="1:10">
      <c r="A4992" t="s">
        <v>4991</v>
      </c>
      <c r="B4992" s="2">
        <v>42094.574000000001</v>
      </c>
      <c r="C4992" s="3" t="s">
        <v>5005</v>
      </c>
      <c r="D4992" t="s">
        <v>5016</v>
      </c>
      <c r="E4992" t="s">
        <v>5018</v>
      </c>
      <c r="F4992" t="s">
        <v>5018</v>
      </c>
      <c r="G4992">
        <v>73</v>
      </c>
      <c r="H4992" s="5">
        <v>4.4705971799148102E-3</v>
      </c>
      <c r="I4992">
        <v>1</v>
      </c>
      <c r="J4992" t="b">
        <f>AND(CCData[[#This Row],[Date]]&gt;=Calculation!$E$3,CCData[[#This Row],[Date]]&lt;Calculation!$E$3+7)</f>
        <v>0</v>
      </c>
    </row>
    <row r="4993" spans="1:10">
      <c r="A4993" t="s">
        <v>4992</v>
      </c>
      <c r="B4993" s="2">
        <v>42094.593000000001</v>
      </c>
      <c r="C4993" s="3" t="s">
        <v>5008</v>
      </c>
      <c r="D4993" t="s">
        <v>5016</v>
      </c>
      <c r="E4993" t="s">
        <v>5019</v>
      </c>
      <c r="F4993" t="s">
        <v>5019</v>
      </c>
      <c r="G4993" t="s">
        <v>5022</v>
      </c>
      <c r="H4993" s="5" t="s">
        <v>5022</v>
      </c>
      <c r="I4993" t="s">
        <v>5022</v>
      </c>
      <c r="J4993" t="b">
        <f>AND(CCData[[#This Row],[Date]]&gt;=Calculation!$E$3,CCData[[#This Row],[Date]]&lt;Calculation!$E$3+7)</f>
        <v>0</v>
      </c>
    </row>
    <row r="4994" spans="1:10">
      <c r="A4994" t="s">
        <v>4993</v>
      </c>
      <c r="B4994" s="2">
        <v>42094.595999999998</v>
      </c>
      <c r="C4994" s="3" t="s">
        <v>5008</v>
      </c>
      <c r="D4994" t="s">
        <v>5015</v>
      </c>
      <c r="E4994" t="s">
        <v>5019</v>
      </c>
      <c r="F4994" t="s">
        <v>5019</v>
      </c>
      <c r="G4994" t="s">
        <v>5022</v>
      </c>
      <c r="H4994" s="5" t="s">
        <v>5022</v>
      </c>
      <c r="I4994" t="s">
        <v>5022</v>
      </c>
      <c r="J4994" t="b">
        <f>AND(CCData[[#This Row],[Date]]&gt;=Calculation!$E$3,CCData[[#This Row],[Date]]&lt;Calculation!$E$3+7)</f>
        <v>0</v>
      </c>
    </row>
    <row r="4995" spans="1:10">
      <c r="A4995" t="s">
        <v>4994</v>
      </c>
      <c r="B4995" s="2">
        <v>42094.624000000003</v>
      </c>
      <c r="C4995" s="3" t="s">
        <v>5006</v>
      </c>
      <c r="D4995" t="s">
        <v>5012</v>
      </c>
      <c r="E4995" t="s">
        <v>5019</v>
      </c>
      <c r="F4995" t="s">
        <v>5019</v>
      </c>
      <c r="G4995" t="s">
        <v>5022</v>
      </c>
      <c r="H4995" s="5" t="s">
        <v>5022</v>
      </c>
      <c r="I4995" t="s">
        <v>5022</v>
      </c>
      <c r="J4995" t="b">
        <f>AND(CCData[[#This Row],[Date]]&gt;=Calculation!$E$3,CCData[[#This Row],[Date]]&lt;Calculation!$E$3+7)</f>
        <v>0</v>
      </c>
    </row>
    <row r="4996" spans="1:10">
      <c r="A4996" t="s">
        <v>4995</v>
      </c>
      <c r="B4996" s="2">
        <v>42094.648000000001</v>
      </c>
      <c r="C4996" s="3" t="s">
        <v>5010</v>
      </c>
      <c r="D4996" t="s">
        <v>5014</v>
      </c>
      <c r="E4996" t="s">
        <v>5019</v>
      </c>
      <c r="F4996" t="s">
        <v>5019</v>
      </c>
      <c r="G4996" t="s">
        <v>5022</v>
      </c>
      <c r="H4996" s="5" t="s">
        <v>5022</v>
      </c>
      <c r="I4996" t="s">
        <v>5022</v>
      </c>
      <c r="J4996" t="b">
        <f>AND(CCData[[#This Row],[Date]]&gt;=Calculation!$E$3,CCData[[#This Row],[Date]]&lt;Calculation!$E$3+7)</f>
        <v>0</v>
      </c>
    </row>
    <row r="4997" spans="1:10">
      <c r="A4997" t="s">
        <v>4996</v>
      </c>
      <c r="B4997" s="2">
        <v>42094.692999999999</v>
      </c>
      <c r="C4997" s="3" t="s">
        <v>5007</v>
      </c>
      <c r="D4997" t="s">
        <v>5014</v>
      </c>
      <c r="E4997" t="s">
        <v>5018</v>
      </c>
      <c r="F4997" t="s">
        <v>5018</v>
      </c>
      <c r="G4997">
        <v>22</v>
      </c>
      <c r="H4997" s="5">
        <v>3.9391902696312596E-3</v>
      </c>
      <c r="I4997">
        <v>1</v>
      </c>
      <c r="J4997" t="b">
        <f>AND(CCData[[#This Row],[Date]]&gt;=Calculation!$E$3,CCData[[#This Row],[Date]]&lt;Calculation!$E$3+7)</f>
        <v>0</v>
      </c>
    </row>
    <row r="4998" spans="1:10">
      <c r="A4998" t="s">
        <v>4997</v>
      </c>
      <c r="B4998" s="2">
        <v>42094.697999999997</v>
      </c>
      <c r="C4998" s="3" t="s">
        <v>5003</v>
      </c>
      <c r="D4998" t="s">
        <v>5014</v>
      </c>
      <c r="E4998" t="s">
        <v>5018</v>
      </c>
      <c r="F4998" t="s">
        <v>5018</v>
      </c>
      <c r="G4998">
        <v>100</v>
      </c>
      <c r="H4998" s="5">
        <v>2.2717985021203659E-3</v>
      </c>
      <c r="I4998">
        <v>3</v>
      </c>
      <c r="J4998" t="b">
        <f>AND(CCData[[#This Row],[Date]]&gt;=Calculation!$E$3,CCData[[#This Row],[Date]]&lt;Calculation!$E$3+7)</f>
        <v>0</v>
      </c>
    </row>
    <row r="4999" spans="1:10">
      <c r="A4999" t="s">
        <v>4998</v>
      </c>
      <c r="B4999" s="2">
        <v>42094.703999999998</v>
      </c>
      <c r="C4999" s="3" t="s">
        <v>5003</v>
      </c>
      <c r="D4999" t="s">
        <v>5014</v>
      </c>
      <c r="E4999" t="s">
        <v>5018</v>
      </c>
      <c r="F4999" t="s">
        <v>5018</v>
      </c>
      <c r="G4999">
        <v>84</v>
      </c>
      <c r="H4999" s="5">
        <v>1.2563055841786864E-3</v>
      </c>
      <c r="I4999">
        <v>4</v>
      </c>
      <c r="J4999" t="b">
        <f>AND(CCData[[#This Row],[Date]]&gt;=Calculation!$E$3,CCData[[#This Row],[Date]]&lt;Calculation!$E$3+7)</f>
        <v>0</v>
      </c>
    </row>
    <row r="5000" spans="1:10">
      <c r="A5000" t="s">
        <v>4999</v>
      </c>
      <c r="B5000" s="2">
        <v>42094.71</v>
      </c>
      <c r="C5000" s="3" t="s">
        <v>5007</v>
      </c>
      <c r="D5000" t="s">
        <v>5016</v>
      </c>
      <c r="E5000" t="s">
        <v>5018</v>
      </c>
      <c r="F5000" t="s">
        <v>5018</v>
      </c>
      <c r="G5000">
        <v>98</v>
      </c>
      <c r="H5000" s="5">
        <v>6.7259208518469086E-4</v>
      </c>
      <c r="I5000">
        <v>5</v>
      </c>
      <c r="J5000" t="b">
        <f>AND(CCData[[#This Row],[Date]]&gt;=Calculation!$E$3,CCData[[#This Row],[Date]]&lt;Calculation!$E$3+7)</f>
        <v>0</v>
      </c>
    </row>
    <row r="5001" spans="1:10">
      <c r="A5001" t="s">
        <v>5000</v>
      </c>
      <c r="B5001" s="2">
        <v>42094.735999999997</v>
      </c>
      <c r="C5001" s="3" t="s">
        <v>5003</v>
      </c>
      <c r="D5001" t="s">
        <v>5012</v>
      </c>
      <c r="E5001" t="s">
        <v>5019</v>
      </c>
      <c r="F5001" t="s">
        <v>5019</v>
      </c>
      <c r="G5001" t="s">
        <v>5022</v>
      </c>
      <c r="H5001" s="5" t="s">
        <v>5022</v>
      </c>
      <c r="I5001" t="s">
        <v>5022</v>
      </c>
      <c r="J5001" t="b">
        <f>AND(CCData[[#This Row],[Date]]&gt;=Calculation!$E$3,CCData[[#This Row],[Date]]&lt;Calculation!$E$3+7)</f>
        <v>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68"/>
  <sheetViews>
    <sheetView topLeftCell="A31" workbookViewId="0">
      <selection activeCell="D53" sqref="D53"/>
    </sheetView>
  </sheetViews>
  <sheetFormatPr defaultRowHeight="14.25"/>
  <cols>
    <col min="1" max="1" width="29.625" customWidth="1"/>
    <col min="2" max="2" width="16.25" customWidth="1"/>
    <col min="3" max="3" width="17.25" customWidth="1"/>
    <col min="4" max="4" width="18.75" customWidth="1"/>
    <col min="5" max="5" width="16.75" customWidth="1"/>
    <col min="7" max="7" width="9.625" customWidth="1"/>
    <col min="8" max="8" width="11.375" customWidth="1"/>
    <col min="9" max="9" width="9.625" bestFit="1" customWidth="1"/>
    <col min="10" max="10" width="17" customWidth="1"/>
    <col min="11" max="11" width="12.75" customWidth="1"/>
    <col min="13" max="13" width="11.875" customWidth="1"/>
    <col min="14" max="14" width="10.875" customWidth="1"/>
    <col min="15" max="15" width="14.125" customWidth="1"/>
    <col min="16" max="16" width="15.375" customWidth="1"/>
    <col min="17" max="17" width="15.875" customWidth="1"/>
  </cols>
  <sheetData>
    <row r="1" spans="1:17" ht="15">
      <c r="A1" s="1" t="s">
        <v>5028</v>
      </c>
    </row>
    <row r="2" spans="1:17" ht="15">
      <c r="A2" s="7" t="s">
        <v>5026</v>
      </c>
      <c r="B2" s="7" t="s">
        <v>5027</v>
      </c>
      <c r="E2" s="6" t="s">
        <v>5001</v>
      </c>
      <c r="F2" s="6"/>
    </row>
    <row r="3" spans="1:17">
      <c r="A3" s="6">
        <v>12</v>
      </c>
      <c r="B3" s="6">
        <v>1</v>
      </c>
      <c r="E3" s="9">
        <f>DATE(2015,1,5)+7*($A$3-1)</f>
        <v>42086</v>
      </c>
      <c r="F3" s="6" t="str">
        <f>"Week "&amp;A3</f>
        <v>Week 12</v>
      </c>
    </row>
    <row r="5" spans="1:17" ht="15">
      <c r="A5" s="1" t="s">
        <v>5029</v>
      </c>
    </row>
    <row r="6" spans="1:17">
      <c r="A6" s="4" t="s">
        <v>5030</v>
      </c>
      <c r="B6" s="4">
        <f>COUNTIF(CCData[Date check],TRUE)</f>
        <v>356</v>
      </c>
    </row>
    <row r="7" spans="1:17">
      <c r="A7" s="4" t="s">
        <v>5031</v>
      </c>
      <c r="B7" s="4" cm="1">
        <f t="array" ref="B7">SUMPRODUCT((CCData[Date check]=TRUE)*(CCData[Answered(Y/N)]="Y"))</f>
        <v>294</v>
      </c>
    </row>
    <row r="8" spans="1:17">
      <c r="A8" s="4" t="s">
        <v>5032</v>
      </c>
      <c r="B8" s="10" cm="1">
        <f t="array" ref="B8">SUMPRODUCT(--(CCData[Date check]=TRUE),(CCData[Speed of Answer]))/B6</f>
        <v>55.269662921348313</v>
      </c>
    </row>
    <row r="9" spans="1:17">
      <c r="A9" s="4" t="s">
        <v>5033</v>
      </c>
      <c r="B9" s="11">
        <f>(B6-B7)/B6</f>
        <v>0.17415730337078653</v>
      </c>
    </row>
    <row r="10" spans="1:17">
      <c r="A10" s="4" t="s">
        <v>5039</v>
      </c>
      <c r="B10" s="13">
        <f>B6/7</f>
        <v>50.857142857142854</v>
      </c>
    </row>
    <row r="11" spans="1:17">
      <c r="A11" s="4" t="s">
        <v>5034</v>
      </c>
      <c r="B11" s="12" cm="1">
        <f t="array" ref="B11">SUMPRODUCT(--(CCData[Date check]=TRUE),(CCData[Satisfaction rating]))/B7</f>
        <v>3.3265306122448979</v>
      </c>
    </row>
    <row r="12" spans="1:17">
      <c r="A12" s="4" t="s">
        <v>5070</v>
      </c>
      <c r="B12" s="4" cm="1">
        <f t="array" ref="B12">SUMPRODUCT((CCData[Date check]=TRUE)*(CCData[AvgTalkDuration]&lt;TIME(0,3,0))*(CCData[Answered(Y/N)]="Y"))</f>
        <v>120</v>
      </c>
    </row>
    <row r="13" spans="1:17">
      <c r="A13" s="4" t="s">
        <v>5071</v>
      </c>
      <c r="B13" s="11">
        <f>B12/B7</f>
        <v>0.40816326530612246</v>
      </c>
    </row>
    <row r="14" spans="1:17">
      <c r="A14" s="4" t="s">
        <v>5035</v>
      </c>
      <c r="B14" s="4" cm="1">
        <f t="array" ref="B14">SUMPRODUCT((CCData[Date check]=TRUE)*(CCData[Satisfaction rating]&lt;=3)*(CCData[Answered(Y/N)]="Y"))</f>
        <v>151</v>
      </c>
    </row>
    <row r="15" spans="1:17" ht="15">
      <c r="M15" s="1"/>
    </row>
    <row r="16" spans="1:17" ht="15">
      <c r="A16" s="1" t="s">
        <v>5049</v>
      </c>
      <c r="B16" s="19">
        <v>1</v>
      </c>
      <c r="C16" s="19">
        <v>2</v>
      </c>
      <c r="D16" s="19">
        <v>3</v>
      </c>
      <c r="E16" s="19">
        <v>4</v>
      </c>
      <c r="H16" t="s">
        <v>5044</v>
      </c>
      <c r="I16" t="s">
        <v>5045</v>
      </c>
      <c r="J16" t="s">
        <v>5046</v>
      </c>
      <c r="K16" t="s">
        <v>5047</v>
      </c>
      <c r="L16" t="s">
        <v>5002</v>
      </c>
      <c r="N16" s="21" t="s">
        <v>5030</v>
      </c>
      <c r="O16" s="21" t="s">
        <v>5031</v>
      </c>
      <c r="P16" s="21" t="s">
        <v>5032</v>
      </c>
      <c r="Q16" s="21" t="s">
        <v>5048</v>
      </c>
    </row>
    <row r="17" spans="1:17">
      <c r="A17" s="4" t="s">
        <v>5036</v>
      </c>
      <c r="B17" s="4" t="s">
        <v>5030</v>
      </c>
      <c r="C17" s="4" t="s">
        <v>5031</v>
      </c>
      <c r="D17" s="4" t="s">
        <v>5032</v>
      </c>
      <c r="E17" s="4" t="s">
        <v>5040</v>
      </c>
      <c r="F17" s="4" t="s">
        <v>5041</v>
      </c>
      <c r="G17" s="20"/>
      <c r="N17" s="22"/>
      <c r="O17" s="22"/>
      <c r="P17" s="22"/>
      <c r="Q17" s="22"/>
    </row>
    <row r="18" spans="1:17">
      <c r="A18" s="4" t="s">
        <v>5003</v>
      </c>
      <c r="B18" s="4" cm="1">
        <f t="array" ref="B18">SUMPRODUCT((CCData[Date check]=TRUE)*(CCData[Agent]=$A18))</f>
        <v>34</v>
      </c>
      <c r="C18" s="4" cm="1">
        <f t="array" ref="C18">SUMPRODUCT((CCData[Date check]=TRUE)*(CCData[Agent]=$A18)*(CCData[Answered(Y/N)]="Y"))</f>
        <v>26</v>
      </c>
      <c r="D18" s="18" cm="1">
        <f t="array" ref="D18">SUMPRODUCT((CCData[Date check]=TRUE)*(CCData[Agent]=$A18)*(CCData[Answered(Y/N)]="Y"),(CCData[Speed of Answer])) /B18</f>
        <v>46.058823529411768</v>
      </c>
      <c r="E18" s="12" cm="1">
        <f t="array" ref="E18">SUMPRODUCT((CCData[Date check]=TRUE)*(CCData[Agent]=$A18)*(CCData[Resolved]="Y"))/B18</f>
        <v>0.70588235294117652</v>
      </c>
      <c r="F18" s="4" cm="1">
        <f t="array" ref="F18">SUMPRODUCT((CCData[Date check]=TRUE)*(CCData[Agent]=$A18)*(CCData[Resolved]="Y"))</f>
        <v>24</v>
      </c>
      <c r="G18" s="20"/>
      <c r="H18" s="17" cm="1">
        <f t="array" ref="H18">INDEX($B$18:$E$25,ROWS($G$18:G18),$B$3)</f>
        <v>34</v>
      </c>
      <c r="I18" s="17">
        <f>H18+ROWS($H$18:H18)/1000000</f>
        <v>34.000000999999997</v>
      </c>
      <c r="J18" s="16">
        <f>IF($B$3=3,SMALL($I$18:$I$25,ROWS($I$18:I18)),LARGE($I$18:$I$25,ROWS($I$18:I18)))</f>
        <v>50.000008000000001</v>
      </c>
      <c r="K18">
        <f>MATCH(J18,$I$18:$I$25,0)</f>
        <v>8</v>
      </c>
      <c r="L18" t="str" cm="1">
        <f t="array" ref="L18">INDEX($A$18:$A$25,K18)</f>
        <v>Dan</v>
      </c>
      <c r="N18" s="22" cm="1">
        <f t="array" ref="N18">INDEX($B$18:$E$25,MATCH($L18,$A$18:$A$25,0),COLUMNS($L$18:L18))</f>
        <v>50</v>
      </c>
      <c r="O18" s="22" cm="1">
        <f t="array" ref="O18">INDEX($B$18:$E$25,MATCH($L18,$A$18:$A$25,0),COLUMNS($L$18:M18))</f>
        <v>46</v>
      </c>
      <c r="P18" s="22" cm="1">
        <f t="array" ref="P18">INDEX($B$18:$E$25,MATCH($L18,$A$18:$A$25,0),COLUMNS($L$18:N18))</f>
        <v>56.2</v>
      </c>
      <c r="Q18" s="22" cm="1">
        <f t="array" ref="Q18">INDEX($B$18:$E$25,MATCH($L18,$A$18:$A$25,0),COLUMNS($L$18:O18))</f>
        <v>0.78</v>
      </c>
    </row>
    <row r="19" spans="1:17">
      <c r="A19" s="4" t="s">
        <v>5004</v>
      </c>
      <c r="B19" s="4" cm="1">
        <f t="array" ref="B19">SUMPRODUCT((CCData[Date check]=TRUE)*(CCData[Agent]=$A19))</f>
        <v>45</v>
      </c>
      <c r="C19" s="4" cm="1">
        <f t="array" ref="C19">SUMPRODUCT((CCData[Date check]=TRUE)*(CCData[Agent]=$A19)*(CCData[Answered(Y/N)]="Y"))</f>
        <v>37</v>
      </c>
      <c r="D19" s="18" cm="1">
        <f t="array" ref="D19">SUMPRODUCT((CCData[Date check]=TRUE)*(CCData[Agent]=$A19)*(CCData[Answered(Y/N)]="Y"),(CCData[Speed of Answer])) /B19</f>
        <v>51.4</v>
      </c>
      <c r="E19" s="12" cm="1">
        <f t="array" ref="E19">SUMPRODUCT((CCData[Date check]=TRUE)*(CCData[Agent]=$A19)*(CCData[Resolved]="Y"))/B19</f>
        <v>0.73333333333333328</v>
      </c>
      <c r="F19" s="4" cm="1">
        <f t="array" ref="F19">SUMPRODUCT((CCData[Date check]=TRUE)*(CCData[Agent]=$A19)*(CCData[Resolved]="Y"))</f>
        <v>33</v>
      </c>
      <c r="G19" s="20"/>
      <c r="H19" s="17" cm="1">
        <f t="array" ref="H19">INDEX($B$18:$E$25,ROWS($G$18:G19),$B$3)</f>
        <v>45</v>
      </c>
      <c r="I19" s="17">
        <f>H19+ROWS($H$18:H19)/1000000</f>
        <v>45.000002000000002</v>
      </c>
      <c r="J19" s="16">
        <f>IF($B$3=3,SMALL($I$18:$I$25,ROWS($I$18:I19)),LARGE($I$18:$I$25,ROWS($I$18:I19)))</f>
        <v>49.000005999999999</v>
      </c>
      <c r="K19">
        <f t="shared" ref="K19:K25" si="0">MATCH(J19,$I$18:$I$25,0)</f>
        <v>6</v>
      </c>
      <c r="L19" t="str" cm="1">
        <f t="array" ref="L19">INDEX($A$18:$A$25,K19)</f>
        <v>Joe</v>
      </c>
      <c r="N19" s="22" cm="1">
        <f t="array" ref="N19">INDEX($B$18:$E$25,MATCH($L19,$A$18:$A$25,0),COLUMNS($L$18:L19))</f>
        <v>49</v>
      </c>
      <c r="O19" s="22" cm="1">
        <f t="array" ref="O19">INDEX($B$18:$E$25,MATCH($L19,$A$18:$A$25,0),COLUMNS($L$18:M19))</f>
        <v>39</v>
      </c>
      <c r="P19" s="22" cm="1">
        <f t="array" ref="P19">INDEX($B$18:$E$25,MATCH($L19,$A$18:$A$25,0),COLUMNS($L$18:N19))</f>
        <v>52.102040816326529</v>
      </c>
      <c r="Q19" s="22" cm="1">
        <f t="array" ref="Q19">INDEX($B$18:$E$25,MATCH($L19,$A$18:$A$25,0),COLUMNS($L$18:O19))</f>
        <v>0.7142857142857143</v>
      </c>
    </row>
    <row r="20" spans="1:17">
      <c r="A20" s="4" t="s">
        <v>5005</v>
      </c>
      <c r="B20" s="4" cm="1">
        <f t="array" ref="B20">SUMPRODUCT((CCData[Date check]=TRUE)*(CCData[Agent]=$A20))</f>
        <v>42</v>
      </c>
      <c r="C20" s="4" cm="1">
        <f t="array" ref="C20">SUMPRODUCT((CCData[Date check]=TRUE)*(CCData[Agent]=$A20)*(CCData[Answered(Y/N)]="Y"))</f>
        <v>37</v>
      </c>
      <c r="D20" s="18" cm="1">
        <f t="array" ref="D20">SUMPRODUCT((CCData[Date check]=TRUE)*(CCData[Agent]=$A20)*(CCData[Answered(Y/N)]="Y"),(CCData[Speed of Answer])) /B20</f>
        <v>59</v>
      </c>
      <c r="E20" s="12" cm="1">
        <f t="array" ref="E20">SUMPRODUCT((CCData[Date check]=TRUE)*(CCData[Agent]=$A20)*(CCData[Resolved]="Y"))/B20</f>
        <v>0.7857142857142857</v>
      </c>
      <c r="F20" s="4" cm="1">
        <f t="array" ref="F20">SUMPRODUCT((CCData[Date check]=TRUE)*(CCData[Agent]=$A20)*(CCData[Resolved]="Y"))</f>
        <v>33</v>
      </c>
      <c r="G20" s="20"/>
      <c r="H20" s="17" cm="1">
        <f t="array" ref="H20">INDEX($B$18:$E$25,ROWS($G$18:G20),$B$3)</f>
        <v>42</v>
      </c>
      <c r="I20" s="17">
        <f>H20+ROWS($H$18:H20)/1000000</f>
        <v>42.000003</v>
      </c>
      <c r="J20" s="16">
        <f>IF($B$3=3,SMALL($I$18:$I$25,ROWS($I$18:I20)),LARGE($I$18:$I$25,ROWS($I$18:I20)))</f>
        <v>48.000006999999997</v>
      </c>
      <c r="K20">
        <f t="shared" si="0"/>
        <v>7</v>
      </c>
      <c r="L20" t="str" cm="1">
        <f t="array" ref="L20">INDEX($A$18:$A$25,K20)</f>
        <v>Martha</v>
      </c>
      <c r="N20" s="22" cm="1">
        <f t="array" ref="N20">INDEX($B$18:$E$25,MATCH($L20,$A$18:$A$25,0),COLUMNS($L$18:L20))</f>
        <v>48</v>
      </c>
      <c r="O20" s="22" cm="1">
        <f t="array" ref="O20">INDEX($B$18:$E$25,MATCH($L20,$A$18:$A$25,0),COLUMNS($L$18:M20))</f>
        <v>38</v>
      </c>
      <c r="P20" s="22" cm="1">
        <f t="array" ref="P20">INDEX($B$18:$E$25,MATCH($L20,$A$18:$A$25,0),COLUMNS($L$18:N20))</f>
        <v>59.666666666666664</v>
      </c>
      <c r="Q20" s="22" cm="1">
        <f t="array" ref="Q20">INDEX($B$18:$E$25,MATCH($L20,$A$18:$A$25,0),COLUMNS($L$18:O20))</f>
        <v>0.70833333333333337</v>
      </c>
    </row>
    <row r="21" spans="1:17">
      <c r="A21" s="4" t="s">
        <v>5006</v>
      </c>
      <c r="B21" s="4" cm="1">
        <f t="array" ref="B21">SUMPRODUCT((CCData[Date check]=TRUE)*(CCData[Agent]=$A21))</f>
        <v>47</v>
      </c>
      <c r="C21" s="4" cm="1">
        <f t="array" ref="C21">SUMPRODUCT((CCData[Date check]=TRUE)*(CCData[Agent]=$A21)*(CCData[Answered(Y/N)]="Y"))</f>
        <v>34</v>
      </c>
      <c r="D21" s="18" cm="1">
        <f t="array" ref="D21">SUMPRODUCT((CCData[Date check]=TRUE)*(CCData[Agent]=$A21)*(CCData[Answered(Y/N)]="Y"),(CCData[Speed of Answer])) /B21</f>
        <v>54.617021276595743</v>
      </c>
      <c r="E21" s="12" cm="1">
        <f t="array" ref="E21">SUMPRODUCT((CCData[Date check]=TRUE)*(CCData[Agent]=$A21)*(CCData[Resolved]="Y"))/B21</f>
        <v>0.68085106382978722</v>
      </c>
      <c r="F21" s="4" cm="1">
        <f t="array" ref="F21">SUMPRODUCT((CCData[Date check]=TRUE)*(CCData[Agent]=$A21)*(CCData[Resolved]="Y"))</f>
        <v>32</v>
      </c>
      <c r="G21" s="20"/>
      <c r="H21" s="17" cm="1">
        <f t="array" ref="H21">INDEX($B$18:$E$25,ROWS($G$18:G21),$B$3)</f>
        <v>47</v>
      </c>
      <c r="I21" s="17">
        <f>H21+ROWS($H$18:H21)/1000000</f>
        <v>47.000003999999997</v>
      </c>
      <c r="J21" s="16">
        <f>IF($B$3=3,SMALL($I$18:$I$25,ROWS($I$18:I21)),LARGE($I$18:$I$25,ROWS($I$18:I21)))</f>
        <v>47.000003999999997</v>
      </c>
      <c r="K21">
        <f t="shared" si="0"/>
        <v>4</v>
      </c>
      <c r="L21" t="str" cm="1">
        <f t="array" ref="L21">INDEX($A$18:$A$25,K21)</f>
        <v>Greg</v>
      </c>
      <c r="N21" s="22" cm="1">
        <f t="array" ref="N21">INDEX($B$18:$E$25,MATCH($L21,$A$18:$A$25,0),COLUMNS($L$18:L21))</f>
        <v>47</v>
      </c>
      <c r="O21" s="22" cm="1">
        <f t="array" ref="O21">INDEX($B$18:$E$25,MATCH($L21,$A$18:$A$25,0),COLUMNS($L$18:M21))</f>
        <v>34</v>
      </c>
      <c r="P21" s="22" cm="1">
        <f t="array" ref="P21">INDEX($B$18:$E$25,MATCH($L21,$A$18:$A$25,0),COLUMNS($L$18:N21))</f>
        <v>54.617021276595743</v>
      </c>
      <c r="Q21" s="22" cm="1">
        <f t="array" ref="Q21">INDEX($B$18:$E$25,MATCH($L21,$A$18:$A$25,0),COLUMNS($L$18:O21))</f>
        <v>0.68085106382978722</v>
      </c>
    </row>
    <row r="22" spans="1:17">
      <c r="A22" s="4" t="s">
        <v>5007</v>
      </c>
      <c r="B22" s="4" cm="1">
        <f t="array" ref="B22">SUMPRODUCT((CCData[Date check]=TRUE)*(CCData[Agent]=$A22))</f>
        <v>41</v>
      </c>
      <c r="C22" s="4" cm="1">
        <f t="array" ref="C22">SUMPRODUCT((CCData[Date check]=TRUE)*(CCData[Agent]=$A22)*(CCData[Answered(Y/N)]="Y"))</f>
        <v>37</v>
      </c>
      <c r="D22" s="18" cm="1">
        <f t="array" ref="D22">SUMPRODUCT((CCData[Date check]=TRUE)*(CCData[Agent]=$A22)*(CCData[Answered(Y/N)]="Y"),(CCData[Speed of Answer])) /B22</f>
        <v>61.585365853658537</v>
      </c>
      <c r="E22" s="12" cm="1">
        <f t="array" ref="E22">SUMPRODUCT((CCData[Date check]=TRUE)*(CCData[Agent]=$A22)*(CCData[Resolved]="Y"))/B22</f>
        <v>0.80487804878048785</v>
      </c>
      <c r="F22" s="4" cm="1">
        <f t="array" ref="F22">SUMPRODUCT((CCData[Date check]=TRUE)*(CCData[Agent]=$A22)*(CCData[Resolved]="Y"))</f>
        <v>33</v>
      </c>
      <c r="G22" s="20"/>
      <c r="H22" s="17" cm="1">
        <f t="array" ref="H22">INDEX($B$18:$E$25,ROWS($G$18:G22),$B$3)</f>
        <v>41</v>
      </c>
      <c r="I22" s="17">
        <f>H22+ROWS($H$18:H22)/1000000</f>
        <v>41.000005000000002</v>
      </c>
      <c r="J22" s="16">
        <f>IF($B$3=3,SMALL($I$18:$I$25,ROWS($I$18:I22)),LARGE($I$18:$I$25,ROWS($I$18:I22)))</f>
        <v>45.000002000000002</v>
      </c>
      <c r="K22">
        <f t="shared" si="0"/>
        <v>2</v>
      </c>
      <c r="L22" t="str" cm="1">
        <f t="array" ref="L22">INDEX($A$18:$A$25,K22)</f>
        <v>Becky</v>
      </c>
      <c r="N22" s="22" cm="1">
        <f t="array" ref="N22">INDEX($B$18:$E$25,MATCH($L22,$A$18:$A$25,0),COLUMNS($L$18:L22))</f>
        <v>45</v>
      </c>
      <c r="O22" s="22" cm="1">
        <f t="array" ref="O22">INDEX($B$18:$E$25,MATCH($L22,$A$18:$A$25,0),COLUMNS($L$18:M22))</f>
        <v>37</v>
      </c>
      <c r="P22" s="22" cm="1">
        <f t="array" ref="P22">INDEX($B$18:$E$25,MATCH($L22,$A$18:$A$25,0),COLUMNS($L$18:N22))</f>
        <v>51.4</v>
      </c>
      <c r="Q22" s="22" cm="1">
        <f t="array" ref="Q22">INDEX($B$18:$E$25,MATCH($L22,$A$18:$A$25,0),COLUMNS($L$18:O22))</f>
        <v>0.73333333333333328</v>
      </c>
    </row>
    <row r="23" spans="1:17">
      <c r="A23" s="4" t="s">
        <v>5008</v>
      </c>
      <c r="B23" s="4" cm="1">
        <f t="array" ref="B23">SUMPRODUCT((CCData[Date check]=TRUE)*(CCData[Agent]=$A23))</f>
        <v>49</v>
      </c>
      <c r="C23" s="4" cm="1">
        <f t="array" ref="C23">SUMPRODUCT((CCData[Date check]=TRUE)*(CCData[Agent]=$A23)*(CCData[Answered(Y/N)]="Y"))</f>
        <v>39</v>
      </c>
      <c r="D23" s="18" cm="1">
        <f t="array" ref="D23">SUMPRODUCT((CCData[Date check]=TRUE)*(CCData[Agent]=$A23)*(CCData[Answered(Y/N)]="Y"),(CCData[Speed of Answer])) /B23</f>
        <v>52.102040816326529</v>
      </c>
      <c r="E23" s="12" cm="1">
        <f t="array" ref="E23">SUMPRODUCT((CCData[Date check]=TRUE)*(CCData[Agent]=$A23)*(CCData[Resolved]="Y"))/B23</f>
        <v>0.7142857142857143</v>
      </c>
      <c r="F23" s="4" cm="1">
        <f t="array" ref="F23">SUMPRODUCT((CCData[Date check]=TRUE)*(CCData[Agent]=$A23)*(CCData[Resolved]="Y"))</f>
        <v>35</v>
      </c>
      <c r="G23" s="20"/>
      <c r="H23" s="17" cm="1">
        <f t="array" ref="H23">INDEX($B$18:$E$25,ROWS($G$18:G23),$B$3)</f>
        <v>49</v>
      </c>
      <c r="I23" s="17">
        <f>H23+ROWS($H$18:H23)/1000000</f>
        <v>49.000005999999999</v>
      </c>
      <c r="J23" s="16">
        <f>IF($B$3=3,SMALL($I$18:$I$25,ROWS($I$18:I23)),LARGE($I$18:$I$25,ROWS($I$18:I23)))</f>
        <v>42.000003</v>
      </c>
      <c r="K23">
        <f t="shared" si="0"/>
        <v>3</v>
      </c>
      <c r="L23" t="str" cm="1">
        <f t="array" ref="L23">INDEX($A$18:$A$25,K23)</f>
        <v>Stewart</v>
      </c>
      <c r="N23" s="22" cm="1">
        <f t="array" ref="N23">INDEX($B$18:$E$25,MATCH($L23,$A$18:$A$25,0),COLUMNS($L$18:L23))</f>
        <v>42</v>
      </c>
      <c r="O23" s="22" cm="1">
        <f t="array" ref="O23">INDEX($B$18:$E$25,MATCH($L23,$A$18:$A$25,0),COLUMNS($L$18:M23))</f>
        <v>37</v>
      </c>
      <c r="P23" s="22" cm="1">
        <f t="array" ref="P23">INDEX($B$18:$E$25,MATCH($L23,$A$18:$A$25,0),COLUMNS($L$18:N23))</f>
        <v>59</v>
      </c>
      <c r="Q23" s="22" cm="1">
        <f t="array" ref="Q23">INDEX($B$18:$E$25,MATCH($L23,$A$18:$A$25,0),COLUMNS($L$18:O23))</f>
        <v>0.7857142857142857</v>
      </c>
    </row>
    <row r="24" spans="1:17">
      <c r="A24" s="4" t="s">
        <v>5009</v>
      </c>
      <c r="B24" s="4" cm="1">
        <f t="array" ref="B24">SUMPRODUCT((CCData[Date check]=TRUE)*(CCData[Agent]=$A24))</f>
        <v>48</v>
      </c>
      <c r="C24" s="4" cm="1">
        <f t="array" ref="C24">SUMPRODUCT((CCData[Date check]=TRUE)*(CCData[Agent]=$A24)*(CCData[Answered(Y/N)]="Y"))</f>
        <v>38</v>
      </c>
      <c r="D24" s="18" cm="1">
        <f t="array" ref="D24">SUMPRODUCT((CCData[Date check]=TRUE)*(CCData[Agent]=$A24)*(CCData[Answered(Y/N)]="Y"),(CCData[Speed of Answer])) /B24</f>
        <v>59.666666666666664</v>
      </c>
      <c r="E24" s="12" cm="1">
        <f t="array" ref="E24">SUMPRODUCT((CCData[Date check]=TRUE)*(CCData[Agent]=$A24)*(CCData[Resolved]="Y"))/B24</f>
        <v>0.70833333333333337</v>
      </c>
      <c r="F24" s="4" cm="1">
        <f t="array" ref="F24">SUMPRODUCT((CCData[Date check]=TRUE)*(CCData[Agent]=$A24)*(CCData[Resolved]="Y"))</f>
        <v>34</v>
      </c>
      <c r="G24" s="20"/>
      <c r="H24" s="17" cm="1">
        <f t="array" ref="H24">INDEX($B$18:$E$25,ROWS($G$18:G24),$B$3)</f>
        <v>48</v>
      </c>
      <c r="I24" s="17">
        <f>H24+ROWS($H$18:H24)/1000000</f>
        <v>48.000006999999997</v>
      </c>
      <c r="J24" s="16">
        <f>IF($B$3=3,SMALL($I$18:$I$25,ROWS($I$18:I24)),LARGE($I$18:$I$25,ROWS($I$18:I24)))</f>
        <v>41.000005000000002</v>
      </c>
      <c r="K24">
        <f t="shared" si="0"/>
        <v>5</v>
      </c>
      <c r="L24" t="str" cm="1">
        <f t="array" ref="L24">INDEX($A$18:$A$25,K24)</f>
        <v>Jim</v>
      </c>
      <c r="N24" s="22" cm="1">
        <f t="array" ref="N24">INDEX($B$18:$E$25,MATCH($L24,$A$18:$A$25,0),COLUMNS($L$18:L24))</f>
        <v>41</v>
      </c>
      <c r="O24" s="22" cm="1">
        <f t="array" ref="O24">INDEX($B$18:$E$25,MATCH($L24,$A$18:$A$25,0),COLUMNS($L$18:M24))</f>
        <v>37</v>
      </c>
      <c r="P24" s="22" cm="1">
        <f t="array" ref="P24">INDEX($B$18:$E$25,MATCH($L24,$A$18:$A$25,0),COLUMNS($L$18:N24))</f>
        <v>61.585365853658537</v>
      </c>
      <c r="Q24" s="22" cm="1">
        <f t="array" ref="Q24">INDEX($B$18:$E$25,MATCH($L24,$A$18:$A$25,0),COLUMNS($L$18:O24))</f>
        <v>0.80487804878048785</v>
      </c>
    </row>
    <row r="25" spans="1:17">
      <c r="A25" s="4" t="s">
        <v>5010</v>
      </c>
      <c r="B25" s="4" cm="1">
        <f t="array" ref="B25">SUMPRODUCT((CCData[Date check]=TRUE)*(CCData[Agent]=$A25))</f>
        <v>50</v>
      </c>
      <c r="C25" s="4" cm="1">
        <f t="array" ref="C25">SUMPRODUCT((CCData[Date check]=TRUE)*(CCData[Agent]=$A25)*(CCData[Answered(Y/N)]="Y"))</f>
        <v>46</v>
      </c>
      <c r="D25" s="18" cm="1">
        <f t="array" ref="D25">SUMPRODUCT((CCData[Date check]=TRUE)*(CCData[Agent]=$A25)*(CCData[Answered(Y/N)]="Y"),(CCData[Speed of Answer])) /B25</f>
        <v>56.2</v>
      </c>
      <c r="E25" s="12" cm="1">
        <f t="array" ref="E25">SUMPRODUCT((CCData[Date check]=TRUE)*(CCData[Agent]=$A25)*(CCData[Resolved]="Y"))/B25</f>
        <v>0.78</v>
      </c>
      <c r="F25" s="4" cm="1">
        <f t="array" ref="F25">SUMPRODUCT((CCData[Date check]=TRUE)*(CCData[Agent]=$A25)*(CCData[Resolved]="Y"))</f>
        <v>39</v>
      </c>
      <c r="G25" s="20"/>
      <c r="H25" s="17" cm="1">
        <f t="array" ref="H25">INDEX($B$18:$E$25,ROWS($G$18:G25),$B$3)</f>
        <v>50</v>
      </c>
      <c r="I25" s="17">
        <f>H25+ROWS($H$18:H25)/1000000</f>
        <v>50.000008000000001</v>
      </c>
      <c r="J25" s="16">
        <f>IF($B$3=3,SMALL($I$18:$I$25,ROWS($I$18:I25)),LARGE($I$18:$I$25,ROWS($I$18:I25)))</f>
        <v>34.000000999999997</v>
      </c>
      <c r="K25">
        <f t="shared" si="0"/>
        <v>1</v>
      </c>
      <c r="L25" t="str" cm="1">
        <f t="array" ref="L25">INDEX($A$18:$A$25,K25)</f>
        <v>Diane</v>
      </c>
      <c r="N25" s="22" cm="1">
        <f t="array" ref="N25">INDEX($B$18:$E$25,MATCH($L25,$A$18:$A$25,0),COLUMNS($L$18:L25))</f>
        <v>34</v>
      </c>
      <c r="O25" s="22" cm="1">
        <f t="array" ref="O25">INDEX($B$18:$E$25,MATCH($L25,$A$18:$A$25,0),COLUMNS($L$18:M25))</f>
        <v>26</v>
      </c>
      <c r="P25" s="22" cm="1">
        <f t="array" ref="P25">INDEX($B$18:$E$25,MATCH($L25,$A$18:$A$25,0),COLUMNS($L$18:N25))</f>
        <v>46.058823529411768</v>
      </c>
      <c r="Q25" s="22" cm="1">
        <f t="array" ref="Q25">INDEX($B$18:$E$25,MATCH($L25,$A$18:$A$25,0),COLUMNS($L$18:O25))</f>
        <v>0.70588235294117652</v>
      </c>
    </row>
    <row r="27" spans="1:17" ht="15">
      <c r="A27" s="1" t="s">
        <v>5067</v>
      </c>
    </row>
    <row r="28" spans="1:17">
      <c r="A28" s="4"/>
      <c r="B28" s="4" t="s">
        <v>5050</v>
      </c>
      <c r="C28" s="4" t="s">
        <v>5051</v>
      </c>
      <c r="D28" s="4" t="s">
        <v>5052</v>
      </c>
      <c r="E28" s="4" t="s">
        <v>5053</v>
      </c>
      <c r="F28" s="37" t="s">
        <v>5054</v>
      </c>
      <c r="G28" s="38"/>
    </row>
    <row r="29" spans="1:17">
      <c r="A29" s="4" t="s">
        <v>5012</v>
      </c>
      <c r="B29" s="4" cm="1">
        <f t="array" ref="B29">SUMPRODUCT((CCData[Date check]=TRUE)*(CCData[Department]=$A29))</f>
        <v>69</v>
      </c>
      <c r="C29" s="4" cm="1">
        <f t="array" ref="C29">SUMPRODUCT((CCData[Date check]=TRUE)*(CCData[Department]=$A29)*(CCData[Answered(Y/N)]="Y"))</f>
        <v>60</v>
      </c>
      <c r="D29" s="11">
        <f>(B29-C29)/B29</f>
        <v>0.13043478260869565</v>
      </c>
      <c r="E29" s="31">
        <v>0.2</v>
      </c>
      <c r="F29" s="39" t="e">
        <f>IF(D29&gt;E29,D29,NA())</f>
        <v>#N/A</v>
      </c>
      <c r="G29" s="40"/>
    </row>
    <row r="30" spans="1:17">
      <c r="A30" s="4" t="s">
        <v>5014</v>
      </c>
      <c r="B30" s="4" cm="1">
        <f t="array" ref="B30">SUMPRODUCT((CCData[Date check]=TRUE)*(CCData[Department]=$A30))</f>
        <v>76</v>
      </c>
      <c r="C30" s="4" cm="1">
        <f t="array" ref="C30">SUMPRODUCT((CCData[Date check]=TRUE)*(CCData[Department]=$A30)*(CCData[Answered(Y/N)]="Y"))</f>
        <v>64</v>
      </c>
      <c r="D30" s="11">
        <f t="shared" ref="D30:D33" si="1">(B30-C30)/B30</f>
        <v>0.15789473684210525</v>
      </c>
      <c r="E30" s="31">
        <v>0.2</v>
      </c>
      <c r="F30" s="39" t="e">
        <f t="shared" ref="F30:F33" si="2">IF(D30&gt;E30,D30,NA())</f>
        <v>#N/A</v>
      </c>
      <c r="G30" s="40"/>
    </row>
    <row r="31" spans="1:17">
      <c r="A31" s="4" t="s">
        <v>5015</v>
      </c>
      <c r="B31" s="4" cm="1">
        <f t="array" ref="B31">SUMPRODUCT((CCData[Date check]=TRUE)*(CCData[Department]=$A31))</f>
        <v>70</v>
      </c>
      <c r="C31" s="4" cm="1">
        <f t="array" ref="C31">SUMPRODUCT((CCData[Date check]=TRUE)*(CCData[Department]=$A31)*(CCData[Answered(Y/N)]="Y"))</f>
        <v>58</v>
      </c>
      <c r="D31" s="11">
        <f t="shared" si="1"/>
        <v>0.17142857142857143</v>
      </c>
      <c r="E31" s="31">
        <v>0.2</v>
      </c>
      <c r="F31" s="39" t="e">
        <f t="shared" si="2"/>
        <v>#N/A</v>
      </c>
      <c r="G31" s="40"/>
    </row>
    <row r="32" spans="1:17">
      <c r="A32" s="4" t="s">
        <v>5013</v>
      </c>
      <c r="B32" s="4" cm="1">
        <f t="array" ref="B32">SUMPRODUCT((CCData[Date check]=TRUE)*(CCData[Department]=$A32))</f>
        <v>80</v>
      </c>
      <c r="C32" s="4" cm="1">
        <f t="array" ref="C32">SUMPRODUCT((CCData[Date check]=TRUE)*(CCData[Department]=$A32)*(CCData[Answered(Y/N)]="Y"))</f>
        <v>64</v>
      </c>
      <c r="D32" s="11">
        <f t="shared" si="1"/>
        <v>0.2</v>
      </c>
      <c r="E32" s="31">
        <v>0.2</v>
      </c>
      <c r="F32" s="41" t="e">
        <f t="shared" si="2"/>
        <v>#N/A</v>
      </c>
      <c r="G32" s="42"/>
    </row>
    <row r="33" spans="1:7">
      <c r="A33" s="4" t="s">
        <v>5016</v>
      </c>
      <c r="B33" s="4" cm="1">
        <f t="array" ref="B33">SUMPRODUCT((CCData[Date check]=TRUE)*(CCData[Department]=$A33))</f>
        <v>61</v>
      </c>
      <c r="C33" s="4" cm="1">
        <f t="array" ref="C33">SUMPRODUCT((CCData[Date check]=TRUE)*(CCData[Department]=$A33)*(CCData[Answered(Y/N)]="Y"))</f>
        <v>48</v>
      </c>
      <c r="D33" s="11">
        <f t="shared" si="1"/>
        <v>0.21311475409836064</v>
      </c>
      <c r="E33" s="31">
        <v>0.2</v>
      </c>
      <c r="F33" s="35">
        <f t="shared" si="2"/>
        <v>0.21311475409836064</v>
      </c>
      <c r="G33" s="36"/>
    </row>
    <row r="35" spans="1:7" ht="15">
      <c r="A35" s="1" t="s">
        <v>5068</v>
      </c>
    </row>
    <row r="37" spans="1:7">
      <c r="A37" s="4" t="s">
        <v>5036</v>
      </c>
      <c r="B37" s="4" t="s">
        <v>5064</v>
      </c>
      <c r="C37" s="4" t="s">
        <v>5065</v>
      </c>
    </row>
    <row r="38" spans="1:7">
      <c r="A38" s="4" t="str">
        <f>L18</f>
        <v>Dan</v>
      </c>
      <c r="B38" s="12" cm="1">
        <f t="array" ref="B38">SUMPRODUCT(--(CCData[Date check]=TRUE)*(CCData[Agent]=$A38),(CCData[Satisfaction rating]))/O18</f>
        <v>3.1956521739130435</v>
      </c>
      <c r="C38" s="4">
        <v>3.5</v>
      </c>
    </row>
    <row r="39" spans="1:7">
      <c r="A39" s="4" t="str">
        <f t="shared" ref="A39:A45" si="3">L19</f>
        <v>Joe</v>
      </c>
      <c r="B39" s="12" cm="1">
        <f t="array" ref="B39">SUMPRODUCT(--(CCData[Date check]=TRUE)*(CCData[Agent]=$A39),(CCData[Satisfaction rating]))/O19</f>
        <v>3.2051282051282053</v>
      </c>
      <c r="C39" s="4">
        <v>3.5</v>
      </c>
    </row>
    <row r="40" spans="1:7">
      <c r="A40" s="4" t="str">
        <f t="shared" si="3"/>
        <v>Martha</v>
      </c>
      <c r="B40" s="12" cm="1">
        <f t="array" ref="B40">SUMPRODUCT(--(CCData[Date check]=TRUE)*(CCData[Agent]=$A40),(CCData[Satisfaction rating]))/O20</f>
        <v>3.4736842105263159</v>
      </c>
      <c r="C40" s="4">
        <v>3.5</v>
      </c>
    </row>
    <row r="41" spans="1:7">
      <c r="A41" s="4" t="str">
        <f t="shared" si="3"/>
        <v>Greg</v>
      </c>
      <c r="B41" s="12" cm="1">
        <f t="array" ref="B41">SUMPRODUCT(--(CCData[Date check]=TRUE)*(CCData[Agent]=$A41),(CCData[Satisfaction rating]))/O21</f>
        <v>3.2941176470588234</v>
      </c>
      <c r="C41" s="4">
        <v>3.5</v>
      </c>
    </row>
    <row r="42" spans="1:7">
      <c r="A42" s="4" t="str">
        <f t="shared" si="3"/>
        <v>Becky</v>
      </c>
      <c r="B42" s="12" cm="1">
        <f t="array" ref="B42">SUMPRODUCT(--(CCData[Date check]=TRUE)*(CCData[Agent]=$A42),(CCData[Satisfaction rating]))/O22</f>
        <v>3.2702702702702702</v>
      </c>
      <c r="C42" s="4">
        <v>3.5</v>
      </c>
    </row>
    <row r="43" spans="1:7">
      <c r="A43" s="4" t="str">
        <f t="shared" si="3"/>
        <v>Stewart</v>
      </c>
      <c r="B43" s="12" cm="1">
        <f t="array" ref="B43">SUMPRODUCT(--(CCData[Date check]=TRUE)*(CCData[Agent]=$A43),(CCData[Satisfaction rating]))/O23</f>
        <v>3.2702702702702702</v>
      </c>
      <c r="C43" s="4">
        <v>3.5</v>
      </c>
    </row>
    <row r="44" spans="1:7">
      <c r="A44" s="4" t="str">
        <f t="shared" si="3"/>
        <v>Jim</v>
      </c>
      <c r="B44" s="12" cm="1">
        <f t="array" ref="B44">SUMPRODUCT(--(CCData[Date check]=TRUE)*(CCData[Agent]=$A44),(CCData[Satisfaction rating]))/O24</f>
        <v>3.3513513513513513</v>
      </c>
      <c r="C44" s="4">
        <v>3.5</v>
      </c>
    </row>
    <row r="45" spans="1:7">
      <c r="A45" s="4" t="str">
        <f t="shared" si="3"/>
        <v>Diane</v>
      </c>
      <c r="B45" s="12" cm="1">
        <f t="array" ref="B45">SUMPRODUCT(--(CCData[Date check]=TRUE)*(CCData[Agent]=$A45),(CCData[Satisfaction rating]))/O25</f>
        <v>3.6923076923076925</v>
      </c>
      <c r="C45" s="4">
        <v>3.5</v>
      </c>
    </row>
    <row r="47" spans="1:7">
      <c r="A47" t="s">
        <v>5069</v>
      </c>
    </row>
    <row r="49" spans="1:9">
      <c r="A49" s="4" t="s">
        <v>5066</v>
      </c>
      <c r="B49" s="4"/>
    </row>
    <row r="50" spans="1:9">
      <c r="A50" s="4">
        <v>50</v>
      </c>
      <c r="B50" s="4">
        <f>B11*20-2</f>
        <v>64.530612244897952</v>
      </c>
    </row>
    <row r="51" spans="1:9">
      <c r="A51" s="4">
        <v>20</v>
      </c>
      <c r="B51" s="4">
        <v>2</v>
      </c>
    </row>
    <row r="52" spans="1:9">
      <c r="A52" s="4">
        <v>30</v>
      </c>
      <c r="B52" s="4">
        <f>200-B50-B51</f>
        <v>133.46938775510205</v>
      </c>
    </row>
    <row r="53" spans="1:9">
      <c r="A53" s="4">
        <v>100</v>
      </c>
      <c r="B53" s="4"/>
    </row>
    <row r="59" spans="1:9">
      <c r="A59" t="s">
        <v>5063</v>
      </c>
    </row>
    <row r="60" spans="1:9">
      <c r="A60" s="4" t="s">
        <v>5036</v>
      </c>
      <c r="B60" s="4" t="s">
        <v>5055</v>
      </c>
      <c r="C60" s="4" t="s">
        <v>5056</v>
      </c>
      <c r="D60" s="4" t="s">
        <v>5057</v>
      </c>
      <c r="E60" s="4" t="s">
        <v>5058</v>
      </c>
      <c r="F60" s="4" t="s">
        <v>5059</v>
      </c>
      <c r="G60" s="4" t="s">
        <v>5060</v>
      </c>
      <c r="H60" s="4" t="s">
        <v>5061</v>
      </c>
      <c r="I60" s="4" t="s">
        <v>5062</v>
      </c>
    </row>
    <row r="61" spans="1:9">
      <c r="A61" s="4" t="s">
        <v>5003</v>
      </c>
      <c r="B61" s="4" cm="1">
        <f t="array" ref="B61">SUMPRODUCT((INT(CCData[Date])=($E$3+COLUMNS($A$61:A61)-1))*(CCData[Agent]=$A61)*(CCData[Resolved]="Y"))</f>
        <v>4</v>
      </c>
      <c r="C61" s="4" cm="1">
        <f t="array" ref="C61">SUMPRODUCT((INT(CCData[Date])=($E$3+COLUMNS($A$61:B61)-1))*(CCData[Agent]=$A61)*(CCData[Resolved]="Y"))</f>
        <v>3</v>
      </c>
      <c r="D61" s="4" cm="1">
        <f t="array" ref="D61">SUMPRODUCT((INT(CCData[Date])=($E$3+COLUMNS($A$61:C61)-1))*(CCData[Agent]=$A61)*(CCData[Resolved]="Y"))</f>
        <v>2</v>
      </c>
      <c r="E61" s="4" cm="1">
        <f t="array" ref="E61">SUMPRODUCT((INT(CCData[Date])=($E$3+COLUMNS($A$61:D61)-1))*(CCData[Agent]=$A61)*(CCData[Resolved]="Y"))</f>
        <v>4</v>
      </c>
      <c r="F61" s="4" cm="1">
        <f t="array" ref="F61">SUMPRODUCT((INT(CCData[Date])=($E$3+COLUMNS($A$61:E61)-1))*(CCData[Agent]=$A61)*(CCData[Resolved]="Y"))</f>
        <v>1</v>
      </c>
      <c r="G61" s="4" cm="1">
        <f t="array" ref="G61">SUMPRODUCT((INT(CCData[Date])=($E$3+COLUMNS($A$61:F61)-1))*(CCData[Agent]=$A61)*(CCData[Resolved]="Y"))</f>
        <v>4</v>
      </c>
      <c r="H61" s="4" cm="1">
        <f t="array" ref="H61">SUMPRODUCT((INT(CCData[Date])=($E$3+COLUMNS($A$61:G61)-1))*(CCData[Agent]=$A61)*(CCData[Resolved]="Y"))</f>
        <v>6</v>
      </c>
      <c r="I61" s="4">
        <f>SUM(B61:H61)</f>
        <v>24</v>
      </c>
    </row>
    <row r="62" spans="1:9">
      <c r="A62" s="4" t="s">
        <v>5004</v>
      </c>
      <c r="B62" s="4" cm="1">
        <f t="array" ref="B62">SUMPRODUCT((INT(CCData[Date])=($E$3+COLUMNS($A$61:A62)-1))*(CCData[Agent]=$A62)*(CCData[Resolved]="Y"))</f>
        <v>3</v>
      </c>
      <c r="C62" s="4" cm="1">
        <f t="array" ref="C62">SUMPRODUCT((INT(CCData[Date])=($E$3+COLUMNS($A$61:B62)-1))*(CCData[Agent]=$A62)*(CCData[Resolved]="Y"))</f>
        <v>5</v>
      </c>
      <c r="D62" s="4" cm="1">
        <f t="array" ref="D62">SUMPRODUCT((INT(CCData[Date])=($E$3+COLUMNS($A$61:C62)-1))*(CCData[Agent]=$A62)*(CCData[Resolved]="Y"))</f>
        <v>2</v>
      </c>
      <c r="E62" s="4" cm="1">
        <f t="array" ref="E62">SUMPRODUCT((INT(CCData[Date])=($E$3+COLUMNS($A$61:D62)-1))*(CCData[Agent]=$A62)*(CCData[Resolved]="Y"))</f>
        <v>7</v>
      </c>
      <c r="F62" s="4" cm="1">
        <f t="array" ref="F62">SUMPRODUCT((INT(CCData[Date])=($E$3+COLUMNS($A$61:E62)-1))*(CCData[Agent]=$A62)*(CCData[Resolved]="Y"))</f>
        <v>7</v>
      </c>
      <c r="G62" s="4" cm="1">
        <f t="array" ref="G62">SUMPRODUCT((INT(CCData[Date])=($E$3+COLUMNS($A$61:F62)-1))*(CCData[Agent]=$A62)*(CCData[Resolved]="Y"))</f>
        <v>3</v>
      </c>
      <c r="H62" s="4" cm="1">
        <f t="array" ref="H62">SUMPRODUCT((INT(CCData[Date])=($E$3+COLUMNS($A$61:G62)-1))*(CCData[Agent]=$A62)*(CCData[Resolved]="Y"))</f>
        <v>6</v>
      </c>
      <c r="I62" s="4">
        <f t="shared" ref="I62:I68" si="4">SUM(B62:H62)</f>
        <v>33</v>
      </c>
    </row>
    <row r="63" spans="1:9">
      <c r="A63" s="4" t="s">
        <v>5005</v>
      </c>
      <c r="B63" s="4" cm="1">
        <f t="array" ref="B63">SUMPRODUCT((INT(CCData[Date])=($E$3+COLUMNS($A$61:A63)-1))*(CCData[Agent]=$A63)*(CCData[Resolved]="Y"))</f>
        <v>2</v>
      </c>
      <c r="C63" s="4" cm="1">
        <f t="array" ref="C63">SUMPRODUCT((INT(CCData[Date])=($E$3+COLUMNS($A$61:B63)-1))*(CCData[Agent]=$A63)*(CCData[Resolved]="Y"))</f>
        <v>3</v>
      </c>
      <c r="D63" s="4" cm="1">
        <f t="array" ref="D63">SUMPRODUCT((INT(CCData[Date])=($E$3+COLUMNS($A$61:C63)-1))*(CCData[Agent]=$A63)*(CCData[Resolved]="Y"))</f>
        <v>7</v>
      </c>
      <c r="E63" s="4" cm="1">
        <f t="array" ref="E63">SUMPRODUCT((INT(CCData[Date])=($E$3+COLUMNS($A$61:D63)-1))*(CCData[Agent]=$A63)*(CCData[Resolved]="Y"))</f>
        <v>5</v>
      </c>
      <c r="F63" s="4" cm="1">
        <f t="array" ref="F63">SUMPRODUCT((INT(CCData[Date])=($E$3+COLUMNS($A$61:E63)-1))*(CCData[Agent]=$A63)*(CCData[Resolved]="Y"))</f>
        <v>4</v>
      </c>
      <c r="G63" s="4" cm="1">
        <f t="array" ref="G63">SUMPRODUCT((INT(CCData[Date])=($E$3+COLUMNS($A$61:F63)-1))*(CCData[Agent]=$A63)*(CCData[Resolved]="Y"))</f>
        <v>4</v>
      </c>
      <c r="H63" s="4" cm="1">
        <f t="array" ref="H63">SUMPRODUCT((INT(CCData[Date])=($E$3+COLUMNS($A$61:G63)-1))*(CCData[Agent]=$A63)*(CCData[Resolved]="Y"))</f>
        <v>8</v>
      </c>
      <c r="I63" s="4">
        <f t="shared" si="4"/>
        <v>33</v>
      </c>
    </row>
    <row r="64" spans="1:9">
      <c r="A64" s="4" t="s">
        <v>5006</v>
      </c>
      <c r="B64" s="4" cm="1">
        <f t="array" ref="B64">SUMPRODUCT((INT(CCData[Date])=($E$3+COLUMNS($A$61:A64)-1))*(CCData[Agent]=$A64)*(CCData[Resolved]="Y"))</f>
        <v>4</v>
      </c>
      <c r="C64" s="4" cm="1">
        <f t="array" ref="C64">SUMPRODUCT((INT(CCData[Date])=($E$3+COLUMNS($A$61:B64)-1))*(CCData[Agent]=$A64)*(CCData[Resolved]="Y"))</f>
        <v>6</v>
      </c>
      <c r="D64" s="4" cm="1">
        <f t="array" ref="D64">SUMPRODUCT((INT(CCData[Date])=($E$3+COLUMNS($A$61:C64)-1))*(CCData[Agent]=$A64)*(CCData[Resolved]="Y"))</f>
        <v>4</v>
      </c>
      <c r="E64" s="4" cm="1">
        <f t="array" ref="E64">SUMPRODUCT((INT(CCData[Date])=($E$3+COLUMNS($A$61:D64)-1))*(CCData[Agent]=$A64)*(CCData[Resolved]="Y"))</f>
        <v>5</v>
      </c>
      <c r="F64" s="4" cm="1">
        <f t="array" ref="F64">SUMPRODUCT((INT(CCData[Date])=($E$3+COLUMNS($A$61:E64)-1))*(CCData[Agent]=$A64)*(CCData[Resolved]="Y"))</f>
        <v>7</v>
      </c>
      <c r="G64" s="4" cm="1">
        <f t="array" ref="G64">SUMPRODUCT((INT(CCData[Date])=($E$3+COLUMNS($A$61:F64)-1))*(CCData[Agent]=$A64)*(CCData[Resolved]="Y"))</f>
        <v>4</v>
      </c>
      <c r="H64" s="4" cm="1">
        <f t="array" ref="H64">SUMPRODUCT((INT(CCData[Date])=($E$3+COLUMNS($A$61:G64)-1))*(CCData[Agent]=$A64)*(CCData[Resolved]="Y"))</f>
        <v>2</v>
      </c>
      <c r="I64" s="4">
        <f t="shared" si="4"/>
        <v>32</v>
      </c>
    </row>
    <row r="65" spans="1:9">
      <c r="A65" s="4" t="s">
        <v>5007</v>
      </c>
      <c r="B65" s="4" cm="1">
        <f t="array" ref="B65">SUMPRODUCT((INT(CCData[Date])=($E$3+COLUMNS($A$61:A65)-1))*(CCData[Agent]=$A65)*(CCData[Resolved]="Y"))</f>
        <v>3</v>
      </c>
      <c r="C65" s="4" cm="1">
        <f t="array" ref="C65">SUMPRODUCT((INT(CCData[Date])=($E$3+COLUMNS($A$61:B65)-1))*(CCData[Agent]=$A65)*(CCData[Resolved]="Y"))</f>
        <v>7</v>
      </c>
      <c r="D65" s="4" cm="1">
        <f t="array" ref="D65">SUMPRODUCT((INT(CCData[Date])=($E$3+COLUMNS($A$61:C65)-1))*(CCData[Agent]=$A65)*(CCData[Resolved]="Y"))</f>
        <v>6</v>
      </c>
      <c r="E65" s="4" cm="1">
        <f t="array" ref="E65">SUMPRODUCT((INT(CCData[Date])=($E$3+COLUMNS($A$61:D65)-1))*(CCData[Agent]=$A65)*(CCData[Resolved]="Y"))</f>
        <v>2</v>
      </c>
      <c r="F65" s="4" cm="1">
        <f t="array" ref="F65">SUMPRODUCT((INT(CCData[Date])=($E$3+COLUMNS($A$61:E65)-1))*(CCData[Agent]=$A65)*(CCData[Resolved]="Y"))</f>
        <v>4</v>
      </c>
      <c r="G65" s="4" cm="1">
        <f t="array" ref="G65">SUMPRODUCT((INT(CCData[Date])=($E$3+COLUMNS($A$61:F65)-1))*(CCData[Agent]=$A65)*(CCData[Resolved]="Y"))</f>
        <v>3</v>
      </c>
      <c r="H65" s="4" cm="1">
        <f t="array" ref="H65">SUMPRODUCT((INT(CCData[Date])=($E$3+COLUMNS($A$61:G65)-1))*(CCData[Agent]=$A65)*(CCData[Resolved]="Y"))</f>
        <v>8</v>
      </c>
      <c r="I65" s="4">
        <f t="shared" si="4"/>
        <v>33</v>
      </c>
    </row>
    <row r="66" spans="1:9">
      <c r="A66" s="4" t="s">
        <v>5008</v>
      </c>
      <c r="B66" s="4" cm="1">
        <f t="array" ref="B66">SUMPRODUCT((INT(CCData[Date])=($E$3+COLUMNS($A$61:A66)-1))*(CCData[Agent]=$A66)*(CCData[Resolved]="Y"))</f>
        <v>7</v>
      </c>
      <c r="C66" s="4" cm="1">
        <f t="array" ref="C66">SUMPRODUCT((INT(CCData[Date])=($E$3+COLUMNS($A$61:B66)-1))*(CCData[Agent]=$A66)*(CCData[Resolved]="Y"))</f>
        <v>6</v>
      </c>
      <c r="D66" s="4" cm="1">
        <f t="array" ref="D66">SUMPRODUCT((INT(CCData[Date])=($E$3+COLUMNS($A$61:C66)-1))*(CCData[Agent]=$A66)*(CCData[Resolved]="Y"))</f>
        <v>2</v>
      </c>
      <c r="E66" s="4" cm="1">
        <f t="array" ref="E66">SUMPRODUCT((INT(CCData[Date])=($E$3+COLUMNS($A$61:D66)-1))*(CCData[Agent]=$A66)*(CCData[Resolved]="Y"))</f>
        <v>5</v>
      </c>
      <c r="F66" s="4" cm="1">
        <f t="array" ref="F66">SUMPRODUCT((INT(CCData[Date])=($E$3+COLUMNS($A$61:E66)-1))*(CCData[Agent]=$A66)*(CCData[Resolved]="Y"))</f>
        <v>5</v>
      </c>
      <c r="G66" s="4" cm="1">
        <f t="array" ref="G66">SUMPRODUCT((INT(CCData[Date])=($E$3+COLUMNS($A$61:F66)-1))*(CCData[Agent]=$A66)*(CCData[Resolved]="Y"))</f>
        <v>4</v>
      </c>
      <c r="H66" s="4" cm="1">
        <f t="array" ref="H66">SUMPRODUCT((INT(CCData[Date])=($E$3+COLUMNS($A$61:G66)-1))*(CCData[Agent]=$A66)*(CCData[Resolved]="Y"))</f>
        <v>6</v>
      </c>
      <c r="I66" s="4">
        <f t="shared" si="4"/>
        <v>35</v>
      </c>
    </row>
    <row r="67" spans="1:9">
      <c r="A67" s="4" t="s">
        <v>5009</v>
      </c>
      <c r="B67" s="4" cm="1">
        <f t="array" ref="B67">SUMPRODUCT((INT(CCData[Date])=($E$3+COLUMNS($A$61:A67)-1))*(CCData[Agent]=$A67)*(CCData[Resolved]="Y"))</f>
        <v>5</v>
      </c>
      <c r="C67" s="4" cm="1">
        <f t="array" ref="C67">SUMPRODUCT((INT(CCData[Date])=($E$3+COLUMNS($A$61:B67)-1))*(CCData[Agent]=$A67)*(CCData[Resolved]="Y"))</f>
        <v>5</v>
      </c>
      <c r="D67" s="4" cm="1">
        <f t="array" ref="D67">SUMPRODUCT((INT(CCData[Date])=($E$3+COLUMNS($A$61:C67)-1))*(CCData[Agent]=$A67)*(CCData[Resolved]="Y"))</f>
        <v>7</v>
      </c>
      <c r="E67" s="4" cm="1">
        <f t="array" ref="E67">SUMPRODUCT((INT(CCData[Date])=($E$3+COLUMNS($A$61:D67)-1))*(CCData[Agent]=$A67)*(CCData[Resolved]="Y"))</f>
        <v>6</v>
      </c>
      <c r="F67" s="4" cm="1">
        <f t="array" ref="F67">SUMPRODUCT((INT(CCData[Date])=($E$3+COLUMNS($A$61:E67)-1))*(CCData[Agent]=$A67)*(CCData[Resolved]="Y"))</f>
        <v>4</v>
      </c>
      <c r="G67" s="4" cm="1">
        <f t="array" ref="G67">SUMPRODUCT((INT(CCData[Date])=($E$3+COLUMNS($A$61:F67)-1))*(CCData[Agent]=$A67)*(CCData[Resolved]="Y"))</f>
        <v>1</v>
      </c>
      <c r="H67" s="4" cm="1">
        <f t="array" ref="H67">SUMPRODUCT((INT(CCData[Date])=($E$3+COLUMNS($A$61:G67)-1))*(CCData[Agent]=$A67)*(CCData[Resolved]="Y"))</f>
        <v>6</v>
      </c>
      <c r="I67" s="4">
        <f t="shared" si="4"/>
        <v>34</v>
      </c>
    </row>
    <row r="68" spans="1:9">
      <c r="A68" s="4" t="s">
        <v>5010</v>
      </c>
      <c r="B68" s="4" cm="1">
        <f t="array" ref="B68">SUMPRODUCT((INT(CCData[Date])=($E$3+COLUMNS($A$61:A68)-1))*(CCData[Agent]=$A68)*(CCData[Resolved]="Y"))</f>
        <v>8</v>
      </c>
      <c r="C68" s="4" cm="1">
        <f t="array" ref="C68">SUMPRODUCT((INT(CCData[Date])=($E$3+COLUMNS($A$61:B68)-1))*(CCData[Agent]=$A68)*(CCData[Resolved]="Y"))</f>
        <v>6</v>
      </c>
      <c r="D68" s="4" cm="1">
        <f t="array" ref="D68">SUMPRODUCT((INT(CCData[Date])=($E$3+COLUMNS($A$61:C68)-1))*(CCData[Agent]=$A68)*(CCData[Resolved]="Y"))</f>
        <v>3</v>
      </c>
      <c r="E68" s="4" cm="1">
        <f t="array" ref="E68">SUMPRODUCT((INT(CCData[Date])=($E$3+COLUMNS($A$61:D68)-1))*(CCData[Agent]=$A68)*(CCData[Resolved]="Y"))</f>
        <v>6</v>
      </c>
      <c r="F68" s="4" cm="1">
        <f t="array" ref="F68">SUMPRODUCT((INT(CCData[Date])=($E$3+COLUMNS($A$61:E68)-1))*(CCData[Agent]=$A68)*(CCData[Resolved]="Y"))</f>
        <v>8</v>
      </c>
      <c r="G68" s="4" cm="1">
        <f t="array" ref="G68">SUMPRODUCT((INT(CCData[Date])=($E$3+COLUMNS($A$61:F68)-1))*(CCData[Agent]=$A68)*(CCData[Resolved]="Y"))</f>
        <v>4</v>
      </c>
      <c r="H68" s="4" cm="1">
        <f t="array" ref="H68">SUMPRODUCT((INT(CCData[Date])=($E$3+COLUMNS($A$61:G68)-1))*(CCData[Agent]=$A68)*(CCData[Resolved]="Y"))</f>
        <v>4</v>
      </c>
      <c r="I68" s="4">
        <f t="shared" si="4"/>
        <v>39</v>
      </c>
    </row>
  </sheetData>
  <mergeCells count="6">
    <mergeCell ref="F33:G33"/>
    <mergeCell ref="F28:G28"/>
    <mergeCell ref="F29:G29"/>
    <mergeCell ref="F30:G30"/>
    <mergeCell ref="F31:G31"/>
    <mergeCell ref="F32:G32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2:R27"/>
  <sheetViews>
    <sheetView tabSelected="1" topLeftCell="A7" zoomScale="82" zoomScaleNormal="82" workbookViewId="0">
      <selection activeCell="Q2" sqref="Q2"/>
    </sheetView>
  </sheetViews>
  <sheetFormatPr defaultColWidth="9.125" defaultRowHeight="14.25"/>
  <cols>
    <col min="1" max="1" width="13.25" style="8" customWidth="1"/>
    <col min="2" max="2" width="10.875" style="8" customWidth="1"/>
    <col min="3" max="3" width="14.75" style="8" customWidth="1"/>
    <col min="4" max="4" width="19.875" style="8" customWidth="1"/>
    <col min="5" max="5" width="8.75" style="8" customWidth="1"/>
    <col min="6" max="6" width="9.125" style="8" customWidth="1"/>
    <col min="7" max="16384" width="9.125" style="8"/>
  </cols>
  <sheetData>
    <row r="2" spans="1:6">
      <c r="F2" s="8">
        <v>5</v>
      </c>
    </row>
    <row r="8" spans="1:6">
      <c r="A8" s="23" t="s">
        <v>5043</v>
      </c>
    </row>
    <row r="9" spans="1:6">
      <c r="A9" s="24" t="s">
        <v>5036</v>
      </c>
      <c r="B9" s="24" t="s">
        <v>5030</v>
      </c>
      <c r="C9" s="24" t="s">
        <v>5031</v>
      </c>
      <c r="D9" s="25" t="s">
        <v>5037</v>
      </c>
      <c r="E9" s="25" t="s">
        <v>5038</v>
      </c>
      <c r="F9" s="25"/>
    </row>
    <row r="10" spans="1:6">
      <c r="A10" s="26" t="str">
        <f>Calculation!L18</f>
        <v>Dan</v>
      </c>
      <c r="B10" s="27">
        <f>Calculation!N18</f>
        <v>50</v>
      </c>
      <c r="C10" s="27">
        <f>Calculation!O18</f>
        <v>46</v>
      </c>
      <c r="D10" s="28">
        <f>Calculation!P18</f>
        <v>56.2</v>
      </c>
      <c r="E10" s="32">
        <f>Calculation!Q18</f>
        <v>0.78</v>
      </c>
      <c r="F10" s="29">
        <f>E10</f>
        <v>0.78</v>
      </c>
    </row>
    <row r="11" spans="1:6">
      <c r="A11" s="26" t="str">
        <f>Calculation!L19</f>
        <v>Joe</v>
      </c>
      <c r="B11" s="27">
        <f>Calculation!N19</f>
        <v>49</v>
      </c>
      <c r="C11" s="27">
        <f>Calculation!O19</f>
        <v>39</v>
      </c>
      <c r="D11" s="28">
        <f>Calculation!P19</f>
        <v>52.102040816326529</v>
      </c>
      <c r="E11" s="32">
        <f>Calculation!Q19</f>
        <v>0.7142857142857143</v>
      </c>
      <c r="F11" s="29">
        <f t="shared" ref="F11:F17" si="0">E11</f>
        <v>0.7142857142857143</v>
      </c>
    </row>
    <row r="12" spans="1:6">
      <c r="A12" s="26" t="str">
        <f>Calculation!L20</f>
        <v>Martha</v>
      </c>
      <c r="B12" s="27">
        <f>Calculation!N20</f>
        <v>48</v>
      </c>
      <c r="C12" s="27">
        <f>Calculation!O20</f>
        <v>38</v>
      </c>
      <c r="D12" s="28">
        <f>Calculation!P20</f>
        <v>59.666666666666664</v>
      </c>
      <c r="E12" s="32">
        <f>Calculation!Q20</f>
        <v>0.70833333333333337</v>
      </c>
      <c r="F12" s="29">
        <f t="shared" si="0"/>
        <v>0.70833333333333337</v>
      </c>
    </row>
    <row r="13" spans="1:6">
      <c r="A13" s="26" t="str">
        <f>Calculation!L21</f>
        <v>Greg</v>
      </c>
      <c r="B13" s="27">
        <f>Calculation!N21</f>
        <v>47</v>
      </c>
      <c r="C13" s="27">
        <f>Calculation!O21</f>
        <v>34</v>
      </c>
      <c r="D13" s="28">
        <f>Calculation!P21</f>
        <v>54.617021276595743</v>
      </c>
      <c r="E13" s="32">
        <f>Calculation!Q21</f>
        <v>0.68085106382978722</v>
      </c>
      <c r="F13" s="29">
        <f t="shared" si="0"/>
        <v>0.68085106382978722</v>
      </c>
    </row>
    <row r="14" spans="1:6">
      <c r="A14" s="26" t="str">
        <f>Calculation!L22</f>
        <v>Becky</v>
      </c>
      <c r="B14" s="27">
        <f>Calculation!N22</f>
        <v>45</v>
      </c>
      <c r="C14" s="27">
        <f>Calculation!O22</f>
        <v>37</v>
      </c>
      <c r="D14" s="28">
        <f>Calculation!P22</f>
        <v>51.4</v>
      </c>
      <c r="E14" s="32">
        <f>Calculation!Q22</f>
        <v>0.73333333333333328</v>
      </c>
      <c r="F14" s="29">
        <f t="shared" si="0"/>
        <v>0.73333333333333328</v>
      </c>
    </row>
    <row r="15" spans="1:6">
      <c r="A15" s="26" t="str">
        <f>Calculation!L23</f>
        <v>Stewart</v>
      </c>
      <c r="B15" s="27">
        <f>Calculation!N23</f>
        <v>42</v>
      </c>
      <c r="C15" s="27">
        <f>Calculation!O23</f>
        <v>37</v>
      </c>
      <c r="D15" s="28">
        <f>Calculation!P23</f>
        <v>59</v>
      </c>
      <c r="E15" s="32">
        <f>Calculation!Q23</f>
        <v>0.7857142857142857</v>
      </c>
      <c r="F15" s="29">
        <f t="shared" si="0"/>
        <v>0.7857142857142857</v>
      </c>
    </row>
    <row r="16" spans="1:6">
      <c r="A16" s="26" t="str">
        <f>Calculation!L24</f>
        <v>Jim</v>
      </c>
      <c r="B16" s="27">
        <f>Calculation!N24</f>
        <v>41</v>
      </c>
      <c r="C16" s="27">
        <f>Calculation!O24</f>
        <v>37</v>
      </c>
      <c r="D16" s="28">
        <f>Calculation!P24</f>
        <v>61.585365853658537</v>
      </c>
      <c r="E16" s="32">
        <f>Calculation!Q24</f>
        <v>0.80487804878048785</v>
      </c>
      <c r="F16" s="29">
        <f t="shared" si="0"/>
        <v>0.80487804878048785</v>
      </c>
    </row>
    <row r="17" spans="1:18">
      <c r="A17" s="26" t="str">
        <f>Calculation!L25</f>
        <v>Diane</v>
      </c>
      <c r="B17" s="27">
        <f>Calculation!N25</f>
        <v>34</v>
      </c>
      <c r="C17" s="27">
        <f>Calculation!O25</f>
        <v>26</v>
      </c>
      <c r="D17" s="28">
        <f>Calculation!P25</f>
        <v>46.058823529411768</v>
      </c>
      <c r="E17" s="32">
        <f>Calculation!Q25</f>
        <v>0.70588235294117652</v>
      </c>
      <c r="F17" s="29">
        <f t="shared" si="0"/>
        <v>0.70588235294117652</v>
      </c>
    </row>
    <row r="21" spans="1:18">
      <c r="G21" s="30"/>
    </row>
    <row r="24" spans="1:18" ht="15">
      <c r="O24" s="34"/>
    </row>
    <row r="27" spans="1:18" ht="23.25">
      <c r="R27" s="33"/>
    </row>
  </sheetData>
  <conditionalFormatting sqref="F10:F17">
    <cfRule type="iconSet" priority="1">
      <iconSet iconSet="3Signs" showValue="0">
        <cfvo type="percent" val="0"/>
        <cfvo type="num" val="0.7"/>
        <cfvo type="num" val="0.8"/>
      </iconSe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Option Button 2">
              <controlPr defaultSize="0" autoFill="0" autoLine="0" autoPict="0">
                <anchor moveWithCells="1">
                  <from>
                    <xdr:col>1</xdr:col>
                    <xdr:colOff>257175</xdr:colOff>
                    <xdr:row>6</xdr:row>
                    <xdr:rowOff>161925</xdr:rowOff>
                  </from>
                  <to>
                    <xdr:col>1</xdr:col>
                    <xdr:colOff>485775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4" name="Option Button 3">
              <controlPr defaultSize="0" autoFill="0" autoLine="0" autoPict="0">
                <anchor moveWithCells="1">
                  <from>
                    <xdr:col>2</xdr:col>
                    <xdr:colOff>352425</xdr:colOff>
                    <xdr:row>6</xdr:row>
                    <xdr:rowOff>161925</xdr:rowOff>
                  </from>
                  <to>
                    <xdr:col>2</xdr:col>
                    <xdr:colOff>581025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Option Button 4">
              <controlPr defaultSize="0" autoFill="0" autoLine="0" autoPict="0">
                <anchor moveWithCells="1">
                  <from>
                    <xdr:col>3</xdr:col>
                    <xdr:colOff>600075</xdr:colOff>
                    <xdr:row>6</xdr:row>
                    <xdr:rowOff>161925</xdr:rowOff>
                  </from>
                  <to>
                    <xdr:col>3</xdr:col>
                    <xdr:colOff>828675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Option Button 5">
              <controlPr defaultSize="0" autoFill="0" autoLine="0" autoPict="0">
                <anchor moveWithCells="1">
                  <from>
                    <xdr:col>4</xdr:col>
                    <xdr:colOff>495300</xdr:colOff>
                    <xdr:row>6</xdr:row>
                    <xdr:rowOff>171450</xdr:rowOff>
                  </from>
                  <to>
                    <xdr:col>5</xdr:col>
                    <xdr:colOff>142875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7" name="Scroll Bar 6">
              <controlPr defaultSize="0" autoPict="0">
                <anchor moveWithCells="1">
                  <from>
                    <xdr:col>16</xdr:col>
                    <xdr:colOff>19050</xdr:colOff>
                    <xdr:row>0</xdr:row>
                    <xdr:rowOff>0</xdr:rowOff>
                  </from>
                  <to>
                    <xdr:col>16</xdr:col>
                    <xdr:colOff>180975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CCData</vt:lpstr>
      <vt:lpstr>Calculation</vt:lpstr>
      <vt:lpstr>Dashboard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shehzad ali</dc:creator>
  <cp:lastModifiedBy>shehzad</cp:lastModifiedBy>
  <dcterms:created xsi:type="dcterms:W3CDTF">2025-03-06T09:41:32Z</dcterms:created>
  <dcterms:modified xsi:type="dcterms:W3CDTF">2025-05-20T11:36:14Z</dcterms:modified>
</cp:coreProperties>
</file>